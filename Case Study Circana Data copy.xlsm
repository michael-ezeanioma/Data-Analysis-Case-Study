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michaelezeanioma/Desktop/RBDC_BI_Bus_Analyst_Case_Study/"/>
    </mc:Choice>
  </mc:AlternateContent>
  <xr:revisionPtr revIDLastSave="0" documentId="13_ncr:1_{FDD50A23-3D75-6943-A34F-3B85A796E972}" xr6:coauthVersionLast="47" xr6:coauthVersionMax="47" xr10:uidLastSave="{00000000-0000-0000-0000-000000000000}"/>
  <bookViews>
    <workbookView xWindow="2140" yWindow="760" windowWidth="29320" windowHeight="17460" activeTab="5" xr2:uid="{44C54977-1346-4E2F-A4BD-0B86CEFC0F7E}"/>
  </bookViews>
  <sheets>
    <sheet name="Circana Data" sheetId="1" r:id="rId1"/>
    <sheet name="S1Q1" sheetId="2" r:id="rId2"/>
    <sheet name="S1Q2" sheetId="3" r:id="rId3"/>
    <sheet name="S1Q3" sheetId="8" r:id="rId4"/>
    <sheet name="S1Q4" sheetId="11" r:id="rId5"/>
    <sheet name="S1Q5" sheetId="14" r:id="rId6"/>
  </sheets>
  <definedNames>
    <definedName name="_xleta.FILTER" hidden="1" xlm="1">#NAME?</definedName>
  </definedNames>
  <calcPr calcId="191029"/>
  <pivotCaches>
    <pivotCache cacheId="38" r:id="rId7"/>
    <pivotCache cacheId="39" r:id="rId8"/>
    <pivotCache cacheId="4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1" l="1" a="1"/>
  <c r="B4" i="11" s="1"/>
  <c r="B5" i="11" a="1"/>
  <c r="B5" i="11" s="1"/>
  <c r="B6" i="11" a="1"/>
  <c r="B6" i="11" s="1"/>
  <c r="B3" i="11" a="1"/>
  <c r="B3" i="11" s="1"/>
  <c r="A3" i="11" a="1"/>
  <c r="A3" i="11" s="1"/>
  <c r="B4" i="14" a="1"/>
  <c r="B4" i="14" s="1"/>
  <c r="B5" i="14" a="1"/>
  <c r="B5" i="14" s="1"/>
  <c r="B3" i="14" a="1"/>
  <c r="B3" i="14" s="1"/>
  <c r="A3" i="14" a="1"/>
  <c r="A3" i="14" s="1"/>
  <c r="I8" i="1"/>
  <c r="D3" i="1"/>
  <c r="I3" i="1" s="1"/>
  <c r="D4" i="1"/>
  <c r="I4" i="1" s="1"/>
  <c r="D5" i="1"/>
  <c r="I5" i="1" s="1"/>
  <c r="D6" i="1"/>
  <c r="I6" i="1" s="1"/>
  <c r="D7" i="1"/>
  <c r="I7" i="1" s="1"/>
  <c r="D8" i="1"/>
  <c r="D9" i="1"/>
  <c r="I9" i="1" s="1"/>
  <c r="D10" i="1"/>
  <c r="I10" i="1" s="1"/>
  <c r="D11" i="1"/>
  <c r="I11" i="1" s="1"/>
  <c r="D12" i="1"/>
  <c r="I12" i="1" s="1"/>
  <c r="D13" i="1"/>
  <c r="I13" i="1" s="1"/>
  <c r="D14" i="1"/>
  <c r="I14" i="1" s="1"/>
  <c r="D15" i="1"/>
  <c r="I15" i="1" s="1"/>
  <c r="D16" i="1"/>
  <c r="I16" i="1" s="1"/>
  <c r="D17" i="1"/>
  <c r="I17" i="1" s="1"/>
  <c r="D18" i="1"/>
  <c r="I18" i="1" s="1"/>
  <c r="D19" i="1"/>
  <c r="I19" i="1" s="1"/>
  <c r="D20" i="1"/>
  <c r="I20" i="1" s="1"/>
  <c r="D21" i="1"/>
  <c r="I21" i="1" s="1"/>
  <c r="D22" i="1"/>
  <c r="I22" i="1" s="1"/>
  <c r="D23" i="1"/>
  <c r="I23" i="1" s="1"/>
  <c r="D24" i="1"/>
  <c r="I24" i="1" s="1"/>
  <c r="D25" i="1"/>
  <c r="I25" i="1" s="1"/>
  <c r="D26" i="1"/>
  <c r="I26" i="1" s="1"/>
  <c r="D27" i="1"/>
  <c r="I27" i="1" s="1"/>
  <c r="D28" i="1"/>
  <c r="I28" i="1" s="1"/>
  <c r="D29" i="1"/>
  <c r="I29" i="1" s="1"/>
  <c r="D30" i="1"/>
  <c r="I30" i="1" s="1"/>
  <c r="D31" i="1"/>
  <c r="I31" i="1" s="1"/>
  <c r="D32" i="1"/>
  <c r="I32" i="1" s="1"/>
  <c r="D33" i="1"/>
  <c r="I33" i="1" s="1"/>
  <c r="D34" i="1"/>
  <c r="I34" i="1" s="1"/>
  <c r="D35" i="1"/>
  <c r="I35" i="1" s="1"/>
  <c r="D36" i="1"/>
  <c r="I36" i="1" s="1"/>
  <c r="D37" i="1"/>
  <c r="I37" i="1" s="1"/>
  <c r="D38" i="1"/>
  <c r="I38" i="1" s="1"/>
  <c r="D39" i="1"/>
  <c r="I39" i="1" s="1"/>
  <c r="D40" i="1"/>
  <c r="I40" i="1" s="1"/>
  <c r="D41" i="1"/>
  <c r="I41" i="1" s="1"/>
  <c r="D42" i="1"/>
  <c r="I42" i="1" s="1"/>
  <c r="D43" i="1"/>
  <c r="I43" i="1" s="1"/>
  <c r="D44" i="1"/>
  <c r="I44" i="1" s="1"/>
  <c r="D45" i="1"/>
  <c r="I45" i="1" s="1"/>
  <c r="D46" i="1"/>
  <c r="I46" i="1" s="1"/>
  <c r="D47" i="1"/>
  <c r="I47" i="1" s="1"/>
  <c r="D48" i="1"/>
  <c r="I48" i="1" s="1"/>
  <c r="D49" i="1"/>
  <c r="I49" i="1" s="1"/>
  <c r="D50" i="1"/>
  <c r="I50" i="1" s="1"/>
  <c r="D51" i="1"/>
  <c r="I51" i="1" s="1"/>
  <c r="D52" i="1"/>
  <c r="I52" i="1" s="1"/>
  <c r="D53" i="1"/>
  <c r="I53" i="1" s="1"/>
  <c r="D54" i="1"/>
  <c r="I54" i="1" s="1"/>
  <c r="D55" i="1"/>
  <c r="I55" i="1" s="1"/>
  <c r="D56" i="1"/>
  <c r="I56" i="1" s="1"/>
  <c r="D57" i="1"/>
  <c r="I57" i="1" s="1"/>
  <c r="D58" i="1"/>
  <c r="I58" i="1" s="1"/>
  <c r="D59" i="1"/>
  <c r="I59" i="1" s="1"/>
  <c r="D60" i="1"/>
  <c r="I60" i="1" s="1"/>
  <c r="D61" i="1"/>
  <c r="I61" i="1" s="1"/>
  <c r="D62" i="1"/>
  <c r="I62" i="1" s="1"/>
  <c r="D63" i="1"/>
  <c r="I63" i="1" s="1"/>
  <c r="D64" i="1"/>
  <c r="I64" i="1" s="1"/>
  <c r="D65" i="1"/>
  <c r="I65" i="1" s="1"/>
  <c r="D66" i="1"/>
  <c r="I66" i="1" s="1"/>
  <c r="D67" i="1"/>
  <c r="I67" i="1" s="1"/>
  <c r="D68" i="1"/>
  <c r="I68" i="1" s="1"/>
  <c r="D69" i="1"/>
  <c r="I69" i="1" s="1"/>
  <c r="D70" i="1"/>
  <c r="I70" i="1" s="1"/>
  <c r="D71" i="1"/>
  <c r="I71" i="1" s="1"/>
  <c r="D72" i="1"/>
  <c r="I72" i="1" s="1"/>
  <c r="D73" i="1"/>
  <c r="I73" i="1" s="1"/>
  <c r="D74" i="1"/>
  <c r="I74" i="1" s="1"/>
  <c r="D75" i="1"/>
  <c r="I75" i="1" s="1"/>
  <c r="D76" i="1"/>
  <c r="I76" i="1" s="1"/>
  <c r="D77" i="1"/>
  <c r="I77" i="1" s="1"/>
  <c r="D78" i="1"/>
  <c r="I78" i="1" s="1"/>
  <c r="D79" i="1"/>
  <c r="I79" i="1" s="1"/>
  <c r="D80" i="1"/>
  <c r="I80" i="1" s="1"/>
  <c r="D81" i="1"/>
  <c r="I81" i="1" s="1"/>
  <c r="D82" i="1"/>
  <c r="I82" i="1" s="1"/>
  <c r="D83" i="1"/>
  <c r="I83" i="1" s="1"/>
  <c r="D84" i="1"/>
  <c r="I84" i="1" s="1"/>
  <c r="D85" i="1"/>
  <c r="I85" i="1" s="1"/>
  <c r="D86" i="1"/>
  <c r="I86" i="1" s="1"/>
  <c r="D87" i="1"/>
  <c r="I87" i="1" s="1"/>
  <c r="D88" i="1"/>
  <c r="I88" i="1" s="1"/>
  <c r="D89" i="1"/>
  <c r="I89" i="1" s="1"/>
  <c r="D90" i="1"/>
  <c r="I90" i="1" s="1"/>
  <c r="D91" i="1"/>
  <c r="I91" i="1" s="1"/>
  <c r="D92" i="1"/>
  <c r="I92" i="1" s="1"/>
  <c r="D93" i="1"/>
  <c r="I93" i="1" s="1"/>
  <c r="D94" i="1"/>
  <c r="I94" i="1" s="1"/>
  <c r="D95" i="1"/>
  <c r="I95" i="1" s="1"/>
  <c r="D96" i="1"/>
  <c r="I96" i="1" s="1"/>
  <c r="D97" i="1"/>
  <c r="I97" i="1" s="1"/>
  <c r="D98" i="1"/>
  <c r="I98" i="1" s="1"/>
  <c r="D99" i="1"/>
  <c r="I99" i="1" s="1"/>
  <c r="D100" i="1"/>
  <c r="I100" i="1" s="1"/>
  <c r="D101" i="1"/>
  <c r="I101" i="1" s="1"/>
  <c r="D102" i="1"/>
  <c r="I102" i="1" s="1"/>
  <c r="D103" i="1"/>
  <c r="I103" i="1" s="1"/>
  <c r="D104" i="1"/>
  <c r="I104" i="1" s="1"/>
  <c r="D105" i="1"/>
  <c r="I105" i="1" s="1"/>
  <c r="D106" i="1"/>
  <c r="I106" i="1" s="1"/>
  <c r="D107" i="1"/>
  <c r="I107" i="1" s="1"/>
  <c r="D108" i="1"/>
  <c r="I108" i="1" s="1"/>
  <c r="D109" i="1"/>
  <c r="I109" i="1" s="1"/>
  <c r="D110" i="1"/>
  <c r="I110" i="1" s="1"/>
  <c r="D111" i="1"/>
  <c r="I111" i="1" s="1"/>
  <c r="D112" i="1"/>
  <c r="I112" i="1" s="1"/>
  <c r="D113" i="1"/>
  <c r="I113" i="1" s="1"/>
  <c r="D114" i="1"/>
  <c r="I114" i="1" s="1"/>
  <c r="D115" i="1"/>
  <c r="I115" i="1" s="1"/>
  <c r="D116" i="1"/>
  <c r="I116" i="1" s="1"/>
  <c r="D117" i="1"/>
  <c r="I117" i="1" s="1"/>
  <c r="D118" i="1"/>
  <c r="I118" i="1" s="1"/>
  <c r="D119" i="1"/>
  <c r="I119" i="1" s="1"/>
  <c r="D120" i="1"/>
  <c r="I120" i="1" s="1"/>
  <c r="D121" i="1"/>
  <c r="I121" i="1" s="1"/>
  <c r="D122" i="1"/>
  <c r="I122" i="1" s="1"/>
  <c r="D123" i="1"/>
  <c r="I123" i="1" s="1"/>
  <c r="D124" i="1"/>
  <c r="I124" i="1" s="1"/>
  <c r="D125" i="1"/>
  <c r="I125" i="1" s="1"/>
  <c r="D126" i="1"/>
  <c r="I126" i="1" s="1"/>
  <c r="D127" i="1"/>
  <c r="I127" i="1" s="1"/>
  <c r="D128" i="1"/>
  <c r="I128" i="1" s="1"/>
  <c r="D129" i="1"/>
  <c r="I129" i="1" s="1"/>
  <c r="D130" i="1"/>
  <c r="I130" i="1" s="1"/>
  <c r="D131" i="1"/>
  <c r="I131" i="1" s="1"/>
  <c r="D132" i="1"/>
  <c r="I132" i="1" s="1"/>
  <c r="D133" i="1"/>
  <c r="I133" i="1" s="1"/>
  <c r="D134" i="1"/>
  <c r="I134" i="1" s="1"/>
  <c r="D135" i="1"/>
  <c r="I135" i="1" s="1"/>
  <c r="D136" i="1"/>
  <c r="I136" i="1" s="1"/>
  <c r="D137" i="1"/>
  <c r="I137" i="1" s="1"/>
  <c r="D138" i="1"/>
  <c r="I138" i="1" s="1"/>
  <c r="D139" i="1"/>
  <c r="I139" i="1" s="1"/>
  <c r="D140" i="1"/>
  <c r="I140" i="1" s="1"/>
  <c r="D141" i="1"/>
  <c r="I141" i="1" s="1"/>
  <c r="D142" i="1"/>
  <c r="I142" i="1" s="1"/>
  <c r="D143" i="1"/>
  <c r="I143" i="1" s="1"/>
  <c r="D144" i="1"/>
  <c r="I144" i="1" s="1"/>
  <c r="D145" i="1"/>
  <c r="I145" i="1" s="1"/>
  <c r="D146" i="1"/>
  <c r="I146" i="1" s="1"/>
  <c r="D147" i="1"/>
  <c r="I147" i="1" s="1"/>
  <c r="D148" i="1"/>
  <c r="I148" i="1" s="1"/>
  <c r="D149" i="1"/>
  <c r="I149" i="1" s="1"/>
  <c r="D150" i="1"/>
  <c r="I150" i="1" s="1"/>
  <c r="D151" i="1"/>
  <c r="I151" i="1" s="1"/>
  <c r="D152" i="1"/>
  <c r="I152" i="1" s="1"/>
  <c r="D153" i="1"/>
  <c r="I153" i="1" s="1"/>
  <c r="D154" i="1"/>
  <c r="I154" i="1" s="1"/>
  <c r="D155" i="1"/>
  <c r="I155" i="1" s="1"/>
  <c r="D156" i="1"/>
  <c r="I156" i="1" s="1"/>
  <c r="D157" i="1"/>
  <c r="I157" i="1" s="1"/>
  <c r="D158" i="1"/>
  <c r="I158" i="1" s="1"/>
  <c r="D159" i="1"/>
  <c r="I159" i="1" s="1"/>
  <c r="D160" i="1"/>
  <c r="I160" i="1" s="1"/>
  <c r="D161" i="1"/>
  <c r="I161" i="1" s="1"/>
  <c r="D162" i="1"/>
  <c r="I162" i="1" s="1"/>
  <c r="D163" i="1"/>
  <c r="I163" i="1" s="1"/>
  <c r="D164" i="1"/>
  <c r="I164" i="1" s="1"/>
  <c r="D165" i="1"/>
  <c r="I165" i="1" s="1"/>
  <c r="D166" i="1"/>
  <c r="I166" i="1" s="1"/>
  <c r="D167" i="1"/>
  <c r="I167" i="1" s="1"/>
  <c r="D168" i="1"/>
  <c r="I168" i="1" s="1"/>
  <c r="D169" i="1"/>
  <c r="I169" i="1" s="1"/>
  <c r="D170" i="1"/>
  <c r="I170" i="1" s="1"/>
  <c r="D171" i="1"/>
  <c r="I171" i="1" s="1"/>
  <c r="D172" i="1"/>
  <c r="I172" i="1" s="1"/>
  <c r="D173" i="1"/>
  <c r="I173" i="1" s="1"/>
  <c r="D174" i="1"/>
  <c r="I174" i="1" s="1"/>
  <c r="D175" i="1"/>
  <c r="I175" i="1" s="1"/>
  <c r="D176" i="1"/>
  <c r="I176" i="1" s="1"/>
  <c r="D177" i="1"/>
  <c r="I177" i="1" s="1"/>
  <c r="D178" i="1"/>
  <c r="I178" i="1" s="1"/>
  <c r="D179" i="1"/>
  <c r="I179" i="1" s="1"/>
  <c r="D180" i="1"/>
  <c r="I180" i="1" s="1"/>
  <c r="D181" i="1"/>
  <c r="I181" i="1" s="1"/>
  <c r="D182" i="1"/>
  <c r="I182" i="1" s="1"/>
  <c r="D183" i="1"/>
  <c r="I183" i="1" s="1"/>
  <c r="D184" i="1"/>
  <c r="I184" i="1" s="1"/>
  <c r="D185" i="1"/>
  <c r="I185" i="1" s="1"/>
  <c r="D186" i="1"/>
  <c r="I186" i="1" s="1"/>
  <c r="D187" i="1"/>
  <c r="I187" i="1" s="1"/>
  <c r="D188" i="1"/>
  <c r="I188" i="1" s="1"/>
  <c r="D189" i="1"/>
  <c r="I189" i="1" s="1"/>
  <c r="D190" i="1"/>
  <c r="I190" i="1" s="1"/>
  <c r="D191" i="1"/>
  <c r="I191" i="1" s="1"/>
  <c r="D192" i="1"/>
  <c r="I192" i="1" s="1"/>
  <c r="D193" i="1"/>
  <c r="I193" i="1" s="1"/>
  <c r="D194" i="1"/>
  <c r="I194" i="1" s="1"/>
  <c r="D195" i="1"/>
  <c r="I195" i="1" s="1"/>
  <c r="D196" i="1"/>
  <c r="I196" i="1" s="1"/>
  <c r="D197" i="1"/>
  <c r="I197" i="1" s="1"/>
  <c r="D198" i="1"/>
  <c r="I198" i="1" s="1"/>
  <c r="D199" i="1"/>
  <c r="I199" i="1" s="1"/>
  <c r="D200" i="1"/>
  <c r="I200" i="1" s="1"/>
  <c r="D201" i="1"/>
  <c r="I201" i="1" s="1"/>
  <c r="D202" i="1"/>
  <c r="I202" i="1" s="1"/>
  <c r="D203" i="1"/>
  <c r="I203" i="1" s="1"/>
  <c r="D204" i="1"/>
  <c r="I204" i="1" s="1"/>
  <c r="D205" i="1"/>
  <c r="I205" i="1" s="1"/>
  <c r="D206" i="1"/>
  <c r="I206" i="1" s="1"/>
  <c r="D207" i="1"/>
  <c r="I207" i="1" s="1"/>
  <c r="D208" i="1"/>
  <c r="I208" i="1" s="1"/>
  <c r="D209" i="1"/>
  <c r="I209" i="1" s="1"/>
  <c r="D210" i="1"/>
  <c r="I210" i="1" s="1"/>
  <c r="D211" i="1"/>
  <c r="I211" i="1" s="1"/>
  <c r="D212" i="1"/>
  <c r="I212" i="1" s="1"/>
  <c r="D213" i="1"/>
  <c r="I213" i="1" s="1"/>
  <c r="D214" i="1"/>
  <c r="I214" i="1" s="1"/>
  <c r="D215" i="1"/>
  <c r="I215" i="1" s="1"/>
  <c r="D216" i="1"/>
  <c r="I216" i="1" s="1"/>
  <c r="D217" i="1"/>
  <c r="I217" i="1" s="1"/>
  <c r="D218" i="1"/>
  <c r="I218" i="1" s="1"/>
  <c r="D219" i="1"/>
  <c r="I219" i="1" s="1"/>
  <c r="D220" i="1"/>
  <c r="I220" i="1" s="1"/>
  <c r="D221" i="1"/>
  <c r="I221" i="1" s="1"/>
  <c r="D222" i="1"/>
  <c r="I222" i="1" s="1"/>
  <c r="D223" i="1"/>
  <c r="I223" i="1" s="1"/>
  <c r="D224" i="1"/>
  <c r="I224" i="1" s="1"/>
  <c r="D225" i="1"/>
  <c r="I225" i="1" s="1"/>
  <c r="D226" i="1"/>
  <c r="I226" i="1" s="1"/>
  <c r="D227" i="1"/>
  <c r="I227" i="1" s="1"/>
  <c r="D228" i="1"/>
  <c r="I228" i="1" s="1"/>
  <c r="D229" i="1"/>
  <c r="I229" i="1" s="1"/>
  <c r="D230" i="1"/>
  <c r="I230" i="1" s="1"/>
  <c r="D231" i="1"/>
  <c r="I231" i="1" s="1"/>
  <c r="D232" i="1"/>
  <c r="I232" i="1" s="1"/>
  <c r="D233" i="1"/>
  <c r="I233" i="1" s="1"/>
  <c r="D234" i="1"/>
  <c r="I234" i="1" s="1"/>
  <c r="D235" i="1"/>
  <c r="I235" i="1" s="1"/>
  <c r="D236" i="1"/>
  <c r="I236" i="1" s="1"/>
  <c r="D237" i="1"/>
  <c r="I237" i="1" s="1"/>
  <c r="D238" i="1"/>
  <c r="I238" i="1" s="1"/>
  <c r="D239" i="1"/>
  <c r="I239" i="1" s="1"/>
  <c r="D240" i="1"/>
  <c r="I240" i="1" s="1"/>
  <c r="D241" i="1"/>
  <c r="I241" i="1" s="1"/>
  <c r="D242" i="1"/>
  <c r="I242" i="1" s="1"/>
  <c r="D243" i="1"/>
  <c r="I243" i="1" s="1"/>
  <c r="D244" i="1"/>
  <c r="I244" i="1" s="1"/>
  <c r="D245" i="1"/>
  <c r="I245" i="1" s="1"/>
  <c r="D246" i="1"/>
  <c r="I246" i="1" s="1"/>
  <c r="D247" i="1"/>
  <c r="I247" i="1" s="1"/>
  <c r="D248" i="1"/>
  <c r="I248" i="1" s="1"/>
  <c r="D249" i="1"/>
  <c r="I249" i="1" s="1"/>
  <c r="D250" i="1"/>
  <c r="I250" i="1" s="1"/>
  <c r="D251" i="1"/>
  <c r="I251" i="1" s="1"/>
  <c r="D252" i="1"/>
  <c r="I252" i="1" s="1"/>
  <c r="D253" i="1"/>
  <c r="I253" i="1" s="1"/>
  <c r="D254" i="1"/>
  <c r="I254" i="1" s="1"/>
  <c r="D255" i="1"/>
  <c r="I255" i="1" s="1"/>
  <c r="D256" i="1"/>
  <c r="I256" i="1" s="1"/>
  <c r="D257" i="1"/>
  <c r="I257" i="1" s="1"/>
  <c r="D258" i="1"/>
  <c r="I258" i="1" s="1"/>
  <c r="D259" i="1"/>
  <c r="I259" i="1" s="1"/>
  <c r="D260" i="1"/>
  <c r="I260" i="1" s="1"/>
  <c r="D261" i="1"/>
  <c r="I261" i="1" s="1"/>
  <c r="D262" i="1"/>
  <c r="I262" i="1" s="1"/>
  <c r="D263" i="1"/>
  <c r="I263" i="1" s="1"/>
  <c r="D264" i="1"/>
  <c r="I264" i="1" s="1"/>
  <c r="D265" i="1"/>
  <c r="I265" i="1" s="1"/>
  <c r="D266" i="1"/>
  <c r="I266" i="1" s="1"/>
  <c r="D267" i="1"/>
  <c r="I267" i="1" s="1"/>
  <c r="D268" i="1"/>
  <c r="I268" i="1" s="1"/>
  <c r="D269" i="1"/>
  <c r="I269" i="1" s="1"/>
  <c r="D270" i="1"/>
  <c r="I270" i="1" s="1"/>
  <c r="D271" i="1"/>
  <c r="I271" i="1" s="1"/>
  <c r="D272" i="1"/>
  <c r="I272" i="1" s="1"/>
  <c r="D273" i="1"/>
  <c r="I273" i="1" s="1"/>
  <c r="D274" i="1"/>
  <c r="I274" i="1" s="1"/>
  <c r="D275" i="1"/>
  <c r="I275" i="1" s="1"/>
  <c r="D276" i="1"/>
  <c r="I276" i="1" s="1"/>
  <c r="D277" i="1"/>
  <c r="I277" i="1" s="1"/>
  <c r="D278" i="1"/>
  <c r="I278" i="1" s="1"/>
  <c r="D279" i="1"/>
  <c r="I279" i="1" s="1"/>
  <c r="D280" i="1"/>
  <c r="I280" i="1" s="1"/>
  <c r="D281" i="1"/>
  <c r="I281" i="1" s="1"/>
  <c r="D282" i="1"/>
  <c r="I282" i="1" s="1"/>
  <c r="D283" i="1"/>
  <c r="I283" i="1" s="1"/>
  <c r="D284" i="1"/>
  <c r="I284" i="1" s="1"/>
  <c r="D285" i="1"/>
  <c r="I285" i="1" s="1"/>
  <c r="D286" i="1"/>
  <c r="I286" i="1" s="1"/>
  <c r="D287" i="1"/>
  <c r="I287" i="1" s="1"/>
  <c r="D288" i="1"/>
  <c r="I288" i="1" s="1"/>
  <c r="D289" i="1"/>
  <c r="I289" i="1" s="1"/>
  <c r="D290" i="1"/>
  <c r="I290" i="1" s="1"/>
  <c r="D291" i="1"/>
  <c r="I291" i="1" s="1"/>
  <c r="D292" i="1"/>
  <c r="I292" i="1" s="1"/>
  <c r="D293" i="1"/>
  <c r="I293" i="1" s="1"/>
  <c r="D294" i="1"/>
  <c r="I294" i="1" s="1"/>
  <c r="D295" i="1"/>
  <c r="I295" i="1" s="1"/>
  <c r="D296" i="1"/>
  <c r="I296" i="1" s="1"/>
  <c r="D297" i="1"/>
  <c r="I297" i="1" s="1"/>
  <c r="D298" i="1"/>
  <c r="I298" i="1" s="1"/>
  <c r="D299" i="1"/>
  <c r="I299" i="1" s="1"/>
  <c r="D300" i="1"/>
  <c r="I300" i="1" s="1"/>
  <c r="D301" i="1"/>
  <c r="I301" i="1" s="1"/>
  <c r="D302" i="1"/>
  <c r="I302" i="1" s="1"/>
  <c r="D303" i="1"/>
  <c r="I303" i="1" s="1"/>
  <c r="D304" i="1"/>
  <c r="I304" i="1" s="1"/>
  <c r="D305" i="1"/>
  <c r="I305" i="1" s="1"/>
  <c r="D306" i="1"/>
  <c r="I306" i="1" s="1"/>
  <c r="D307" i="1"/>
  <c r="I307" i="1" s="1"/>
  <c r="D308" i="1"/>
  <c r="I308" i="1" s="1"/>
  <c r="D309" i="1"/>
  <c r="I309" i="1" s="1"/>
  <c r="D310" i="1"/>
  <c r="I310" i="1" s="1"/>
  <c r="D311" i="1"/>
  <c r="I311" i="1" s="1"/>
  <c r="D312" i="1"/>
  <c r="I312" i="1" s="1"/>
  <c r="D313" i="1"/>
  <c r="I313" i="1" s="1"/>
  <c r="D314" i="1"/>
  <c r="I314" i="1" s="1"/>
  <c r="D315" i="1"/>
  <c r="I315" i="1" s="1"/>
  <c r="D316" i="1"/>
  <c r="I316" i="1" s="1"/>
  <c r="D317" i="1"/>
  <c r="I317" i="1" s="1"/>
  <c r="D318" i="1"/>
  <c r="I318" i="1" s="1"/>
  <c r="D319" i="1"/>
  <c r="I319" i="1" s="1"/>
  <c r="D320" i="1"/>
  <c r="I320" i="1" s="1"/>
  <c r="D321" i="1"/>
  <c r="I321" i="1" s="1"/>
  <c r="D322" i="1"/>
  <c r="I322" i="1" s="1"/>
  <c r="D323" i="1"/>
  <c r="I323" i="1" s="1"/>
  <c r="D324" i="1"/>
  <c r="I324" i="1" s="1"/>
  <c r="D325" i="1"/>
  <c r="I325" i="1" s="1"/>
  <c r="D326" i="1"/>
  <c r="I326" i="1" s="1"/>
  <c r="D327" i="1"/>
  <c r="I327" i="1" s="1"/>
  <c r="D328" i="1"/>
  <c r="I328" i="1" s="1"/>
  <c r="D329" i="1"/>
  <c r="I329" i="1" s="1"/>
  <c r="D330" i="1"/>
  <c r="I330" i="1" s="1"/>
  <c r="D331" i="1"/>
  <c r="I331" i="1" s="1"/>
  <c r="D332" i="1"/>
  <c r="I332" i="1" s="1"/>
  <c r="D333" i="1"/>
  <c r="I333" i="1" s="1"/>
  <c r="D334" i="1"/>
  <c r="I334" i="1" s="1"/>
  <c r="D335" i="1"/>
  <c r="I335" i="1" s="1"/>
  <c r="D336" i="1"/>
  <c r="I336" i="1" s="1"/>
  <c r="D337" i="1"/>
  <c r="I337" i="1" s="1"/>
  <c r="D338" i="1"/>
  <c r="I338" i="1" s="1"/>
  <c r="D339" i="1"/>
  <c r="I339" i="1" s="1"/>
  <c r="D340" i="1"/>
  <c r="I340" i="1" s="1"/>
  <c r="D341" i="1"/>
  <c r="I341" i="1" s="1"/>
  <c r="D342" i="1"/>
  <c r="I342" i="1" s="1"/>
  <c r="D343" i="1"/>
  <c r="I343" i="1" s="1"/>
  <c r="D344" i="1"/>
  <c r="I344" i="1" s="1"/>
  <c r="D345" i="1"/>
  <c r="I345" i="1" s="1"/>
  <c r="D346" i="1"/>
  <c r="I346" i="1" s="1"/>
  <c r="D347" i="1"/>
  <c r="I347" i="1" s="1"/>
  <c r="D348" i="1"/>
  <c r="I348" i="1" s="1"/>
  <c r="D349" i="1"/>
  <c r="I349" i="1" s="1"/>
  <c r="D350" i="1"/>
  <c r="I350" i="1" s="1"/>
  <c r="D351" i="1"/>
  <c r="I351" i="1" s="1"/>
  <c r="D352" i="1"/>
  <c r="I352" i="1" s="1"/>
  <c r="D353" i="1"/>
  <c r="I353" i="1" s="1"/>
  <c r="D354" i="1"/>
  <c r="I354" i="1" s="1"/>
  <c r="D355" i="1"/>
  <c r="I355" i="1" s="1"/>
  <c r="D356" i="1"/>
  <c r="I356" i="1" s="1"/>
  <c r="D357" i="1"/>
  <c r="I357" i="1" s="1"/>
  <c r="D358" i="1"/>
  <c r="I358" i="1" s="1"/>
  <c r="D359" i="1"/>
  <c r="I359" i="1" s="1"/>
  <c r="D360" i="1"/>
  <c r="I360" i="1" s="1"/>
  <c r="D361" i="1"/>
  <c r="I361" i="1" s="1"/>
  <c r="D362" i="1"/>
  <c r="I362" i="1" s="1"/>
  <c r="D363" i="1"/>
  <c r="I363" i="1" s="1"/>
  <c r="D364" i="1"/>
  <c r="I364" i="1" s="1"/>
  <c r="D365" i="1"/>
  <c r="I365" i="1" s="1"/>
  <c r="D366" i="1"/>
  <c r="I366" i="1" s="1"/>
  <c r="D367" i="1"/>
  <c r="I367" i="1" s="1"/>
  <c r="D368" i="1"/>
  <c r="I368" i="1" s="1"/>
  <c r="D369" i="1"/>
  <c r="I369" i="1" s="1"/>
  <c r="D370" i="1"/>
  <c r="I370" i="1" s="1"/>
  <c r="D371" i="1"/>
  <c r="I371" i="1" s="1"/>
  <c r="D372" i="1"/>
  <c r="I372" i="1" s="1"/>
  <c r="D373" i="1"/>
  <c r="I373" i="1" s="1"/>
  <c r="D374" i="1"/>
  <c r="I374" i="1" s="1"/>
  <c r="D375" i="1"/>
  <c r="I375" i="1" s="1"/>
  <c r="D376" i="1"/>
  <c r="I376" i="1" s="1"/>
  <c r="D377" i="1"/>
  <c r="I377" i="1" s="1"/>
  <c r="D378" i="1"/>
  <c r="I378" i="1" s="1"/>
  <c r="D379" i="1"/>
  <c r="I379" i="1" s="1"/>
  <c r="D380" i="1"/>
  <c r="I380" i="1" s="1"/>
  <c r="D381" i="1"/>
  <c r="I381" i="1" s="1"/>
  <c r="D382" i="1"/>
  <c r="I382" i="1" s="1"/>
  <c r="D383" i="1"/>
  <c r="I383" i="1" s="1"/>
  <c r="D384" i="1"/>
  <c r="I384" i="1" s="1"/>
  <c r="D385" i="1"/>
  <c r="I385" i="1" s="1"/>
  <c r="D386" i="1"/>
  <c r="I386" i="1" s="1"/>
  <c r="D387" i="1"/>
  <c r="I387" i="1" s="1"/>
  <c r="D388" i="1"/>
  <c r="I388" i="1" s="1"/>
  <c r="D389" i="1"/>
  <c r="I389" i="1" s="1"/>
  <c r="D390" i="1"/>
  <c r="I390" i="1" s="1"/>
  <c r="D391" i="1"/>
  <c r="I391" i="1" s="1"/>
  <c r="D392" i="1"/>
  <c r="I392" i="1" s="1"/>
  <c r="D393" i="1"/>
  <c r="I393" i="1" s="1"/>
  <c r="D394" i="1"/>
  <c r="I394" i="1" s="1"/>
  <c r="D395" i="1"/>
  <c r="I395" i="1" s="1"/>
  <c r="D396" i="1"/>
  <c r="I396" i="1" s="1"/>
  <c r="D397" i="1"/>
  <c r="I397" i="1" s="1"/>
  <c r="D398" i="1"/>
  <c r="I398" i="1" s="1"/>
  <c r="D399" i="1"/>
  <c r="I399" i="1" s="1"/>
  <c r="D400" i="1"/>
  <c r="I400" i="1" s="1"/>
  <c r="D401" i="1"/>
  <c r="I401" i="1" s="1"/>
  <c r="D402" i="1"/>
  <c r="I402" i="1" s="1"/>
  <c r="D403" i="1"/>
  <c r="I403" i="1" s="1"/>
  <c r="D404" i="1"/>
  <c r="I404" i="1" s="1"/>
  <c r="D405" i="1"/>
  <c r="I405" i="1" s="1"/>
  <c r="D406" i="1"/>
  <c r="I406" i="1" s="1"/>
  <c r="D407" i="1"/>
  <c r="I407" i="1" s="1"/>
  <c r="D408" i="1"/>
  <c r="I408" i="1" s="1"/>
  <c r="D409" i="1"/>
  <c r="I409" i="1" s="1"/>
  <c r="D410" i="1"/>
  <c r="I410" i="1" s="1"/>
  <c r="D411" i="1"/>
  <c r="I411" i="1" s="1"/>
  <c r="D412" i="1"/>
  <c r="I412" i="1" s="1"/>
  <c r="D413" i="1"/>
  <c r="I413" i="1" s="1"/>
  <c r="D414" i="1"/>
  <c r="I414" i="1" s="1"/>
  <c r="D415" i="1"/>
  <c r="I415" i="1" s="1"/>
  <c r="D416" i="1"/>
  <c r="I416" i="1" s="1"/>
  <c r="D417" i="1"/>
  <c r="I417" i="1" s="1"/>
  <c r="D418" i="1"/>
  <c r="I418" i="1" s="1"/>
  <c r="D419" i="1"/>
  <c r="I419" i="1" s="1"/>
  <c r="D420" i="1"/>
  <c r="I420" i="1" s="1"/>
  <c r="D421" i="1"/>
  <c r="I421" i="1" s="1"/>
  <c r="D422" i="1"/>
  <c r="I422" i="1" s="1"/>
  <c r="D423" i="1"/>
  <c r="I423" i="1" s="1"/>
  <c r="D424" i="1"/>
  <c r="I424" i="1" s="1"/>
  <c r="D425" i="1"/>
  <c r="I425" i="1" s="1"/>
  <c r="D426" i="1"/>
  <c r="I426" i="1" s="1"/>
  <c r="D427" i="1"/>
  <c r="I427" i="1" s="1"/>
  <c r="D428" i="1"/>
  <c r="I428" i="1" s="1"/>
  <c r="D429" i="1"/>
  <c r="I429" i="1" s="1"/>
  <c r="D430" i="1"/>
  <c r="I430" i="1" s="1"/>
  <c r="D431" i="1"/>
  <c r="I431" i="1" s="1"/>
  <c r="D432" i="1"/>
  <c r="I432" i="1" s="1"/>
  <c r="D433" i="1"/>
  <c r="I433" i="1" s="1"/>
  <c r="D434" i="1"/>
  <c r="I434" i="1" s="1"/>
  <c r="D435" i="1"/>
  <c r="I435" i="1" s="1"/>
  <c r="D436" i="1"/>
  <c r="I436" i="1" s="1"/>
  <c r="D437" i="1"/>
  <c r="I437" i="1" s="1"/>
  <c r="D438" i="1"/>
  <c r="I438" i="1" s="1"/>
  <c r="D439" i="1"/>
  <c r="I439" i="1" s="1"/>
  <c r="D440" i="1"/>
  <c r="I440" i="1" s="1"/>
  <c r="D441" i="1"/>
  <c r="I441" i="1" s="1"/>
  <c r="D442" i="1"/>
  <c r="I442" i="1" s="1"/>
  <c r="D443" i="1"/>
  <c r="I443" i="1" s="1"/>
  <c r="D444" i="1"/>
  <c r="I444" i="1" s="1"/>
  <c r="D445" i="1"/>
  <c r="I445" i="1" s="1"/>
  <c r="D446" i="1"/>
  <c r="I446" i="1" s="1"/>
  <c r="D447" i="1"/>
  <c r="I447" i="1" s="1"/>
  <c r="D448" i="1"/>
  <c r="I448" i="1" s="1"/>
  <c r="D449" i="1"/>
  <c r="I449" i="1" s="1"/>
  <c r="D450" i="1"/>
  <c r="I450" i="1" s="1"/>
  <c r="D451" i="1"/>
  <c r="I451" i="1" s="1"/>
  <c r="D452" i="1"/>
  <c r="I452" i="1" s="1"/>
  <c r="D453" i="1"/>
  <c r="I453" i="1" s="1"/>
  <c r="D454" i="1"/>
  <c r="I454" i="1" s="1"/>
  <c r="D455" i="1"/>
  <c r="I455" i="1" s="1"/>
  <c r="D456" i="1"/>
  <c r="I456" i="1" s="1"/>
  <c r="D457" i="1"/>
  <c r="I457" i="1" s="1"/>
  <c r="D458" i="1"/>
  <c r="I458" i="1" s="1"/>
  <c r="D459" i="1"/>
  <c r="I459" i="1" s="1"/>
  <c r="D460" i="1"/>
  <c r="I460" i="1" s="1"/>
  <c r="D461" i="1"/>
  <c r="I461" i="1" s="1"/>
  <c r="D462" i="1"/>
  <c r="I462" i="1" s="1"/>
  <c r="D463" i="1"/>
  <c r="I463" i="1" s="1"/>
  <c r="D464" i="1"/>
  <c r="I464" i="1" s="1"/>
  <c r="D465" i="1"/>
  <c r="I465" i="1" s="1"/>
  <c r="D466" i="1"/>
  <c r="I466" i="1" s="1"/>
  <c r="D467" i="1"/>
  <c r="I467" i="1" s="1"/>
  <c r="D468" i="1"/>
  <c r="I468" i="1" s="1"/>
  <c r="D469" i="1"/>
  <c r="I469" i="1" s="1"/>
  <c r="D470" i="1"/>
  <c r="I470" i="1" s="1"/>
  <c r="D471" i="1"/>
  <c r="I471" i="1" s="1"/>
  <c r="D472" i="1"/>
  <c r="I472" i="1" s="1"/>
  <c r="D473" i="1"/>
  <c r="I473" i="1" s="1"/>
  <c r="D474" i="1"/>
  <c r="I474" i="1" s="1"/>
  <c r="D475" i="1"/>
  <c r="I475" i="1" s="1"/>
  <c r="D476" i="1"/>
  <c r="I476" i="1" s="1"/>
  <c r="D477" i="1"/>
  <c r="I477" i="1" s="1"/>
  <c r="D478" i="1"/>
  <c r="I478" i="1" s="1"/>
  <c r="D479" i="1"/>
  <c r="I479" i="1" s="1"/>
  <c r="D480" i="1"/>
  <c r="I480" i="1" s="1"/>
  <c r="D481" i="1"/>
  <c r="I481" i="1" s="1"/>
  <c r="D482" i="1"/>
  <c r="I482" i="1" s="1"/>
  <c r="D483" i="1"/>
  <c r="I483" i="1" s="1"/>
  <c r="D484" i="1"/>
  <c r="I484" i="1" s="1"/>
  <c r="D485" i="1"/>
  <c r="I485" i="1" s="1"/>
  <c r="D486" i="1"/>
  <c r="I486" i="1" s="1"/>
  <c r="D487" i="1"/>
  <c r="I487" i="1" s="1"/>
  <c r="D488" i="1"/>
  <c r="I488" i="1" s="1"/>
  <c r="D489" i="1"/>
  <c r="I489" i="1" s="1"/>
  <c r="D490" i="1"/>
  <c r="I490" i="1" s="1"/>
  <c r="D491" i="1"/>
  <c r="I491" i="1" s="1"/>
  <c r="D492" i="1"/>
  <c r="I492" i="1" s="1"/>
  <c r="D493" i="1"/>
  <c r="I493" i="1" s="1"/>
  <c r="D494" i="1"/>
  <c r="I494" i="1" s="1"/>
  <c r="D495" i="1"/>
  <c r="I495" i="1" s="1"/>
  <c r="D496" i="1"/>
  <c r="I496" i="1" s="1"/>
  <c r="D497" i="1"/>
  <c r="I497" i="1" s="1"/>
  <c r="D498" i="1"/>
  <c r="I498" i="1" s="1"/>
  <c r="D499" i="1"/>
  <c r="I499" i="1" s="1"/>
  <c r="D500" i="1"/>
  <c r="I500" i="1" s="1"/>
  <c r="D501" i="1"/>
  <c r="I501" i="1" s="1"/>
  <c r="D502" i="1"/>
  <c r="I502" i="1" s="1"/>
  <c r="D503" i="1"/>
  <c r="I503" i="1" s="1"/>
  <c r="D504" i="1"/>
  <c r="I504" i="1" s="1"/>
  <c r="D505" i="1"/>
  <c r="I505" i="1" s="1"/>
  <c r="D506" i="1"/>
  <c r="I506" i="1" s="1"/>
  <c r="D507" i="1"/>
  <c r="I507" i="1" s="1"/>
  <c r="D508" i="1"/>
  <c r="I508" i="1" s="1"/>
  <c r="D509" i="1"/>
  <c r="I509" i="1" s="1"/>
  <c r="D510" i="1"/>
  <c r="I510" i="1" s="1"/>
  <c r="D511" i="1"/>
  <c r="I511" i="1" s="1"/>
  <c r="D512" i="1"/>
  <c r="I512" i="1" s="1"/>
  <c r="D513" i="1"/>
  <c r="I513" i="1" s="1"/>
  <c r="D514" i="1"/>
  <c r="I514" i="1" s="1"/>
  <c r="D515" i="1"/>
  <c r="I515" i="1" s="1"/>
  <c r="D516" i="1"/>
  <c r="I516" i="1" s="1"/>
  <c r="D517" i="1"/>
  <c r="I517" i="1" s="1"/>
  <c r="D518" i="1"/>
  <c r="I518" i="1" s="1"/>
  <c r="D519" i="1"/>
  <c r="I519" i="1" s="1"/>
  <c r="D520" i="1"/>
  <c r="I520" i="1" s="1"/>
  <c r="D521" i="1"/>
  <c r="I521" i="1" s="1"/>
  <c r="D522" i="1"/>
  <c r="I522" i="1" s="1"/>
  <c r="D523" i="1"/>
  <c r="I523" i="1" s="1"/>
  <c r="D524" i="1"/>
  <c r="I524" i="1" s="1"/>
  <c r="D525" i="1"/>
  <c r="I525" i="1" s="1"/>
  <c r="D526" i="1"/>
  <c r="I526" i="1" s="1"/>
  <c r="D527" i="1"/>
  <c r="I527" i="1" s="1"/>
  <c r="D528" i="1"/>
  <c r="I528" i="1" s="1"/>
  <c r="D529" i="1"/>
  <c r="I529" i="1" s="1"/>
  <c r="D530" i="1"/>
  <c r="I530" i="1" s="1"/>
  <c r="D531" i="1"/>
  <c r="I531" i="1" s="1"/>
  <c r="D532" i="1"/>
  <c r="I532" i="1" s="1"/>
  <c r="D533" i="1"/>
  <c r="I533" i="1" s="1"/>
  <c r="D534" i="1"/>
  <c r="I534" i="1" s="1"/>
  <c r="D535" i="1"/>
  <c r="I535" i="1" s="1"/>
  <c r="D536" i="1"/>
  <c r="I536" i="1" s="1"/>
  <c r="D537" i="1"/>
  <c r="I537" i="1" s="1"/>
  <c r="D538" i="1"/>
  <c r="I538" i="1" s="1"/>
  <c r="D539" i="1"/>
  <c r="I539" i="1" s="1"/>
  <c r="D540" i="1"/>
  <c r="I540" i="1" s="1"/>
  <c r="D541" i="1"/>
  <c r="I541" i="1" s="1"/>
  <c r="D542" i="1"/>
  <c r="I542" i="1" s="1"/>
  <c r="D543" i="1"/>
  <c r="I543" i="1" s="1"/>
  <c r="D544" i="1"/>
  <c r="I544" i="1" s="1"/>
  <c r="D545" i="1"/>
  <c r="I545" i="1" s="1"/>
  <c r="D546" i="1"/>
  <c r="I546" i="1" s="1"/>
  <c r="D547" i="1"/>
  <c r="I547" i="1" s="1"/>
  <c r="D548" i="1"/>
  <c r="I548" i="1" s="1"/>
  <c r="D549" i="1"/>
  <c r="I549" i="1" s="1"/>
  <c r="D550" i="1"/>
  <c r="I550" i="1" s="1"/>
  <c r="D551" i="1"/>
  <c r="I551" i="1" s="1"/>
  <c r="D552" i="1"/>
  <c r="I552" i="1" s="1"/>
  <c r="D553" i="1"/>
  <c r="I553" i="1" s="1"/>
  <c r="D554" i="1"/>
  <c r="I554" i="1" s="1"/>
  <c r="D555" i="1"/>
  <c r="I555" i="1" s="1"/>
  <c r="D556" i="1"/>
  <c r="I556" i="1" s="1"/>
  <c r="D557" i="1"/>
  <c r="I557" i="1" s="1"/>
  <c r="D558" i="1"/>
  <c r="I558" i="1" s="1"/>
  <c r="D559" i="1"/>
  <c r="I559" i="1" s="1"/>
  <c r="D560" i="1"/>
  <c r="I560" i="1" s="1"/>
  <c r="D561" i="1"/>
  <c r="I561" i="1" s="1"/>
  <c r="D562" i="1"/>
  <c r="I562" i="1" s="1"/>
  <c r="D563" i="1"/>
  <c r="I563" i="1" s="1"/>
  <c r="D564" i="1"/>
  <c r="I564" i="1" s="1"/>
  <c r="D565" i="1"/>
  <c r="I565" i="1" s="1"/>
  <c r="D566" i="1"/>
  <c r="I566" i="1" s="1"/>
  <c r="D567" i="1"/>
  <c r="I567" i="1" s="1"/>
  <c r="D568" i="1"/>
  <c r="I568" i="1" s="1"/>
  <c r="D569" i="1"/>
  <c r="I569" i="1" s="1"/>
  <c r="D570" i="1"/>
  <c r="I570" i="1" s="1"/>
  <c r="D571" i="1"/>
  <c r="I571" i="1" s="1"/>
  <c r="D572" i="1"/>
  <c r="I572" i="1" s="1"/>
  <c r="D573" i="1"/>
  <c r="I573" i="1" s="1"/>
  <c r="D574" i="1"/>
  <c r="I574" i="1" s="1"/>
  <c r="D575" i="1"/>
  <c r="I575" i="1" s="1"/>
  <c r="D576" i="1"/>
  <c r="I576" i="1" s="1"/>
  <c r="D577" i="1"/>
  <c r="I577" i="1" s="1"/>
  <c r="D578" i="1"/>
  <c r="I578" i="1" s="1"/>
  <c r="D579" i="1"/>
  <c r="I579" i="1" s="1"/>
  <c r="D580" i="1"/>
  <c r="I580" i="1" s="1"/>
  <c r="D581" i="1"/>
  <c r="I581" i="1" s="1"/>
  <c r="D582" i="1"/>
  <c r="I582" i="1" s="1"/>
  <c r="D583" i="1"/>
  <c r="I583" i="1" s="1"/>
  <c r="D584" i="1"/>
  <c r="I584" i="1" s="1"/>
  <c r="D585" i="1"/>
  <c r="I585" i="1" s="1"/>
  <c r="D586" i="1"/>
  <c r="I586" i="1" s="1"/>
  <c r="D587" i="1"/>
  <c r="I587" i="1" s="1"/>
  <c r="D588" i="1"/>
  <c r="I588" i="1" s="1"/>
  <c r="D589" i="1"/>
  <c r="I589" i="1" s="1"/>
  <c r="D590" i="1"/>
  <c r="I590" i="1" s="1"/>
  <c r="D591" i="1"/>
  <c r="I591" i="1" s="1"/>
  <c r="D592" i="1"/>
  <c r="I592" i="1" s="1"/>
  <c r="D593" i="1"/>
  <c r="I593" i="1" s="1"/>
  <c r="D594" i="1"/>
  <c r="I594" i="1" s="1"/>
  <c r="D595" i="1"/>
  <c r="I595" i="1" s="1"/>
  <c r="D596" i="1"/>
  <c r="I596" i="1" s="1"/>
  <c r="D597" i="1"/>
  <c r="I597" i="1" s="1"/>
  <c r="D598" i="1"/>
  <c r="I598" i="1" s="1"/>
  <c r="D599" i="1"/>
  <c r="I599" i="1" s="1"/>
  <c r="D600" i="1"/>
  <c r="I600" i="1" s="1"/>
  <c r="D601" i="1"/>
  <c r="I601" i="1" s="1"/>
  <c r="D602" i="1"/>
  <c r="I602" i="1" s="1"/>
  <c r="D603" i="1"/>
  <c r="I603" i="1" s="1"/>
  <c r="D604" i="1"/>
  <c r="I604" i="1" s="1"/>
  <c r="D605" i="1"/>
  <c r="I605" i="1" s="1"/>
  <c r="D606" i="1"/>
  <c r="I606" i="1" s="1"/>
  <c r="D607" i="1"/>
  <c r="I607" i="1" s="1"/>
  <c r="D608" i="1"/>
  <c r="I608" i="1" s="1"/>
  <c r="D609" i="1"/>
  <c r="I609" i="1" s="1"/>
  <c r="D610" i="1"/>
  <c r="I610" i="1" s="1"/>
  <c r="D611" i="1"/>
  <c r="I611" i="1" s="1"/>
  <c r="D612" i="1"/>
  <c r="I612" i="1" s="1"/>
  <c r="D613" i="1"/>
  <c r="I613" i="1" s="1"/>
  <c r="D614" i="1"/>
  <c r="I614" i="1" s="1"/>
  <c r="D615" i="1"/>
  <c r="I615" i="1" s="1"/>
  <c r="D616" i="1"/>
  <c r="I616" i="1" s="1"/>
  <c r="D617" i="1"/>
  <c r="I617" i="1" s="1"/>
  <c r="D618" i="1"/>
  <c r="I618" i="1" s="1"/>
  <c r="D619" i="1"/>
  <c r="I619" i="1" s="1"/>
  <c r="D620" i="1"/>
  <c r="I620" i="1" s="1"/>
  <c r="D621" i="1"/>
  <c r="I621" i="1" s="1"/>
  <c r="D622" i="1"/>
  <c r="I622" i="1" s="1"/>
  <c r="D623" i="1"/>
  <c r="I623" i="1" s="1"/>
  <c r="D624" i="1"/>
  <c r="I624" i="1" s="1"/>
  <c r="D625" i="1"/>
  <c r="I625" i="1" s="1"/>
  <c r="D626" i="1"/>
  <c r="I626" i="1" s="1"/>
  <c r="D627" i="1"/>
  <c r="I627" i="1" s="1"/>
  <c r="D628" i="1"/>
  <c r="I628" i="1" s="1"/>
  <c r="D629" i="1"/>
  <c r="I629" i="1" s="1"/>
  <c r="D630" i="1"/>
  <c r="I630" i="1" s="1"/>
  <c r="D631" i="1"/>
  <c r="I631" i="1" s="1"/>
  <c r="D632" i="1"/>
  <c r="I632" i="1" s="1"/>
  <c r="D633" i="1"/>
  <c r="I633" i="1" s="1"/>
  <c r="D634" i="1"/>
  <c r="I634" i="1" s="1"/>
  <c r="D635" i="1"/>
  <c r="I635" i="1" s="1"/>
  <c r="D636" i="1"/>
  <c r="I636" i="1" s="1"/>
  <c r="D637" i="1"/>
  <c r="I637" i="1" s="1"/>
  <c r="D638" i="1"/>
  <c r="I638" i="1" s="1"/>
  <c r="D639" i="1"/>
  <c r="I639" i="1" s="1"/>
  <c r="D640" i="1"/>
  <c r="I640" i="1" s="1"/>
  <c r="D641" i="1"/>
  <c r="I641" i="1" s="1"/>
  <c r="D642" i="1"/>
  <c r="I642" i="1" s="1"/>
  <c r="D643" i="1"/>
  <c r="I643" i="1" s="1"/>
  <c r="D644" i="1"/>
  <c r="I644" i="1" s="1"/>
  <c r="D645" i="1"/>
  <c r="I645" i="1" s="1"/>
  <c r="D646" i="1"/>
  <c r="I646" i="1" s="1"/>
  <c r="D647" i="1"/>
  <c r="I647" i="1" s="1"/>
  <c r="D648" i="1"/>
  <c r="I648" i="1" s="1"/>
  <c r="D649" i="1"/>
  <c r="I649" i="1" s="1"/>
  <c r="D650" i="1"/>
  <c r="I650" i="1" s="1"/>
  <c r="D651" i="1"/>
  <c r="I651" i="1" s="1"/>
  <c r="D652" i="1"/>
  <c r="I652" i="1" s="1"/>
  <c r="D653" i="1"/>
  <c r="I653" i="1" s="1"/>
  <c r="D654" i="1"/>
  <c r="I654" i="1" s="1"/>
  <c r="D655" i="1"/>
  <c r="I655" i="1" s="1"/>
  <c r="D656" i="1"/>
  <c r="I656" i="1" s="1"/>
  <c r="D657" i="1"/>
  <c r="I657" i="1" s="1"/>
  <c r="D658" i="1"/>
  <c r="I658" i="1" s="1"/>
  <c r="D659" i="1"/>
  <c r="I659" i="1" s="1"/>
  <c r="D660" i="1"/>
  <c r="I660" i="1" s="1"/>
  <c r="D661" i="1"/>
  <c r="I661" i="1" s="1"/>
  <c r="D662" i="1"/>
  <c r="I662" i="1" s="1"/>
  <c r="D663" i="1"/>
  <c r="I663" i="1" s="1"/>
  <c r="D664" i="1"/>
  <c r="I664" i="1" s="1"/>
  <c r="D665" i="1"/>
  <c r="I665" i="1" s="1"/>
  <c r="D666" i="1"/>
  <c r="I666" i="1" s="1"/>
  <c r="D667" i="1"/>
  <c r="I667" i="1" s="1"/>
  <c r="D668" i="1"/>
  <c r="I668" i="1" s="1"/>
  <c r="D669" i="1"/>
  <c r="I669" i="1" s="1"/>
  <c r="D670" i="1"/>
  <c r="I670" i="1" s="1"/>
  <c r="D671" i="1"/>
  <c r="I671" i="1" s="1"/>
  <c r="D672" i="1"/>
  <c r="I672" i="1" s="1"/>
  <c r="D673" i="1"/>
  <c r="I673" i="1" s="1"/>
  <c r="D674" i="1"/>
  <c r="I674" i="1" s="1"/>
  <c r="D675" i="1"/>
  <c r="I675" i="1" s="1"/>
  <c r="D676" i="1"/>
  <c r="I676" i="1" s="1"/>
  <c r="D677" i="1"/>
  <c r="I677" i="1" s="1"/>
  <c r="D678" i="1"/>
  <c r="I678" i="1" s="1"/>
  <c r="D679" i="1"/>
  <c r="I679" i="1" s="1"/>
  <c r="D680" i="1"/>
  <c r="I680" i="1" s="1"/>
  <c r="D681" i="1"/>
  <c r="I681" i="1" s="1"/>
  <c r="D682" i="1"/>
  <c r="I682" i="1" s="1"/>
  <c r="D683" i="1"/>
  <c r="I683" i="1" s="1"/>
  <c r="D684" i="1"/>
  <c r="I684" i="1" s="1"/>
  <c r="D685" i="1"/>
  <c r="I685" i="1" s="1"/>
  <c r="D686" i="1"/>
  <c r="I686" i="1" s="1"/>
  <c r="D687" i="1"/>
  <c r="I687" i="1" s="1"/>
  <c r="D688" i="1"/>
  <c r="I688" i="1" s="1"/>
  <c r="D689" i="1"/>
  <c r="I689" i="1" s="1"/>
  <c r="D690" i="1"/>
  <c r="I690" i="1" s="1"/>
  <c r="D691" i="1"/>
  <c r="I691" i="1" s="1"/>
  <c r="D692" i="1"/>
  <c r="I692" i="1" s="1"/>
  <c r="D693" i="1"/>
  <c r="I693" i="1" s="1"/>
  <c r="D694" i="1"/>
  <c r="I694" i="1" s="1"/>
  <c r="D695" i="1"/>
  <c r="I695" i="1" s="1"/>
  <c r="D696" i="1"/>
  <c r="I696" i="1" s="1"/>
  <c r="D697" i="1"/>
  <c r="I697" i="1" s="1"/>
  <c r="D698" i="1"/>
  <c r="I698" i="1" s="1"/>
  <c r="D699" i="1"/>
  <c r="I699" i="1" s="1"/>
  <c r="D700" i="1"/>
  <c r="I700" i="1" s="1"/>
  <c r="D701" i="1"/>
  <c r="I701" i="1" s="1"/>
  <c r="D702" i="1"/>
  <c r="I702" i="1" s="1"/>
  <c r="D703" i="1"/>
  <c r="I703" i="1" s="1"/>
  <c r="D704" i="1"/>
  <c r="I704" i="1" s="1"/>
  <c r="D705" i="1"/>
  <c r="I705" i="1" s="1"/>
  <c r="D706" i="1"/>
  <c r="I706" i="1" s="1"/>
  <c r="D707" i="1"/>
  <c r="I707" i="1" s="1"/>
  <c r="D708" i="1"/>
  <c r="I708" i="1" s="1"/>
  <c r="D709" i="1"/>
  <c r="I709" i="1" s="1"/>
  <c r="D710" i="1"/>
  <c r="I710" i="1" s="1"/>
  <c r="D711" i="1"/>
  <c r="I711" i="1" s="1"/>
  <c r="D712" i="1"/>
  <c r="I712" i="1" s="1"/>
  <c r="D713" i="1"/>
  <c r="I713" i="1" s="1"/>
  <c r="D714" i="1"/>
  <c r="I714" i="1" s="1"/>
  <c r="D715" i="1"/>
  <c r="I715" i="1" s="1"/>
  <c r="D716" i="1"/>
  <c r="I716" i="1" s="1"/>
  <c r="D717" i="1"/>
  <c r="I717" i="1" s="1"/>
  <c r="D718" i="1"/>
  <c r="I718" i="1" s="1"/>
  <c r="D719" i="1"/>
  <c r="I719" i="1" s="1"/>
  <c r="D720" i="1"/>
  <c r="I720" i="1" s="1"/>
  <c r="D721" i="1"/>
  <c r="I721" i="1" s="1"/>
  <c r="D722" i="1"/>
  <c r="I722" i="1" s="1"/>
  <c r="D723" i="1"/>
  <c r="I723" i="1" s="1"/>
  <c r="D724" i="1"/>
  <c r="I724" i="1" s="1"/>
  <c r="D725" i="1"/>
  <c r="I725" i="1" s="1"/>
  <c r="D726" i="1"/>
  <c r="I726" i="1" s="1"/>
  <c r="D727" i="1"/>
  <c r="I727" i="1" s="1"/>
  <c r="D728" i="1"/>
  <c r="I728" i="1" s="1"/>
  <c r="D729" i="1"/>
  <c r="I729" i="1" s="1"/>
  <c r="D730" i="1"/>
  <c r="I730" i="1" s="1"/>
  <c r="D731" i="1"/>
  <c r="I731" i="1" s="1"/>
  <c r="D732" i="1"/>
  <c r="I732" i="1" s="1"/>
  <c r="D733" i="1"/>
  <c r="I733" i="1" s="1"/>
  <c r="D734" i="1"/>
  <c r="I734" i="1" s="1"/>
  <c r="D735" i="1"/>
  <c r="I735" i="1" s="1"/>
  <c r="D736" i="1"/>
  <c r="I736" i="1" s="1"/>
  <c r="D737" i="1"/>
  <c r="I737" i="1" s="1"/>
  <c r="D738" i="1"/>
  <c r="I738" i="1" s="1"/>
  <c r="D739" i="1"/>
  <c r="I739" i="1" s="1"/>
  <c r="D740" i="1"/>
  <c r="I740" i="1" s="1"/>
  <c r="D741" i="1"/>
  <c r="I741" i="1" s="1"/>
  <c r="D742" i="1"/>
  <c r="I742" i="1" s="1"/>
  <c r="D743" i="1"/>
  <c r="I743" i="1" s="1"/>
  <c r="D744" i="1"/>
  <c r="I744" i="1" s="1"/>
  <c r="D745" i="1"/>
  <c r="I745" i="1" s="1"/>
  <c r="D746" i="1"/>
  <c r="I746" i="1" s="1"/>
  <c r="D747" i="1"/>
  <c r="I747" i="1" s="1"/>
  <c r="D748" i="1"/>
  <c r="I748" i="1" s="1"/>
  <c r="D749" i="1"/>
  <c r="I749" i="1" s="1"/>
  <c r="D750" i="1"/>
  <c r="I750" i="1" s="1"/>
  <c r="D751" i="1"/>
  <c r="I751" i="1" s="1"/>
  <c r="D752" i="1"/>
  <c r="I752" i="1" s="1"/>
  <c r="D753" i="1"/>
  <c r="I753" i="1" s="1"/>
  <c r="D754" i="1"/>
  <c r="I754" i="1" s="1"/>
  <c r="D755" i="1"/>
  <c r="I755" i="1" s="1"/>
  <c r="D756" i="1"/>
  <c r="I756" i="1" s="1"/>
  <c r="D757" i="1"/>
  <c r="I757" i="1" s="1"/>
  <c r="D758" i="1"/>
  <c r="I758" i="1" s="1"/>
  <c r="D759" i="1"/>
  <c r="I759" i="1" s="1"/>
  <c r="D760" i="1"/>
  <c r="I760" i="1" s="1"/>
  <c r="D761" i="1"/>
  <c r="I761" i="1" s="1"/>
  <c r="D762" i="1"/>
  <c r="I762" i="1" s="1"/>
  <c r="D763" i="1"/>
  <c r="I763" i="1" s="1"/>
  <c r="D764" i="1"/>
  <c r="I764" i="1" s="1"/>
  <c r="D765" i="1"/>
  <c r="I765" i="1" s="1"/>
  <c r="D766" i="1"/>
  <c r="I766" i="1" s="1"/>
  <c r="D767" i="1"/>
  <c r="I767" i="1" s="1"/>
  <c r="D768" i="1"/>
  <c r="I768" i="1" s="1"/>
  <c r="D769" i="1"/>
  <c r="I769" i="1" s="1"/>
  <c r="D770" i="1"/>
  <c r="I770" i="1" s="1"/>
  <c r="D771" i="1"/>
  <c r="I771" i="1" s="1"/>
  <c r="D772" i="1"/>
  <c r="I772" i="1" s="1"/>
  <c r="D773" i="1"/>
  <c r="I773" i="1" s="1"/>
  <c r="D774" i="1"/>
  <c r="I774" i="1" s="1"/>
  <c r="D775" i="1"/>
  <c r="I775" i="1" s="1"/>
  <c r="D776" i="1"/>
  <c r="I776" i="1" s="1"/>
  <c r="D777" i="1"/>
  <c r="I777" i="1" s="1"/>
  <c r="D778" i="1"/>
  <c r="I778" i="1" s="1"/>
  <c r="D779" i="1"/>
  <c r="I779" i="1" s="1"/>
  <c r="D780" i="1"/>
  <c r="I780" i="1" s="1"/>
  <c r="D781" i="1"/>
  <c r="I781" i="1" s="1"/>
  <c r="D782" i="1"/>
  <c r="I782" i="1" s="1"/>
  <c r="D783" i="1"/>
  <c r="I783" i="1" s="1"/>
  <c r="D784" i="1"/>
  <c r="I784" i="1" s="1"/>
  <c r="D785" i="1"/>
  <c r="I785" i="1" s="1"/>
  <c r="D786" i="1"/>
  <c r="I786" i="1" s="1"/>
  <c r="D787" i="1"/>
  <c r="I787" i="1" s="1"/>
  <c r="D788" i="1"/>
  <c r="I788" i="1" s="1"/>
  <c r="D789" i="1"/>
  <c r="I789" i="1" s="1"/>
  <c r="D790" i="1"/>
  <c r="I790" i="1" s="1"/>
  <c r="D791" i="1"/>
  <c r="I791" i="1" s="1"/>
  <c r="D792" i="1"/>
  <c r="I792" i="1" s="1"/>
  <c r="D793" i="1"/>
  <c r="I793" i="1" s="1"/>
  <c r="D794" i="1"/>
  <c r="I794" i="1" s="1"/>
  <c r="D795" i="1"/>
  <c r="I795" i="1" s="1"/>
  <c r="D796" i="1"/>
  <c r="I796" i="1" s="1"/>
  <c r="D797" i="1"/>
  <c r="I797" i="1" s="1"/>
  <c r="D798" i="1"/>
  <c r="I798" i="1" s="1"/>
  <c r="D799" i="1"/>
  <c r="I799" i="1" s="1"/>
  <c r="D800" i="1"/>
  <c r="I800" i="1" s="1"/>
  <c r="D801" i="1"/>
  <c r="I801" i="1" s="1"/>
  <c r="D802" i="1"/>
  <c r="I802" i="1" s="1"/>
  <c r="D803" i="1"/>
  <c r="I803" i="1" s="1"/>
  <c r="D804" i="1"/>
  <c r="I804" i="1" s="1"/>
  <c r="D805" i="1"/>
  <c r="I805" i="1" s="1"/>
  <c r="D806" i="1"/>
  <c r="I806" i="1" s="1"/>
  <c r="D807" i="1"/>
  <c r="I807" i="1" s="1"/>
  <c r="D808" i="1"/>
  <c r="I808" i="1" s="1"/>
  <c r="D809" i="1"/>
  <c r="I809" i="1" s="1"/>
  <c r="D810" i="1"/>
  <c r="I810" i="1" s="1"/>
  <c r="D811" i="1"/>
  <c r="I811" i="1" s="1"/>
  <c r="D812" i="1"/>
  <c r="I812" i="1" s="1"/>
  <c r="D813" i="1"/>
  <c r="I813" i="1" s="1"/>
  <c r="D814" i="1"/>
  <c r="I814" i="1" s="1"/>
  <c r="D815" i="1"/>
  <c r="I815" i="1" s="1"/>
  <c r="D816" i="1"/>
  <c r="I816" i="1" s="1"/>
  <c r="D817" i="1"/>
  <c r="I817" i="1" s="1"/>
  <c r="D818" i="1"/>
  <c r="I818" i="1" s="1"/>
  <c r="D819" i="1"/>
  <c r="I819" i="1" s="1"/>
  <c r="D820" i="1"/>
  <c r="I820" i="1" s="1"/>
  <c r="D821" i="1"/>
  <c r="I821" i="1" s="1"/>
  <c r="D822" i="1"/>
  <c r="I822" i="1" s="1"/>
  <c r="D823" i="1"/>
  <c r="I823" i="1" s="1"/>
  <c r="D824" i="1"/>
  <c r="I824" i="1" s="1"/>
  <c r="D825" i="1"/>
  <c r="I825" i="1" s="1"/>
  <c r="D826" i="1"/>
  <c r="I826" i="1" s="1"/>
  <c r="D827" i="1"/>
  <c r="I827" i="1" s="1"/>
  <c r="D828" i="1"/>
  <c r="I828" i="1" s="1"/>
  <c r="D829" i="1"/>
  <c r="I829" i="1" s="1"/>
  <c r="D830" i="1"/>
  <c r="I830" i="1" s="1"/>
  <c r="D831" i="1"/>
  <c r="I831" i="1" s="1"/>
  <c r="D832" i="1"/>
  <c r="I832" i="1" s="1"/>
  <c r="D833" i="1"/>
  <c r="I833" i="1" s="1"/>
  <c r="D834" i="1"/>
  <c r="I834" i="1" s="1"/>
  <c r="D835" i="1"/>
  <c r="I835" i="1" s="1"/>
  <c r="D836" i="1"/>
  <c r="I836" i="1" s="1"/>
  <c r="D837" i="1"/>
  <c r="I837" i="1" s="1"/>
  <c r="D838" i="1"/>
  <c r="I838" i="1" s="1"/>
  <c r="D839" i="1"/>
  <c r="I839" i="1" s="1"/>
  <c r="D840" i="1"/>
  <c r="I840" i="1" s="1"/>
  <c r="D841" i="1"/>
  <c r="I841" i="1" s="1"/>
  <c r="D842" i="1"/>
  <c r="I842" i="1" s="1"/>
  <c r="D843" i="1"/>
  <c r="I843" i="1" s="1"/>
  <c r="D844" i="1"/>
  <c r="I844" i="1" s="1"/>
  <c r="D845" i="1"/>
  <c r="I845" i="1" s="1"/>
  <c r="D846" i="1"/>
  <c r="I846" i="1" s="1"/>
  <c r="D847" i="1"/>
  <c r="I847" i="1" s="1"/>
  <c r="D848" i="1"/>
  <c r="I848" i="1" s="1"/>
  <c r="D849" i="1"/>
  <c r="I849" i="1" s="1"/>
  <c r="D850" i="1"/>
  <c r="I850" i="1" s="1"/>
  <c r="D851" i="1"/>
  <c r="I851" i="1" s="1"/>
  <c r="D852" i="1"/>
  <c r="I852" i="1" s="1"/>
  <c r="D853" i="1"/>
  <c r="I853" i="1" s="1"/>
  <c r="D854" i="1"/>
  <c r="I854" i="1" s="1"/>
  <c r="D855" i="1"/>
  <c r="I855" i="1" s="1"/>
  <c r="D856" i="1"/>
  <c r="I856" i="1" s="1"/>
  <c r="D857" i="1"/>
  <c r="I857" i="1" s="1"/>
  <c r="D858" i="1"/>
  <c r="I858" i="1" s="1"/>
  <c r="D859" i="1"/>
  <c r="I859" i="1" s="1"/>
  <c r="D860" i="1"/>
  <c r="I860" i="1" s="1"/>
  <c r="D861" i="1"/>
  <c r="I861" i="1" s="1"/>
  <c r="D862" i="1"/>
  <c r="I862" i="1" s="1"/>
  <c r="D863" i="1"/>
  <c r="I863" i="1" s="1"/>
  <c r="D864" i="1"/>
  <c r="I864" i="1" s="1"/>
  <c r="D865" i="1"/>
  <c r="I865" i="1" s="1"/>
  <c r="D866" i="1"/>
  <c r="I866" i="1" s="1"/>
  <c r="D867" i="1"/>
  <c r="I867" i="1" s="1"/>
  <c r="D868" i="1"/>
  <c r="I868" i="1" s="1"/>
  <c r="D869" i="1"/>
  <c r="I869" i="1" s="1"/>
  <c r="D870" i="1"/>
  <c r="I870" i="1" s="1"/>
  <c r="D871" i="1"/>
  <c r="I871" i="1" s="1"/>
  <c r="D872" i="1"/>
  <c r="I872" i="1" s="1"/>
  <c r="D873" i="1"/>
  <c r="I873" i="1" s="1"/>
  <c r="D874" i="1"/>
  <c r="I874" i="1" s="1"/>
  <c r="D875" i="1"/>
  <c r="I875" i="1" s="1"/>
  <c r="D876" i="1"/>
  <c r="I876" i="1" s="1"/>
  <c r="D877" i="1"/>
  <c r="I877" i="1" s="1"/>
  <c r="D878" i="1"/>
  <c r="I878" i="1" s="1"/>
  <c r="D879" i="1"/>
  <c r="I879" i="1" s="1"/>
  <c r="D880" i="1"/>
  <c r="I880" i="1" s="1"/>
  <c r="D881" i="1"/>
  <c r="I881" i="1" s="1"/>
  <c r="D882" i="1"/>
  <c r="I882" i="1" s="1"/>
  <c r="D883" i="1"/>
  <c r="I883" i="1" s="1"/>
  <c r="D884" i="1"/>
  <c r="I884" i="1" s="1"/>
  <c r="D885" i="1"/>
  <c r="I885" i="1" s="1"/>
  <c r="D886" i="1"/>
  <c r="I886" i="1" s="1"/>
  <c r="D887" i="1"/>
  <c r="I887" i="1" s="1"/>
  <c r="D888" i="1"/>
  <c r="I888" i="1" s="1"/>
  <c r="D889" i="1"/>
  <c r="I889" i="1" s="1"/>
  <c r="D890" i="1"/>
  <c r="I890" i="1" s="1"/>
  <c r="D891" i="1"/>
  <c r="I891" i="1" s="1"/>
  <c r="D892" i="1"/>
  <c r="I892" i="1" s="1"/>
  <c r="D893" i="1"/>
  <c r="I893" i="1" s="1"/>
  <c r="D894" i="1"/>
  <c r="I894" i="1" s="1"/>
  <c r="D895" i="1"/>
  <c r="I895" i="1" s="1"/>
  <c r="D896" i="1"/>
  <c r="I896" i="1" s="1"/>
  <c r="D897" i="1"/>
  <c r="I897" i="1" s="1"/>
  <c r="D898" i="1"/>
  <c r="I898" i="1" s="1"/>
  <c r="D899" i="1"/>
  <c r="I899" i="1" s="1"/>
  <c r="D900" i="1"/>
  <c r="I900" i="1" s="1"/>
  <c r="D901" i="1"/>
  <c r="I901" i="1" s="1"/>
  <c r="D902" i="1"/>
  <c r="I902" i="1" s="1"/>
  <c r="D903" i="1"/>
  <c r="I903" i="1" s="1"/>
  <c r="D904" i="1"/>
  <c r="I904" i="1" s="1"/>
  <c r="D905" i="1"/>
  <c r="I905" i="1" s="1"/>
  <c r="D906" i="1"/>
  <c r="I906" i="1" s="1"/>
  <c r="D907" i="1"/>
  <c r="I907" i="1" s="1"/>
  <c r="D908" i="1"/>
  <c r="I908" i="1" s="1"/>
  <c r="D909" i="1"/>
  <c r="I909" i="1" s="1"/>
  <c r="D910" i="1"/>
  <c r="I910" i="1" s="1"/>
  <c r="D911" i="1"/>
  <c r="I911" i="1" s="1"/>
  <c r="D912" i="1"/>
  <c r="I912" i="1" s="1"/>
  <c r="D913" i="1"/>
  <c r="I913" i="1" s="1"/>
  <c r="D914" i="1"/>
  <c r="I914" i="1" s="1"/>
  <c r="D915" i="1"/>
  <c r="I915" i="1" s="1"/>
  <c r="D916" i="1"/>
  <c r="I916" i="1" s="1"/>
  <c r="D917" i="1"/>
  <c r="I917" i="1" s="1"/>
  <c r="D918" i="1"/>
  <c r="I918" i="1" s="1"/>
  <c r="D919" i="1"/>
  <c r="I919" i="1" s="1"/>
  <c r="D920" i="1"/>
  <c r="I920" i="1" s="1"/>
  <c r="D921" i="1"/>
  <c r="I921" i="1" s="1"/>
  <c r="D922" i="1"/>
  <c r="I922" i="1" s="1"/>
  <c r="D923" i="1"/>
  <c r="I923" i="1" s="1"/>
  <c r="D924" i="1"/>
  <c r="I924" i="1" s="1"/>
  <c r="D925" i="1"/>
  <c r="I925" i="1" s="1"/>
  <c r="D926" i="1"/>
  <c r="I926" i="1" s="1"/>
  <c r="D927" i="1"/>
  <c r="I927" i="1" s="1"/>
  <c r="D928" i="1"/>
  <c r="I928" i="1" s="1"/>
  <c r="D929" i="1"/>
  <c r="I929" i="1" s="1"/>
  <c r="D930" i="1"/>
  <c r="I930" i="1" s="1"/>
  <c r="D931" i="1"/>
  <c r="I931" i="1" s="1"/>
  <c r="D932" i="1"/>
  <c r="I932" i="1" s="1"/>
  <c r="D933" i="1"/>
  <c r="I933" i="1" s="1"/>
  <c r="D934" i="1"/>
  <c r="I934" i="1" s="1"/>
  <c r="D935" i="1"/>
  <c r="I935" i="1" s="1"/>
  <c r="D936" i="1"/>
  <c r="I936" i="1" s="1"/>
  <c r="D937" i="1"/>
  <c r="I937" i="1" s="1"/>
  <c r="D938" i="1"/>
  <c r="I938" i="1" s="1"/>
  <c r="D939" i="1"/>
  <c r="I939" i="1" s="1"/>
  <c r="D940" i="1"/>
  <c r="I940" i="1" s="1"/>
  <c r="D941" i="1"/>
  <c r="I941" i="1" s="1"/>
  <c r="D942" i="1"/>
  <c r="I942" i="1" s="1"/>
  <c r="D943" i="1"/>
  <c r="I943" i="1" s="1"/>
  <c r="D944" i="1"/>
  <c r="I944" i="1" s="1"/>
  <c r="D945" i="1"/>
  <c r="I945" i="1" s="1"/>
  <c r="D946" i="1"/>
  <c r="I946" i="1" s="1"/>
  <c r="D947" i="1"/>
  <c r="I947" i="1" s="1"/>
  <c r="D948" i="1"/>
  <c r="I948" i="1" s="1"/>
  <c r="D949" i="1"/>
  <c r="I949" i="1" s="1"/>
  <c r="D950" i="1"/>
  <c r="I950" i="1" s="1"/>
  <c r="D951" i="1"/>
  <c r="I951" i="1" s="1"/>
  <c r="D952" i="1"/>
  <c r="I952" i="1" s="1"/>
  <c r="D953" i="1"/>
  <c r="I953" i="1" s="1"/>
  <c r="D954" i="1"/>
  <c r="I954" i="1" s="1"/>
  <c r="D955" i="1"/>
  <c r="I955" i="1" s="1"/>
  <c r="D956" i="1"/>
  <c r="I956" i="1" s="1"/>
  <c r="D957" i="1"/>
  <c r="I957" i="1" s="1"/>
  <c r="D958" i="1"/>
  <c r="I958" i="1" s="1"/>
  <c r="D959" i="1"/>
  <c r="I959" i="1" s="1"/>
  <c r="D960" i="1"/>
  <c r="I960" i="1" s="1"/>
  <c r="D961" i="1"/>
  <c r="I961" i="1" s="1"/>
  <c r="D962" i="1"/>
  <c r="I962" i="1" s="1"/>
  <c r="D963" i="1"/>
  <c r="I963" i="1" s="1"/>
  <c r="D964" i="1"/>
  <c r="I964" i="1" s="1"/>
  <c r="D965" i="1"/>
  <c r="I965" i="1" s="1"/>
  <c r="D966" i="1"/>
  <c r="I966" i="1" s="1"/>
  <c r="D967" i="1"/>
  <c r="I967" i="1" s="1"/>
  <c r="D968" i="1"/>
  <c r="I968" i="1" s="1"/>
  <c r="D969" i="1"/>
  <c r="I969" i="1" s="1"/>
  <c r="D970" i="1"/>
  <c r="I970" i="1" s="1"/>
  <c r="D971" i="1"/>
  <c r="I971" i="1" s="1"/>
  <c r="D972" i="1"/>
  <c r="I972" i="1" s="1"/>
  <c r="D973" i="1"/>
  <c r="I973" i="1" s="1"/>
  <c r="D974" i="1"/>
  <c r="I974" i="1" s="1"/>
  <c r="D975" i="1"/>
  <c r="I975" i="1" s="1"/>
  <c r="D976" i="1"/>
  <c r="I976" i="1" s="1"/>
  <c r="D977" i="1"/>
  <c r="I977" i="1" s="1"/>
  <c r="D978" i="1"/>
  <c r="I978" i="1" s="1"/>
  <c r="D979" i="1"/>
  <c r="I979" i="1" s="1"/>
  <c r="D980" i="1"/>
  <c r="I980" i="1" s="1"/>
  <c r="D981" i="1"/>
  <c r="I981" i="1" s="1"/>
  <c r="D982" i="1"/>
  <c r="I982" i="1" s="1"/>
  <c r="D983" i="1"/>
  <c r="I983" i="1" s="1"/>
  <c r="D984" i="1"/>
  <c r="I984" i="1" s="1"/>
  <c r="D985" i="1"/>
  <c r="I985" i="1" s="1"/>
  <c r="D986" i="1"/>
  <c r="I986" i="1" s="1"/>
  <c r="D987" i="1"/>
  <c r="I987" i="1" s="1"/>
  <c r="D988" i="1"/>
  <c r="I988" i="1" s="1"/>
  <c r="D989" i="1"/>
  <c r="I989" i="1" s="1"/>
  <c r="D990" i="1"/>
  <c r="I990" i="1" s="1"/>
  <c r="D991" i="1"/>
  <c r="I991" i="1" s="1"/>
  <c r="D992" i="1"/>
  <c r="I992" i="1" s="1"/>
  <c r="D993" i="1"/>
  <c r="I993" i="1" s="1"/>
  <c r="D994" i="1"/>
  <c r="I994" i="1" s="1"/>
  <c r="D995" i="1"/>
  <c r="I995" i="1" s="1"/>
  <c r="D996" i="1"/>
  <c r="I996" i="1" s="1"/>
  <c r="D997" i="1"/>
  <c r="I997" i="1" s="1"/>
  <c r="D998" i="1"/>
  <c r="I998" i="1" s="1"/>
  <c r="D999" i="1"/>
  <c r="I999" i="1" s="1"/>
  <c r="D1000" i="1"/>
  <c r="I1000" i="1" s="1"/>
  <c r="D1001" i="1"/>
  <c r="I1001" i="1" s="1"/>
  <c r="D1002" i="1"/>
  <c r="I1002" i="1" s="1"/>
  <c r="D1003" i="1"/>
  <c r="I1003" i="1" s="1"/>
  <c r="D1004" i="1"/>
  <c r="I1004" i="1" s="1"/>
  <c r="D1005" i="1"/>
  <c r="I1005" i="1" s="1"/>
  <c r="D1006" i="1"/>
  <c r="I1006" i="1" s="1"/>
  <c r="D1007" i="1"/>
  <c r="I1007" i="1" s="1"/>
  <c r="D1008" i="1"/>
  <c r="I1008" i="1" s="1"/>
  <c r="D1009" i="1"/>
  <c r="I1009" i="1" s="1"/>
  <c r="D1010" i="1"/>
  <c r="I1010" i="1" s="1"/>
  <c r="D1011" i="1"/>
  <c r="I1011" i="1" s="1"/>
  <c r="D1012" i="1"/>
  <c r="I1012" i="1" s="1"/>
  <c r="D1013" i="1"/>
  <c r="I1013" i="1" s="1"/>
  <c r="D1014" i="1"/>
  <c r="I1014" i="1" s="1"/>
  <c r="D1015" i="1"/>
  <c r="I1015" i="1" s="1"/>
  <c r="D1016" i="1"/>
  <c r="I1016" i="1" s="1"/>
  <c r="D1017" i="1"/>
  <c r="I1017" i="1" s="1"/>
  <c r="D1018" i="1"/>
  <c r="I1018" i="1" s="1"/>
  <c r="D1019" i="1"/>
  <c r="I1019" i="1" s="1"/>
  <c r="D1020" i="1"/>
  <c r="I1020" i="1" s="1"/>
  <c r="D1021" i="1"/>
  <c r="I1021" i="1" s="1"/>
  <c r="D1022" i="1"/>
  <c r="I1022" i="1" s="1"/>
  <c r="D1023" i="1"/>
  <c r="I1023" i="1" s="1"/>
  <c r="D1024" i="1"/>
  <c r="I1024" i="1" s="1"/>
  <c r="D1025" i="1"/>
  <c r="I1025" i="1" s="1"/>
  <c r="D1026" i="1"/>
  <c r="I1026" i="1" s="1"/>
  <c r="D1027" i="1"/>
  <c r="I1027" i="1" s="1"/>
  <c r="D1028" i="1"/>
  <c r="I1028" i="1" s="1"/>
  <c r="D1029" i="1"/>
  <c r="I1029" i="1" s="1"/>
  <c r="D1030" i="1"/>
  <c r="I1030" i="1" s="1"/>
  <c r="D1031" i="1"/>
  <c r="I1031" i="1" s="1"/>
  <c r="D1032" i="1"/>
  <c r="I1032" i="1" s="1"/>
  <c r="D1033" i="1"/>
  <c r="I1033" i="1" s="1"/>
  <c r="D1034" i="1"/>
  <c r="I1034" i="1" s="1"/>
  <c r="D1035" i="1"/>
  <c r="I1035" i="1" s="1"/>
  <c r="D1036" i="1"/>
  <c r="I1036" i="1" s="1"/>
  <c r="D1037" i="1"/>
  <c r="I1037" i="1" s="1"/>
  <c r="D1038" i="1"/>
  <c r="I1038" i="1" s="1"/>
  <c r="D1039" i="1"/>
  <c r="I1039" i="1" s="1"/>
  <c r="D1040" i="1"/>
  <c r="I1040" i="1" s="1"/>
  <c r="D1041" i="1"/>
  <c r="I1041" i="1" s="1"/>
  <c r="D1042" i="1"/>
  <c r="I1042" i="1" s="1"/>
  <c r="D1043" i="1"/>
  <c r="I1043" i="1" s="1"/>
  <c r="D1044" i="1"/>
  <c r="I1044" i="1" s="1"/>
  <c r="D1045" i="1"/>
  <c r="I1045" i="1" s="1"/>
  <c r="D1046" i="1"/>
  <c r="I1046" i="1" s="1"/>
  <c r="D1047" i="1"/>
  <c r="I1047" i="1" s="1"/>
  <c r="D1048" i="1"/>
  <c r="I1048" i="1" s="1"/>
  <c r="D1049" i="1"/>
  <c r="I1049" i="1" s="1"/>
  <c r="D1050" i="1"/>
  <c r="I1050" i="1" s="1"/>
  <c r="D1051" i="1"/>
  <c r="I1051" i="1" s="1"/>
  <c r="D1052" i="1"/>
  <c r="I1052" i="1" s="1"/>
  <c r="D1053" i="1"/>
  <c r="I1053" i="1" s="1"/>
  <c r="D1054" i="1"/>
  <c r="I1054" i="1" s="1"/>
  <c r="D1055" i="1"/>
  <c r="I1055" i="1" s="1"/>
  <c r="D1056" i="1"/>
  <c r="I1056" i="1" s="1"/>
  <c r="D1057" i="1"/>
  <c r="I1057" i="1" s="1"/>
  <c r="D1058" i="1"/>
  <c r="I1058" i="1" s="1"/>
  <c r="D1059" i="1"/>
  <c r="I1059" i="1" s="1"/>
  <c r="D1060" i="1"/>
  <c r="I1060" i="1" s="1"/>
  <c r="D1061" i="1"/>
  <c r="I1061" i="1" s="1"/>
  <c r="D1062" i="1"/>
  <c r="I1062" i="1" s="1"/>
  <c r="D1063" i="1"/>
  <c r="I1063" i="1" s="1"/>
  <c r="D1064" i="1"/>
  <c r="I1064" i="1" s="1"/>
  <c r="D1065" i="1"/>
  <c r="I1065" i="1" s="1"/>
  <c r="D1066" i="1"/>
  <c r="I1066" i="1" s="1"/>
  <c r="D1067" i="1"/>
  <c r="I1067" i="1" s="1"/>
  <c r="D1068" i="1"/>
  <c r="I1068" i="1" s="1"/>
  <c r="D1069" i="1"/>
  <c r="I1069" i="1" s="1"/>
  <c r="D1070" i="1"/>
  <c r="I1070" i="1" s="1"/>
  <c r="D1071" i="1"/>
  <c r="I1071" i="1" s="1"/>
  <c r="D1072" i="1"/>
  <c r="I1072" i="1" s="1"/>
  <c r="D1073" i="1"/>
  <c r="I1073" i="1" s="1"/>
  <c r="D1074" i="1"/>
  <c r="I1074" i="1" s="1"/>
  <c r="D1075" i="1"/>
  <c r="I1075" i="1" s="1"/>
  <c r="D1076" i="1"/>
  <c r="I1076" i="1" s="1"/>
  <c r="D1077" i="1"/>
  <c r="I1077" i="1" s="1"/>
  <c r="D1078" i="1"/>
  <c r="I1078" i="1" s="1"/>
  <c r="D1079" i="1"/>
  <c r="I1079" i="1" s="1"/>
  <c r="D1080" i="1"/>
  <c r="I1080" i="1" s="1"/>
  <c r="D1081" i="1"/>
  <c r="I1081" i="1" s="1"/>
  <c r="D1082" i="1"/>
  <c r="I1082" i="1" s="1"/>
  <c r="D1083" i="1"/>
  <c r="I1083" i="1" s="1"/>
  <c r="D1084" i="1"/>
  <c r="I1084" i="1" s="1"/>
  <c r="D1085" i="1"/>
  <c r="I1085" i="1" s="1"/>
  <c r="D1086" i="1"/>
  <c r="I1086" i="1" s="1"/>
  <c r="D1087" i="1"/>
  <c r="I1087" i="1" s="1"/>
  <c r="D1088" i="1"/>
  <c r="I1088" i="1" s="1"/>
  <c r="D1089" i="1"/>
  <c r="I1089" i="1" s="1"/>
  <c r="D1090" i="1"/>
  <c r="I1090" i="1" s="1"/>
  <c r="D1091" i="1"/>
  <c r="I1091" i="1" s="1"/>
  <c r="D1092" i="1"/>
  <c r="I1092" i="1" s="1"/>
  <c r="D1093" i="1"/>
  <c r="I1093" i="1" s="1"/>
  <c r="D1094" i="1"/>
  <c r="I1094" i="1" s="1"/>
  <c r="D1095" i="1"/>
  <c r="I1095" i="1" s="1"/>
  <c r="D1096" i="1"/>
  <c r="I1096" i="1" s="1"/>
  <c r="D1097" i="1"/>
  <c r="I1097" i="1" s="1"/>
  <c r="D1098" i="1"/>
  <c r="I1098" i="1" s="1"/>
  <c r="D1099" i="1"/>
  <c r="I1099" i="1" s="1"/>
  <c r="D1100" i="1"/>
  <c r="I1100" i="1" s="1"/>
  <c r="D1101" i="1"/>
  <c r="I1101" i="1" s="1"/>
  <c r="D1102" i="1"/>
  <c r="I1102" i="1" s="1"/>
  <c r="D1103" i="1"/>
  <c r="I1103" i="1" s="1"/>
  <c r="D1104" i="1"/>
  <c r="I1104" i="1" s="1"/>
  <c r="D1105" i="1"/>
  <c r="I1105" i="1" s="1"/>
  <c r="D1106" i="1"/>
  <c r="I1106" i="1" s="1"/>
  <c r="D1107" i="1"/>
  <c r="I1107" i="1" s="1"/>
  <c r="D1108" i="1"/>
  <c r="I1108" i="1" s="1"/>
  <c r="D1109" i="1"/>
  <c r="I1109" i="1" s="1"/>
  <c r="D1110" i="1"/>
  <c r="I1110" i="1" s="1"/>
  <c r="D1111" i="1"/>
  <c r="I1111" i="1" s="1"/>
  <c r="D1112" i="1"/>
  <c r="I1112" i="1" s="1"/>
  <c r="D1113" i="1"/>
  <c r="I1113" i="1" s="1"/>
  <c r="D1114" i="1"/>
  <c r="I1114" i="1" s="1"/>
  <c r="D1115" i="1"/>
  <c r="I1115" i="1" s="1"/>
  <c r="D1116" i="1"/>
  <c r="I1116" i="1" s="1"/>
  <c r="D1117" i="1"/>
  <c r="I1117" i="1" s="1"/>
  <c r="D1118" i="1"/>
  <c r="I1118" i="1" s="1"/>
  <c r="D1119" i="1"/>
  <c r="I1119" i="1" s="1"/>
  <c r="D1120" i="1"/>
  <c r="I1120" i="1" s="1"/>
  <c r="D1121" i="1"/>
  <c r="I1121" i="1" s="1"/>
  <c r="D1122" i="1"/>
  <c r="I1122" i="1" s="1"/>
  <c r="D1123" i="1"/>
  <c r="I1123" i="1" s="1"/>
  <c r="D1124" i="1"/>
  <c r="I1124" i="1" s="1"/>
  <c r="D1125" i="1"/>
  <c r="I1125" i="1" s="1"/>
  <c r="D1126" i="1"/>
  <c r="I1126" i="1" s="1"/>
  <c r="D1127" i="1"/>
  <c r="I1127" i="1" s="1"/>
  <c r="D1128" i="1"/>
  <c r="I1128" i="1" s="1"/>
  <c r="D1129" i="1"/>
  <c r="I1129" i="1" s="1"/>
  <c r="D1130" i="1"/>
  <c r="I1130" i="1" s="1"/>
  <c r="D1131" i="1"/>
  <c r="I1131" i="1" s="1"/>
  <c r="D1132" i="1"/>
  <c r="I1132" i="1" s="1"/>
  <c r="D1133" i="1"/>
  <c r="I1133" i="1" s="1"/>
  <c r="D1134" i="1"/>
  <c r="I1134" i="1" s="1"/>
  <c r="D1135" i="1"/>
  <c r="I1135" i="1" s="1"/>
  <c r="D1136" i="1"/>
  <c r="I1136" i="1" s="1"/>
  <c r="D1137" i="1"/>
  <c r="I1137" i="1" s="1"/>
  <c r="D1138" i="1"/>
  <c r="I1138" i="1" s="1"/>
  <c r="D1139" i="1"/>
  <c r="I1139" i="1" s="1"/>
  <c r="D1140" i="1"/>
  <c r="I1140" i="1" s="1"/>
  <c r="D1141" i="1"/>
  <c r="I1141" i="1" s="1"/>
  <c r="D1142" i="1"/>
  <c r="I1142" i="1" s="1"/>
  <c r="D1143" i="1"/>
  <c r="I1143" i="1" s="1"/>
  <c r="D1144" i="1"/>
  <c r="I1144" i="1" s="1"/>
  <c r="D1145" i="1"/>
  <c r="I1145" i="1" s="1"/>
  <c r="D1146" i="1"/>
  <c r="I1146" i="1" s="1"/>
  <c r="D1147" i="1"/>
  <c r="I1147" i="1" s="1"/>
  <c r="D1148" i="1"/>
  <c r="I1148" i="1" s="1"/>
  <c r="D1149" i="1"/>
  <c r="I1149" i="1" s="1"/>
  <c r="D1150" i="1"/>
  <c r="I1150" i="1" s="1"/>
  <c r="D1151" i="1"/>
  <c r="I1151" i="1" s="1"/>
  <c r="D1152" i="1"/>
  <c r="I1152" i="1" s="1"/>
  <c r="D1153" i="1"/>
  <c r="I1153" i="1" s="1"/>
  <c r="D1154" i="1"/>
  <c r="I1154" i="1" s="1"/>
  <c r="D1155" i="1"/>
  <c r="I1155" i="1" s="1"/>
  <c r="D1156" i="1"/>
  <c r="I1156" i="1" s="1"/>
  <c r="D1157" i="1"/>
  <c r="I1157" i="1" s="1"/>
  <c r="D1158" i="1"/>
  <c r="I1158" i="1" s="1"/>
  <c r="D1159" i="1"/>
  <c r="I1159" i="1" s="1"/>
  <c r="D1160" i="1"/>
  <c r="I1160" i="1" s="1"/>
  <c r="D1161" i="1"/>
  <c r="I1161" i="1" s="1"/>
  <c r="D1162" i="1"/>
  <c r="I1162" i="1" s="1"/>
  <c r="D1163" i="1"/>
  <c r="I1163" i="1" s="1"/>
  <c r="D1164" i="1"/>
  <c r="I1164" i="1" s="1"/>
  <c r="D1165" i="1"/>
  <c r="I1165" i="1" s="1"/>
  <c r="D1166" i="1"/>
  <c r="I1166" i="1" s="1"/>
  <c r="D1167" i="1"/>
  <c r="I1167" i="1" s="1"/>
  <c r="D1168" i="1"/>
  <c r="I1168" i="1" s="1"/>
  <c r="D1169" i="1"/>
  <c r="I1169" i="1" s="1"/>
  <c r="D1170" i="1"/>
  <c r="I1170" i="1" s="1"/>
  <c r="D1171" i="1"/>
  <c r="I1171" i="1" s="1"/>
  <c r="D1172" i="1"/>
  <c r="I1172" i="1" s="1"/>
  <c r="D1173" i="1"/>
  <c r="I1173" i="1" s="1"/>
  <c r="D1174" i="1"/>
  <c r="I1174" i="1" s="1"/>
  <c r="D1175" i="1"/>
  <c r="I1175" i="1" s="1"/>
  <c r="D1176" i="1"/>
  <c r="I1176" i="1" s="1"/>
  <c r="D1177" i="1"/>
  <c r="I1177" i="1" s="1"/>
  <c r="D1178" i="1"/>
  <c r="I1178" i="1" s="1"/>
  <c r="D1179" i="1"/>
  <c r="I1179" i="1" s="1"/>
  <c r="D1180" i="1"/>
  <c r="I1180" i="1" s="1"/>
  <c r="D1181" i="1"/>
  <c r="I1181" i="1" s="1"/>
  <c r="D1182" i="1"/>
  <c r="I1182" i="1" s="1"/>
  <c r="D1183" i="1"/>
  <c r="I1183" i="1" s="1"/>
  <c r="D1184" i="1"/>
  <c r="I1184" i="1" s="1"/>
  <c r="D1185" i="1"/>
  <c r="I1185" i="1" s="1"/>
  <c r="D1186" i="1"/>
  <c r="I1186" i="1" s="1"/>
  <c r="D1187" i="1"/>
  <c r="I1187" i="1" s="1"/>
  <c r="D1188" i="1"/>
  <c r="I1188" i="1" s="1"/>
  <c r="D1189" i="1"/>
  <c r="I1189" i="1" s="1"/>
  <c r="D1190" i="1"/>
  <c r="I1190" i="1" s="1"/>
  <c r="D1191" i="1"/>
  <c r="I1191" i="1" s="1"/>
  <c r="D1192" i="1"/>
  <c r="I1192" i="1" s="1"/>
  <c r="D1193" i="1"/>
  <c r="I1193" i="1" s="1"/>
  <c r="D1194" i="1"/>
  <c r="I1194" i="1" s="1"/>
  <c r="D1195" i="1"/>
  <c r="I1195" i="1" s="1"/>
  <c r="D1196" i="1"/>
  <c r="I1196" i="1" s="1"/>
  <c r="D1197" i="1"/>
  <c r="I1197" i="1" s="1"/>
  <c r="D1198" i="1"/>
  <c r="I1198" i="1" s="1"/>
  <c r="D1199" i="1"/>
  <c r="I1199" i="1" s="1"/>
  <c r="D1200" i="1"/>
  <c r="I1200" i="1" s="1"/>
  <c r="D1201" i="1"/>
  <c r="I1201" i="1" s="1"/>
  <c r="D1202" i="1"/>
  <c r="I1202" i="1" s="1"/>
  <c r="D1203" i="1"/>
  <c r="I1203" i="1" s="1"/>
  <c r="D1204" i="1"/>
  <c r="I1204" i="1" s="1"/>
  <c r="D1205" i="1"/>
  <c r="I1205" i="1" s="1"/>
  <c r="D1206" i="1"/>
  <c r="I1206" i="1" s="1"/>
  <c r="D1207" i="1"/>
  <c r="I1207" i="1" s="1"/>
  <c r="D1208" i="1"/>
  <c r="I1208" i="1" s="1"/>
  <c r="D1209" i="1"/>
  <c r="I1209" i="1" s="1"/>
  <c r="D1210" i="1"/>
  <c r="I1210" i="1" s="1"/>
  <c r="D1211" i="1"/>
  <c r="I1211" i="1" s="1"/>
  <c r="D1212" i="1"/>
  <c r="I1212" i="1" s="1"/>
  <c r="D1213" i="1"/>
  <c r="I1213" i="1" s="1"/>
  <c r="D1214" i="1"/>
  <c r="I1214" i="1" s="1"/>
  <c r="D1215" i="1"/>
  <c r="I1215" i="1" s="1"/>
  <c r="D1216" i="1"/>
  <c r="I1216" i="1" s="1"/>
  <c r="D1217" i="1"/>
  <c r="I1217" i="1" s="1"/>
  <c r="D1218" i="1"/>
  <c r="I1218" i="1" s="1"/>
  <c r="D1219" i="1"/>
  <c r="I1219" i="1" s="1"/>
  <c r="D1220" i="1"/>
  <c r="I1220" i="1" s="1"/>
  <c r="D1221" i="1"/>
  <c r="I1221" i="1" s="1"/>
  <c r="D1222" i="1"/>
  <c r="I1222" i="1" s="1"/>
  <c r="D1223" i="1"/>
  <c r="I1223" i="1" s="1"/>
  <c r="D1224" i="1"/>
  <c r="I1224" i="1" s="1"/>
  <c r="D1225" i="1"/>
  <c r="I1225" i="1" s="1"/>
  <c r="D1226" i="1"/>
  <c r="I1226" i="1" s="1"/>
  <c r="D1227" i="1"/>
  <c r="I1227" i="1" s="1"/>
  <c r="D1228" i="1"/>
  <c r="I1228" i="1" s="1"/>
  <c r="D1229" i="1"/>
  <c r="I1229" i="1" s="1"/>
  <c r="D1230" i="1"/>
  <c r="I1230" i="1" s="1"/>
  <c r="D2" i="1"/>
  <c r="I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DB13A9-1846-4F47-8F8D-464B91621977}" keepAlive="1" name="Query - Circana Data" description="Connection to the 'Circana Data' query in the workbook." type="5" refreshedVersion="8" background="1" saveData="1">
    <dbPr connection="Provider=Microsoft.Mashup.OleDb.1;Data Source=$Workbook$;Location=&quot;Circana Data&quot;;Extended Properties=&quot;&quot;" command="SELECT * FROM [Circana Data]"/>
  </connection>
  <connection id="2" xr16:uid="{1B0EB7C0-124D-D94A-B5B3-520BEC09FD65}" keepAlive="1" name="Query - Circana Data (2)" description="Connection to the 'Circana Data (2)' query in the workbook." type="5" refreshedVersion="8" background="1" saveData="1">
    <dbPr connection="Provider=Microsoft.Mashup.OleDb.1;Data Source=$Workbook$;Location=&quot;Circana Data (2)&quot;;Extended Properties=&quot;&quot;" command="SELECT * FROM [Circana Data (2)]"/>
  </connection>
  <connection id="3" xr16:uid="{0DB4FA49-6B9E-1D4B-81D5-B5EFEB5323D8}" keepAlive="1" name="Query - Circana Data (3)" description="Connection to the 'Circana Data (3)' query in the workbook." type="5" refreshedVersion="0" background="1">
    <dbPr connection="Provider=Microsoft.Mashup.OleDb.1;Data Source=$Workbook$;Location=&quot;Circana Data (3)&quot;;Extended Properties=&quot;&quot;" command="SELECT * FROM [Circana Data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<sst xmlns="http://schemas.openxmlformats.org/spreadsheetml/2006/main" count="3813" uniqueCount="1312">
  <si>
    <t>Stores</t>
  </si>
  <si>
    <t>Dollar Sales</t>
  </si>
  <si>
    <t>County</t>
  </si>
  <si>
    <t>Latitude</t>
  </si>
  <si>
    <t>Longitude</t>
  </si>
  <si>
    <t>City</t>
  </si>
  <si>
    <t>SACRAMENTO</t>
  </si>
  <si>
    <t>ANTELOPE</t>
  </si>
  <si>
    <t>CARMICHAEL</t>
  </si>
  <si>
    <t>CITRUS HEIGHTS</t>
  </si>
  <si>
    <t>ELK GROVE</t>
  </si>
  <si>
    <t>N/A</t>
  </si>
  <si>
    <t>FAIR OAKS</t>
  </si>
  <si>
    <t>FOLSOM</t>
  </si>
  <si>
    <t>GALT</t>
  </si>
  <si>
    <t>GOLD RIVER</t>
  </si>
  <si>
    <t>MCCLELLAN AFB</t>
  </si>
  <si>
    <t>NORTH HIGHLANDS</t>
  </si>
  <si>
    <t>ORANGEVALE</t>
  </si>
  <si>
    <t>RANCHO CORDOVA</t>
  </si>
  <si>
    <t>RANCHO MURIETA</t>
  </si>
  <si>
    <t>RIO LINDA</t>
  </si>
  <si>
    <t>SUMMIT</t>
  </si>
  <si>
    <t>BRECKENRIDGE</t>
  </si>
  <si>
    <t>DILLON</t>
  </si>
  <si>
    <t>FRISCO</t>
  </si>
  <si>
    <t>SILVERTHORNE</t>
  </si>
  <si>
    <t>MARICOPA</t>
  </si>
  <si>
    <t>ANTHEM</t>
  </si>
  <si>
    <t>AVONDALE</t>
  </si>
  <si>
    <t>BUCKEYE</t>
  </si>
  <si>
    <t>CAREFREE</t>
  </si>
  <si>
    <t>CAVE CREEK</t>
  </si>
  <si>
    <t>CHANDLER</t>
  </si>
  <si>
    <t>EL MIRAGE</t>
  </si>
  <si>
    <t>FOUNTAIN HILLS</t>
  </si>
  <si>
    <t>GILA BEND</t>
  </si>
  <si>
    <t>GILBERT</t>
  </si>
  <si>
    <t>GLENDALE</t>
  </si>
  <si>
    <t>GOODYEAR</t>
  </si>
  <si>
    <t>GUADALUPE</t>
  </si>
  <si>
    <t>LAVEEN</t>
  </si>
  <si>
    <t>LITCHFIELD PARK</t>
  </si>
  <si>
    <t>LUKE AFB</t>
  </si>
  <si>
    <t>MESA</t>
  </si>
  <si>
    <t>PEORIA</t>
  </si>
  <si>
    <t>PHOENIX</t>
  </si>
  <si>
    <t>QUEEN CREEK</t>
  </si>
  <si>
    <t>SAN TAN VALLEY</t>
  </si>
  <si>
    <t>SCOTTSDALE</t>
  </si>
  <si>
    <t>SUN CITY</t>
  </si>
  <si>
    <t>SUN CITY WEST</t>
  </si>
  <si>
    <t>SUN LAKES</t>
  </si>
  <si>
    <t>SURPRISE</t>
  </si>
  <si>
    <t>TEMPE</t>
  </si>
  <si>
    <t>TOLLESON</t>
  </si>
  <si>
    <t>TONOPAH</t>
  </si>
  <si>
    <t>WICKENBURG</t>
  </si>
  <si>
    <t>ARAPAHOE</t>
  </si>
  <si>
    <t>AURORA</t>
  </si>
  <si>
    <t>CENTENNIAL</t>
  </si>
  <si>
    <t>ENGLEWOOD</t>
  </si>
  <si>
    <t>GREENWOOD VILLAGE</t>
  </si>
  <si>
    <t>HIGHLANDS RANCH</t>
  </si>
  <si>
    <t>LITTLETON</t>
  </si>
  <si>
    <t>LONE TREE</t>
  </si>
  <si>
    <t>SHERIDAN</t>
  </si>
  <si>
    <t>Cloudline Provisions 83056 :  7969 WALERGA RD, ANTELOPE, CA</t>
  </si>
  <si>
    <t>Cloudline Provisions 83906 :  7670 WATT AVE, ANTELOPE, CA</t>
  </si>
  <si>
    <t>Cactus &amp; Clover 519 :  7901 WALERGA RD, ANTELOPE, CA</t>
  </si>
  <si>
    <t>Willow &amp; Wren Apothecary 6086 :  4300 ELEVERTA RD, ANTELOPE, CA</t>
  </si>
  <si>
    <t>Mr Fantastic's Emporium 23010 :  5101 MARCONI AVE, CARMICHAEL, CA</t>
  </si>
  <si>
    <t>Cloudline Provisions 358 :  5150 MANZANITA AVE, CARMICHAEL, CA</t>
  </si>
  <si>
    <t>Cloudline Provisions 5337 :  6337 FAIR OAKS BLVD, CARMICHAEL, CA</t>
  </si>
  <si>
    <t>Cloudline Provisions 82688 :  4101 MANZANITA AVE, CARMICHAEL, CA</t>
  </si>
  <si>
    <t>Cactus &amp; Clover 511 :  4005 MANZANITA AVE, CARMICHAEL, CA</t>
  </si>
  <si>
    <t>Gusty Grove 485 :  4708 MANZANITA AVE, CARMICHAEL, CA</t>
  </si>
  <si>
    <t>Flicker’s Finds 431 :  5159 FAIR OAKS BLVD, CARMICHAEL, CA</t>
  </si>
  <si>
    <t>Willow &amp; Wren Apothecary 6044 :  4010 MANZANITA AVE, CARMICHAEL, CA</t>
  </si>
  <si>
    <t>Haven Hearth Goods 1560 :  4040 MANZANITA AVE, CARMICHAEL, CA</t>
  </si>
  <si>
    <t>Pebble &amp; Pine Pharmacy 6658 :  6325 FAIR OAKS BLVD, CARMICHAEL, CA</t>
  </si>
  <si>
    <t>Mr Fantastic's Emporium 14060 :  6401 ANTELOPE RD, CITRUS HEIGHTS, CA</t>
  </si>
  <si>
    <t>Mr Fantastic's Emporium 19156 :  6882 SUNRISE BLVD, CITRUS HEIGHTS, CA</t>
  </si>
  <si>
    <t>Mr Fantastic's Emporium 22979 :  6701 AUBURN BLVD, CITRUS HEIGHTS, CA</t>
  </si>
  <si>
    <t>Mr Fantastic's Emporium 24815 :  6180 AUBURN BLVD, CITRUS HEIGHTS, CA</t>
  </si>
  <si>
    <t>Mr Fantastic's Emporium 34575 :  7598 GREENBACK, CITRUS HEIGHTS, CA</t>
  </si>
  <si>
    <t>Mr Fantastic's Emporium 34677 :  6035 SAN JUAN, CITRUS HEIGHTS, CA</t>
  </si>
  <si>
    <t>Cloudline Provisions 6159 :  6140 GREENBACK LN, CITRUS HEIGHTS, CA</t>
  </si>
  <si>
    <t>Cloudline Provisions 83402 :  5440 SAN JUAN AVE, CITRUS HEIGHTS, CA</t>
  </si>
  <si>
    <t>Penny’s Pantry 550167 :  7901 MADISON AVE, CITRUS HEIGHTS, CA</t>
  </si>
  <si>
    <t>Gusty Grove 420 :  6982 SUNRISE BLVD, CITRUS HEIGHTS, CA</t>
  </si>
  <si>
    <t>Flicker’s Finds 239 :  7847 LICHEN DR, CITRUS HEIGHTS, CA</t>
  </si>
  <si>
    <t>Haven Hearth Goods 1531 :  7301 GREENBACK LN, CITRUS HEIGHTS, CA</t>
  </si>
  <si>
    <t>Maplewood Mercantile 1121 :  5837 SUNRISE BLVD, CITRUS HEIGHTS, CA</t>
  </si>
  <si>
    <t>Pebble &amp; Pine Pharmacy 5152 :  6144 DEWEY DR, CITRUS HEIGHTS, CA</t>
  </si>
  <si>
    <t>Pebble &amp; Pine Pharmacy 5774 :  7787 SUNRISE BLVD, CITRUS HEIGHTS, CA</t>
  </si>
  <si>
    <t>Pebble &amp; Pine Pharmacy 7191 :  6199 SUNRISE BLVD, CITRUS HEIGHTS, CA</t>
  </si>
  <si>
    <t>Mr Fantastic's Emporium 38399 :  9146 HARBOUR POINT DR, ELK GROVE, CA</t>
  </si>
  <si>
    <t>Mr Fantastic's Emporium 39573 :  8475 ELK GROVE BLVD, ELK GROVE, CA</t>
  </si>
  <si>
    <t>Mr Fantastic's Emporium 41227 :  8100 SHELDON RD, ELK GROVE, CA</t>
  </si>
  <si>
    <t>Mr Fantastic's Emporium 41228 :  8344 POWER INN RD, ELK GROVE, CA</t>
  </si>
  <si>
    <t>Cloudline Provisions 7192 :  8798 CALVINE RD, ELK GROVE, CA</t>
  </si>
  <si>
    <t>Cloudline Provisions 82356 :  9590 HARBOR PT, ELK GROVE, CA</t>
  </si>
  <si>
    <t>Cloudline Provisions 82959 :  9215 ELK GRV, ELK GROVE, CA</t>
  </si>
  <si>
    <t>Cloudline Provisions 83008 :  10421 GRANTLINE RD, ELK GROVE, CA</t>
  </si>
  <si>
    <t>Cloudline Provisions 83451 :  8361 SHELDON RD, ELK GROVE, CA</t>
  </si>
  <si>
    <t>Cloudline Provisions 83829 :  10057 BRUCEVILLLE RD, ELK GROVE, CA</t>
  </si>
  <si>
    <t>Cloudline Provisions 83830 :  8500 ELK GROVE BLVD, ELK GROVE, CA</t>
  </si>
  <si>
    <t>Cactus &amp; Clover 516 :  5100 LAGUNA BLVD, ELK GROVE, CA</t>
  </si>
  <si>
    <t>Cactus &amp; Clover 523 :  8425 ELK GROVE FLORIN RD, ELK GROVE, CA</t>
  </si>
  <si>
    <t>Cactus &amp; Clover 525 :  9435 ELK GROVE BLVD, ELK GROVE, CA</t>
  </si>
  <si>
    <t>Flicker’s Finds 443 :  4900 ELK GROVE BLVD, ELK GROVE, CA</t>
  </si>
  <si>
    <t>Haven Hearth Goods 1647 :  5021 LAGUNA BLVD, ELK GROVE, CA</t>
  </si>
  <si>
    <t>Haven Hearth Goods 94 :  10050 BRUCEVILLE RD, ELK GROVE, CA</t>
  </si>
  <si>
    <t>Dune &amp; Drift Market 605 :  9160 ELK GROVE FLORIN RD, ELK GROVE, CA</t>
  </si>
  <si>
    <t>Maplewood Mercantile 1025 :  7505 LAGUNA BLVD, ELK GROVE, CA</t>
  </si>
  <si>
    <t>Pebble &amp; Pine Pharmacy 5499 :  7299 LAGUNA BLVD, ELK GROVE, CA</t>
  </si>
  <si>
    <t>Pebble &amp; Pine Pharmacy 6142 :  9200 ELK GROVE FLORIN RD, ELK GROVE, CA</t>
  </si>
  <si>
    <t>Pebble &amp; Pine Pharmacy 6419 :  9180 FRANKLIN BLVD, ELK GROVE, CA</t>
  </si>
  <si>
    <t>Pebble &amp; Pine Pharmacy 6612 :  8400 ELK GROVE FLORIN RD, ELK GROVE, CA</t>
  </si>
  <si>
    <t>Mr Fantastic's Emporium 18328 :  8500 MADISON AVE, FAIR OAKS, CA</t>
  </si>
  <si>
    <t>Cloudline Provisions 2126 :  4400 SUNRISE BLVD, FAIR OAKS, CA</t>
  </si>
  <si>
    <t>Flicker’s Finds 417 :  4840 SAN JUAN AVE, FAIR OAKS, CA</t>
  </si>
  <si>
    <t>Flicker’s Finds 421 :  8870 MADISON AVE, FAIR OAKS, CA</t>
  </si>
  <si>
    <t>Haven Hearth Goods 1846 :  8925 MADISON AVE, FAIR OAKS, CA</t>
  </si>
  <si>
    <t>Haven Hearth Goods 1895 :  5450 DEWEY DR, FAIR OAKS, CA</t>
  </si>
  <si>
    <t>Cloudline Provisions 82173 :  13401 FOLSOM BLVD, FOLSOM, CA</t>
  </si>
  <si>
    <t>Cloudline Provisions 83962 :  301 E BIDWELL ST, FOLSOM, CA</t>
  </si>
  <si>
    <t>Cactus &amp; Clover 524 :  2760 E BIDWELL ST, FOLSOM, CA</t>
  </si>
  <si>
    <t>Flicker’s Finds 409 :  715 E BIDWELL ST, FOLSOM, CA</t>
  </si>
  <si>
    <t>Flicker’s Finds 410 :  25025 BLUE RAVINE RD, FOLSOM, CA</t>
  </si>
  <si>
    <t>Willow &amp; Wren Apothecary 6266 :  526 E BIDWELL ST, FOLSOM, CA</t>
  </si>
  <si>
    <t>Haven Hearth Goods 1794 :  1850 PRAIRIE CITY RD, FOLSOM, CA</t>
  </si>
  <si>
    <t>Maplewood Mercantile 1098 :  430 BLUE RAVINE RD, FOLSOM, CA</t>
  </si>
  <si>
    <t>Pebble &amp; Pine Pharmacy 6417 :  1100 RILEY ST, FOLSOM, CA</t>
  </si>
  <si>
    <t>Pebble &amp; Pine Pharmacy 9048 :  2595 E BIDWELL ST, FOLSOM, CA</t>
  </si>
  <si>
    <t>Mr Fantastic's Emporium 39576 :  301 PINE ST, GALT, CA</t>
  </si>
  <si>
    <t>Cloudline Provisions 83815 :  12821 E STOCKTON BLVD, GALT, CA</t>
  </si>
  <si>
    <t>Penny’s Pantry 550117 :  602 4TH ST, GALT, CA</t>
  </si>
  <si>
    <t>Flicker’s Finds 302 :  10430 TWIN CITIES RD, GALT, CA</t>
  </si>
  <si>
    <t>Dune &amp; Drift Market 72 :  1059 C ST, GALT, CA</t>
  </si>
  <si>
    <t>Mr Fantastic's Emporium 39207 :  2401 SUNRISE BLVD, GOLD RIVER, CA</t>
  </si>
  <si>
    <t>Cloudline Provisions 83041 :  2295 SUNRISE BLVD, GOLD RIVER, CA</t>
  </si>
  <si>
    <t>Cactus &amp; Clover 522 :  2155 GOLDEN CENTRE LN, GOLD RIVER, CA</t>
  </si>
  <si>
    <t>Zippy’s Corner 1069401 :  MCCLELLAN AFB MAIN/CL6, MCCLELLAN AFB, CA</t>
  </si>
  <si>
    <t>Bright Barrel Market 32 :  (KL1) MCCLELLAN AFB CA, MCCLELLAN AFB, CA</t>
  </si>
  <si>
    <t>Mr Fantastic's Emporium 16081 :  4900 WATT AVE, NORTH HIGHLANDS, CA</t>
  </si>
  <si>
    <t>Mr Fantastic's Emporium 23015 :  3601 ELKHORN BLVD, NORTH HIGHLANDS, CA</t>
  </si>
  <si>
    <t>Cloudline Provisions 7122 :  3140 ELKHORN BLVD, NORTH HIGHLANDS, CA</t>
  </si>
  <si>
    <t>Cloudline Provisions 83233 :  4745 WATT AVE, NORTH HIGHLANDS, CA</t>
  </si>
  <si>
    <t>Cloudline Provisions 83953 :  4261 ELKHORN BLVD, NORTH HIGHLANDS, CA</t>
  </si>
  <si>
    <t>Gusty Grove 497 :  7477 WATT AVE, NORTH HIGHLANDS, CA</t>
  </si>
  <si>
    <t>Willow &amp; Wren Apothecary 6054 :  6639 WATT AVE, NORTH HIGHLANDS, CA</t>
  </si>
  <si>
    <t>Glowstone Supplies 43087 :  4250 MADISON AVE, NORTH HIGHLANDS, CA</t>
  </si>
  <si>
    <t>Glowstone Supplies 46318 :  7550 WATT AVE, NORTH HIGHLANDS, CA</t>
  </si>
  <si>
    <t>Pebble &amp; Pine Pharmacy 10693 :  6819 WATT AVE, NORTH HIGHLANDS, CA</t>
  </si>
  <si>
    <t>Mr Fantastic's Emporium 14068 :  6840 WOODMORE OAKS, ORANGEVALE, CA</t>
  </si>
  <si>
    <t>Mr Fantastic's Emporium 38703 :  9396 GREENBACK LN, ORANGEVALE, CA</t>
  </si>
  <si>
    <t>Cloudline Provisions 82530 :  9401 MADISON AVE, ORANGEVALE, CA</t>
  </si>
  <si>
    <t>Penny’s Pantry 551126 :  8696 GREENBACK LN, ORANGEVALE, CA</t>
  </si>
  <si>
    <t>Mr Fantastic's Emporium 14098 :  10246 MILLS STATION RD, RANCHO CORDOVA, CA</t>
  </si>
  <si>
    <t>Mr Fantastic's Emporium 35347 :  11079 FOLSOM BLVD, RANCHO CORDOVA, CA</t>
  </si>
  <si>
    <t>Mr Fantastic's Emporium 42143 :  3251 SUNRISE BLVD, RANCHO CORDOVA, CA</t>
  </si>
  <si>
    <t>Cloudline Provisions 7029 :  4000 SUNRISE BLVD, RANCHO CORDOVA, CA</t>
  </si>
  <si>
    <t>Cloudline Provisions 82803 :  3099 SUNRISE BLVD, RANCHO CORDOVA, CA</t>
  </si>
  <si>
    <t>Cloudline Provisions 82949 :  2896 ZINFANDEL DR, RANCHO CORDOVA, CA</t>
  </si>
  <si>
    <t>Cloudline Provisions 83262 :  12210 TRIBUTARY POINTE, RANCHO CORDOVA, CA</t>
  </si>
  <si>
    <t>Flicker’s Finds 440 :  4030 SUNRISE BLVD, RANCHO CORDOVA, CA</t>
  </si>
  <si>
    <t>Willow &amp; Wren Apothecary 6059 :  2111 GOLDEN CENTRE LN, RANCHO CORDOVA, CA</t>
  </si>
  <si>
    <t>Haven Hearth Goods 1746 :  10635 FOLSOM BLVD, RANCHO CORDOVA, CA</t>
  </si>
  <si>
    <t>Maplewood Mercantile 2463 :  10881 OLSON DR, RANCHO CORDOVA, CA</t>
  </si>
  <si>
    <t>Pebble &amp; Pine Pharmacy 15195 :  10701 FOLSOM BLVD, RANCHO CORDOVA, CA</t>
  </si>
  <si>
    <t>Pebble &amp; Pine Pharmacy 9532 :  4050 SUNRISE BLVD, RANCHO CORDOVA, CA</t>
  </si>
  <si>
    <t>Flicker’s Finds 530 :  7315 MURIETA DR, RANCHO MURIETA, CA</t>
  </si>
  <si>
    <t>Mr Fantastic's Emporium 23615 :  348 ELKHORN BLVD, RIO LINDA, CA</t>
  </si>
  <si>
    <t>Willow &amp; Wren Apothecary 6788 :  4620 RIO LINDA BLVD, RIO LINDA, CA</t>
  </si>
  <si>
    <t>Mr Fantastic's Emporium 14107 :  1199 43RD AVE, SACRAMENTO, CA</t>
  </si>
  <si>
    <t>Mr Fantastic's Emporium 14119 :  6591 WYNDHAM DR, SACRAMENTO, CA</t>
  </si>
  <si>
    <t>Mr Fantastic's Emporium 16350 :  7700 LA RIVIERA DR, SACRAMENTO, CA</t>
  </si>
  <si>
    <t>Mr Fantastic's Emporium 18185 :  5791 BROADWAY, SACRAMENTO, CA</t>
  </si>
  <si>
    <t>Mr Fantastic's Emporium 23040 :  2544 ARDEN WAY, SACRAMENTO, CA</t>
  </si>
  <si>
    <t>Mr Fantastic's Emporium 23226 :  3405 BRADSHAW RD, SACRAMENTO, CA</t>
  </si>
  <si>
    <t>Mr Fantastic's Emporium 23233 :  8499 GERBER RD, SACRAMENTO, CA</t>
  </si>
  <si>
    <t>Mr Fantastic's Emporium 23265 :  2450 NGATE BLVD, SACRAMENTO, CA</t>
  </si>
  <si>
    <t>Mr Fantastic's Emporium 24147 :  5080 AUBURN BLVD, SACRAMENTO, CA</t>
  </si>
  <si>
    <t>Mr Fantastic's Emporium 24276 :  3448 WATT AVE, SACRAMENTO, CA</t>
  </si>
  <si>
    <t>Mr Fantastic's Emporium 24604 :  9210 KIEFER BLVD, SACRAMENTO, CA</t>
  </si>
  <si>
    <t>Mr Fantastic's Emporium 26598 :  5579 MACK RD, SACRAMENTO, CA</t>
  </si>
  <si>
    <t>Mr Fantastic's Emporium 29253 :  5581 HILLSDALE, SACRAMENTO, CA</t>
  </si>
  <si>
    <t>Mr Fantastic's Emporium 32836 :  5500 FLORIN PERKINS RD, SACRAMENTO, CA</t>
  </si>
  <si>
    <t>Mr Fantastic's Emporium 33315 :  5501 AUBURN BLVD, SACRAMENTO, CA</t>
  </si>
  <si>
    <t>Mr Fantastic's Emporium 34492 :  2005 MARCONI AVE, SACRAMENTO, CA</t>
  </si>
  <si>
    <t>Mr Fantastic's Emporium 34629 :  5820 ANTELOPE RD, SACRAMENTO, CA</t>
  </si>
  <si>
    <t>Mr Fantastic's Emporium 35351 :  6955 WALERGA RD, SACRAMENTO, CA</t>
  </si>
  <si>
    <t>Mr Fantastic's Emporium 35481 :  1341 J ST, SACRAMENTO, CA</t>
  </si>
  <si>
    <t>Mr Fantastic's Emporium 35491 :  2160 EL CAMINO AVE, SACRAMENTO, CA</t>
  </si>
  <si>
    <t>Mr Fantastic's Emporium 36868 :  6500 FOLSOM BLVD, SACRAMENTO, CA</t>
  </si>
  <si>
    <t>Mr Fantastic's Emporium 37217 :  1301 HOWE AVE, SACRAMENTO, CA</t>
  </si>
  <si>
    <t>Mr Fantastic's Emporium 37620 :  2401 FRUITRIDGE RD, SACRAMENTO, CA</t>
  </si>
  <si>
    <t>Mr Fantastic's Emporium 38424 :  802 J ST, SACRAMENTO, CA</t>
  </si>
  <si>
    <t>Mr Fantastic's Emporium 38788 :  7171 STOCKTON BLVD, SACRAMENTO, CA</t>
  </si>
  <si>
    <t>Mr Fantastic's Emporium 39155 :  5550 S WATT AVE, SACRAMENTO, CA</t>
  </si>
  <si>
    <t>Mr Fantastic's Emporium 39425 :  9199 FOLSOM BLVD, SACRAMENTO, CA</t>
  </si>
  <si>
    <t>Mr Fantastic's Emporium 39572 :  1300 FULTON AVE, SACRAMENTO, CA</t>
  </si>
  <si>
    <t>Mr Fantastic's Emporium 39887 :  3449 EL CAMINO AVE, SACRAMENTO, CA</t>
  </si>
  <si>
    <t>Mr Fantastic's Emporium 41251 :  8498 FLORIN RD, SACRAMENTO, CA</t>
  </si>
  <si>
    <t>Mr Fantastic's Emporium 41288 :  4140 NORTHGATE BLVD, SACRAMENTO, CA</t>
  </si>
  <si>
    <t>Mr Fantastic's Emporium 42011 :  3311 W EL CAMINO AVE, SACRAMENTO, CA</t>
  </si>
  <si>
    <t>Mr Fantastic's Emporium 42175 :  1911 COSUMNES RIVER BLVD, SACRAMENTO, CA</t>
  </si>
  <si>
    <t>Cloudline Provisions 2068 :  2100 BROADWAY, SACRAMENTO, CA</t>
  </si>
  <si>
    <t>Cloudline Provisions 2166 :  1855 WATT AVE, SACRAMENTO, CA</t>
  </si>
  <si>
    <t>Cloudline Provisions 4398 :  3921 WATT AVE, SACRAMENTO, CA</t>
  </si>
  <si>
    <t>Cloudline Provisions 442 :  4224 MARCONI AVE, SACRAMENTO, CA</t>
  </si>
  <si>
    <t>Cloudline Provisions 5424 :  8024 ELDER CREEK RD, SACRAMENTO, CA</t>
  </si>
  <si>
    <t>Cloudline Provisions 5503 :  8121 FLORIN RD, SACRAMENTO, CA</t>
  </si>
  <si>
    <t>Cloudline Provisions 7062 :  6240 FREEPORT BLVD, SACRAMENTO, CA</t>
  </si>
  <si>
    <t>Cloudline Provisions 7099 :  4420 MACK RD, SACRAMENTO, CA</t>
  </si>
  <si>
    <t>Cloudline Provisions 7131 :  9670 KIEFER BLVD, SACRAMENTO, CA</t>
  </si>
  <si>
    <t>Cloudline Provisions 7173 :  8105 DELTA SHORES CIR S, SACRAMENTO, CA</t>
  </si>
  <si>
    <t>Cloudline Provisions 82335 :  4421 FLORIN RD, SACRAMENTO, CA</t>
  </si>
  <si>
    <t>Cloudline Provisions 82362 :  5399 FRUITRIDGE RD, SACRAMENTO, CA</t>
  </si>
  <si>
    <t>Cloudline Provisions 82450 :  2701 ORCHARD LN, SACRAMENTO, CA</t>
  </si>
  <si>
    <t>Cloudline Provisions 82538 :  3800 47TH AVE, SACRAMENTO, CA</t>
  </si>
  <si>
    <t>Cloudline Provisions 82675 :  4000 NORWOOD AVE, SACRAMENTO, CA</t>
  </si>
  <si>
    <t>Cloudline Provisions 82749 :  8880 FRUITRIDGE RD, SACRAMENTO, CA</t>
  </si>
  <si>
    <t>Cloudline Provisions 82812 :  2200 EL CAMINO AVE, SACRAMENTO, CA</t>
  </si>
  <si>
    <t>Cloudline Provisions 82821 :  2225 W 16ST ST, SACRAMENTO, CA</t>
  </si>
  <si>
    <t>Cloudline Provisions 82973 :  3501 NORTHGATE BLVD, SACRAMENTO, CA</t>
  </si>
  <si>
    <t>Cloudline Provisions 82975 :  4747 NORTHGATE BLVD, SACRAMENTO, CA</t>
  </si>
  <si>
    <t>Cloudline Provisions 83059 :  6100 AIRPORT BLVD, SACRAMENTO, CA</t>
  </si>
  <si>
    <t>Cloudline Provisions 83080 :  6698 MACK RD, SACRAMENTO, CA</t>
  </si>
  <si>
    <t>Cloudline Provisions 83191 :  2838 J ST, SACRAMENTO, CA</t>
  </si>
  <si>
    <t>Cloudline Provisions 83193 :  8100 GERBER RD, SACRAMENTO, CA</t>
  </si>
  <si>
    <t>Cloudline Provisions 83238 :  1949 ARDEN WAY, SACRAMENTO, CA</t>
  </si>
  <si>
    <t>Cloudline Provisions 83438 :  3501 FAIR OAKS BLVD, SACRAMENTO, CA</t>
  </si>
  <si>
    <t>Cloudline Provisions 83555 :  2933 65TH ST, SACRAMENTO, CA</t>
  </si>
  <si>
    <t>Cloudline Provisions 83666 :  1391 FLORIN RD, SACRAMENTO, CA</t>
  </si>
  <si>
    <t>Cloudline Provisions 83689 :  4700 MADISON AVE, SACRAMENTO, CA</t>
  </si>
  <si>
    <t>Cloudline Provisions 83939 :  5625 FLORION RD, SACRAMENTO, CA</t>
  </si>
  <si>
    <t>Cloudline Provisions 83940 :  300 EL CAMINO AVE, SACRAMENTO, CA</t>
  </si>
  <si>
    <t>Cactus &amp; Clover 501 :  6231 FRUITRIDGE RD, SACRAMENTO, CA</t>
  </si>
  <si>
    <t>Cactus &amp; Clover 502 :  4320 ARDEN WAY, SACRAMENTO, CA</t>
  </si>
  <si>
    <t>Cactus &amp; Clover 506 :  1301 FLORIN RD, SACRAMENTO, CA</t>
  </si>
  <si>
    <t>Cactus &amp; Clover 510 :  1540 W EL CAMINO AVE, SACRAMENTO, CA</t>
  </si>
  <si>
    <t>Cactus &amp; Clover 514 :  7465 RUSH RIVER DR, SACRAMENTO, CA</t>
  </si>
  <si>
    <t>Cactus &amp; Clover 528 :  3250 ARENA BLVD, SACRAMENTO, CA</t>
  </si>
  <si>
    <t>Penny’s Pantry 550111 :  3920 FRUITRIDGE RD, SACRAMENTO, CA</t>
  </si>
  <si>
    <t>Penny’s Pantry 550135 :  5764 ANTELOPE RD, SACRAMENTO, CA</t>
  </si>
  <si>
    <t>Penny’s Pantry 550139 :  1290 FULTON AVE, SACRAMENTO, CA</t>
  </si>
  <si>
    <t>Penny’s Pantry 550162 :  8500 FLORIN RD, SACRAMENTO, CA</t>
  </si>
  <si>
    <t>Penny’s Pantry 551096 :  3296 MARYSVILLE BLVD, SACRAMENTO, CA</t>
  </si>
  <si>
    <t>Gusty Grove 464 :  3860 FLORIN RD, SACRAMENTO, CA</t>
  </si>
  <si>
    <t>Gusty Grove 488 :  3291 TRUXEL RD, SACRAMENTO, CA</t>
  </si>
  <si>
    <t>Hatch &amp; Harvest 355 :  3625 NGATE BLVD, SACRAMENTO, CA</t>
  </si>
  <si>
    <t>Hatch &amp; Harvest 371 :  8122 GERBER RD, SACRAMENTO, CA</t>
  </si>
  <si>
    <t>Hatch &amp; Harvest 501 :  5330 STOCKTON BLVD, SACRAMENTO, CA</t>
  </si>
  <si>
    <t>Hatch &amp; Harvest 532 :  7421 W STOCKTON BLVD, SACRAMENTO, CA</t>
  </si>
  <si>
    <t>Flicker’s Finds 415 :  4690 FREEPORT BLVD, SACRAMENTO, CA</t>
  </si>
  <si>
    <t>Flicker’s Finds 416 :  3518 MARCONI AVE, SACRAMENTO, CA</t>
  </si>
  <si>
    <t>Flicker’s Finds 420 :  8391 FOLSOM BLVD, SACRAMENTO, CA</t>
  </si>
  <si>
    <t>Flicker’s Finds 435 :  2075 FAIR OAKS BLVD, SACRAMENTO, CA</t>
  </si>
  <si>
    <t>Flicker’s Finds 447 :  4650 NATOMAS BLVD, SACRAMENTO, CA</t>
  </si>
  <si>
    <t>Willow &amp; Wren Apothecary 6081 :  9133 KIEFER BLVD, SACRAMENTO, CA</t>
  </si>
  <si>
    <t>Willow &amp; Wren Apothecary 6083 :  7860 GERBER RD, SACRAMENTO, CA</t>
  </si>
  <si>
    <t>Willow &amp; Wren Apothecary 6084 :  980 FLORIN RD, SACRAMENTO, CA</t>
  </si>
  <si>
    <t>Willow &amp; Wren Apothecary 6228 :  4221 NORWOOD AVE, SACRAMENTO, CA</t>
  </si>
  <si>
    <t>Willow &amp; Wren Apothecary 6403 :  4241 MARCONI AVE, SACRAMENTO, CA</t>
  </si>
  <si>
    <t>Willow &amp; Wren Apothecary 6448 :  2751 DEL PASO RD, SACRAMENTO, CA</t>
  </si>
  <si>
    <t>Willow &amp; Wren Apothecary 6520 :  4830 J ST, SACRAMENTO, CA</t>
  </si>
  <si>
    <t>Haven Hearth Goods 1289 :  8377 ELK GROVE FLORIN RD, SACRAMENTO, CA</t>
  </si>
  <si>
    <t>Haven Hearth Goods 1530 :  3320 ARDEN WAY, SACRAMENTO, CA</t>
  </si>
  <si>
    <t>Haven Hearth Goods 190 :  424 HOWE AVE, SACRAMENTO, CA</t>
  </si>
  <si>
    <t>Haven Hearth Goods 2242 :  1025 ALHAMBRA BLVD, SACRAMENTO, CA</t>
  </si>
  <si>
    <t>Haven Hearth Goods 2263 :  5345 ELKHORN BLVD, SACRAMENTO, CA</t>
  </si>
  <si>
    <t>Haven Hearth Goods 2684 :  1814 19TH ST, SACRAMENTO, CA</t>
  </si>
  <si>
    <t>Haven Hearth Goods 2697 :  2851 DEL PASO RD, SACRAMENTO, CA</t>
  </si>
  <si>
    <t>Haven Hearth Goods 3013 :  3680 CROCKER DR, SACRAMENTO, CA</t>
  </si>
  <si>
    <t>Dune &amp; Drift Market 619 :  7960 GERBER RD, SACRAMENTO, CA</t>
  </si>
  <si>
    <t>Dune &amp; Drift Market 622 :  5600 FOLSOM BLVD, SACRAMENTO, CA</t>
  </si>
  <si>
    <t>Dune &amp; Drift Market 623 :  9137 KIEFER BLVD, SACRAMENTO, CA</t>
  </si>
  <si>
    <t>Dune &amp; Drift Market 625 :  2501 FAIROAKS BLVD, SACRAMENTO, CA</t>
  </si>
  <si>
    <t>Glowstone Supplies 43061 :  2281 EL CAMINO AVE, SACRAMENTO, CA</t>
  </si>
  <si>
    <t>Glowstone Supplies 43092 :  2650 GATEWAY OAKS DR, SACRAMENTO, CA</t>
  </si>
  <si>
    <t>Glowstone Supplies 46790 :  2600 ARDEN WAY, SACRAMENTO, CA</t>
  </si>
  <si>
    <t>Bramble &amp; Co. 3384 :  1707 J ST, SACRAMENTO, CA</t>
  </si>
  <si>
    <t>Maplewood Mercantile 1527 :  8101 COSUMNES RIVER BLVD, SACRAMENTO, CA</t>
  </si>
  <si>
    <t>Maplewood Mercantile 2115 :  3601 N FREEWAY BLVD, SACRAMENTO, CA</t>
  </si>
  <si>
    <t>Maplewood Mercantile 2492 :  6507 4TH AVE, SACRAMENTO, CA</t>
  </si>
  <si>
    <t>Maplewood Mercantile 310 :  2505 RIVERSIDE BLVD, SACRAMENTO, CA</t>
  </si>
  <si>
    <t>Maplewood Mercantile 311 :  5001 MADISON AVE, SACRAMENTO, CA</t>
  </si>
  <si>
    <t>Maplewood Mercantile 312 :  1919 FULTON AVE, SACRAMENTO, CA</t>
  </si>
  <si>
    <t>Pebble &amp; Pine Pharmacy 10114 :  3521 DEL PASO RD, SACRAMENTO, CA</t>
  </si>
  <si>
    <t>Pebble &amp; Pine Pharmacy 10716 :  250 FLORIN RD, SACRAMENTO, CA</t>
  </si>
  <si>
    <t>Pebble &amp; Pine Pharmacy 11262 :  840 EL CAMINO AVE, SACRAMENTO, CA</t>
  </si>
  <si>
    <t>Pebble &amp; Pine Pharmacy 4136 :  1919 FRUITRIDGE RD, SACRAMENTO, CA</t>
  </si>
  <si>
    <t>Pebble &amp; Pine Pharmacy 4170 :  4200 ARDEN WAY, SACRAMENTO, CA</t>
  </si>
  <si>
    <t>Pebble &amp; Pine Pharmacy 5036 :  4495 MACK RD, SACRAMENTO, CA</t>
  </si>
  <si>
    <t>Pebble &amp; Pine Pharmacy 5374 :  2900 STOCKTON BLVD, SACRAMENTO, CA</t>
  </si>
  <si>
    <t>Pebble &amp; Pine Pharmacy 5500 :  4331 ANTELOPE RD, SACRAMENTO, CA</t>
  </si>
  <si>
    <t>Pebble &amp; Pine Pharmacy 6193 :  2201 ARDEN WAY, SACRAMENTO, CA</t>
  </si>
  <si>
    <t>Pebble &amp; Pine Pharmacy 6613 :  1401 BROADWAY, SACRAMENTO, CA</t>
  </si>
  <si>
    <t>Pebble &amp; Pine Pharmacy 6706 :  7155 24TH ST, SACRAMENTO, CA</t>
  </si>
  <si>
    <t>Mr Fantastic's Emporium 32267 :  10998 STATE HIGHWAY 9, BRECKENRIDGE, CO</t>
  </si>
  <si>
    <t>Echo Stop Supplies 430 :  400 N PKWY, BRECKENRIDGE, CO</t>
  </si>
  <si>
    <t>Echo Stop Supplies 420 :  300 DILLON RIDGE RD, DILLON, CO</t>
  </si>
  <si>
    <t>Pebble &amp; Pine Pharmacy 11326 :  269 DILLON RIDGE RD, DILLON, CO</t>
  </si>
  <si>
    <t>Mr Fantastic's Emporium 17284 :  741 N SMT, FRISCO, CO</t>
  </si>
  <si>
    <t>Bluebell Bazaar 2740633 :  1012 SUMMIT RD, FRISCO, CO</t>
  </si>
  <si>
    <t>Penny’s Pantry 750048 :  201 W MAIN ST, FRISCO, CO</t>
  </si>
  <si>
    <t>Haven Hearth Goods 836 :  1008 N SUMMIT BLVD, FRISCO, CO</t>
  </si>
  <si>
    <t>Mr Fantastic's Emporium 23963 :  201 BLUE RIVER PKWY, SILVERTHORNE, CO</t>
  </si>
  <si>
    <t>Mr Fantastic's Emporium 39033 :  120 BLUE RIVER PKWY, SILVERTHORNE, CO</t>
  </si>
  <si>
    <t>Mr Fantastic's Emporium 39853 :  180 STEPHENS WAY, SILVERTHORNE, CO</t>
  </si>
  <si>
    <t>Maplewood Mercantile 1525 :  715 BLUE RIVER PKWY, SILVERTHORNE, CO</t>
  </si>
  <si>
    <t>Bluebell Bazaar 2706671 :  39414 N DAISY MOUNTAIN DR, ANTHEM, AZ</t>
  </si>
  <si>
    <t>Bluebell Bazaar 2709189 :  3502 W ANTHEM WAY, ANTHEM, AZ</t>
  </si>
  <si>
    <t>Bluebell Bazaar 2709192 :  4135 W ANTHEM WAY, ANTHEM, AZ</t>
  </si>
  <si>
    <t>Haven Hearth Goods 3334 :  3655 W ANTHEM WAY, ANTHEM, AZ</t>
  </si>
  <si>
    <t>Pebble &amp; Pine Pharmacy 7516 :  2411 W ANTHEM WAY, ANTHEM, AZ</t>
  </si>
  <si>
    <t>Rusty Cart Grocers 83 :  323 E MAIN ST, AVONDALE, AZ</t>
  </si>
  <si>
    <t>Rusty Cart Grocers 93 :  1450 N DYSART RD, AVONDALE, AZ</t>
  </si>
  <si>
    <t>Bluebell Bazaar 2700243 :  11025 W BUCKEYE, AVONDALE, AZ</t>
  </si>
  <si>
    <t>Bluebell Bazaar 2700822 :  3 E MAIN ST, AVONDALE, AZ</t>
  </si>
  <si>
    <t>Bluebell Bazaar 2701225 :  12301 W LOWER BUCKEYE RD, AVONDALE, AZ</t>
  </si>
  <si>
    <t>Bluebell Bazaar 2702893 :  51 E VAN BUREN, AVONDALE, AZ</t>
  </si>
  <si>
    <t>Bluebell Bazaar 2706645 :  1595 N DYSART RD, AVONDALE, AZ</t>
  </si>
  <si>
    <t>Bluebell Bazaar 2709186 :  1595 N 115TH AVE BLVD, AVONDALE, AZ</t>
  </si>
  <si>
    <t>Mossy Hollow Market 112 :  1575 N DYSART RD, AVONDALE, AZ</t>
  </si>
  <si>
    <t>Mossy Hollow Market 66 :  10675 W INDIAN SCHOOL RD, AVONDALE, AZ</t>
  </si>
  <si>
    <t>Mossy Hollow Market 89 :  11425 W BUCKEYE RD, AVONDALE, AZ</t>
  </si>
  <si>
    <t>Timberline Market 459 :  900 N 99TH AVE, AVONDALE, AZ</t>
  </si>
  <si>
    <t>Pebble &amp; Pine Pharmacy 3387 :  10705 W INDIAN SCHOOL RD, AVONDALE, AZ</t>
  </si>
  <si>
    <t>Pebble &amp; Pine Pharmacy 5776 :  1451 N DYSART RD, AVONDALE, AZ</t>
  </si>
  <si>
    <t>Pebble &amp; Pine Pharmacy 7387 :  10710 W MCDOWELL RD, AVONDALE, AZ</t>
  </si>
  <si>
    <t>Iron Pine Outpost 56 :  21064 W MAIN ST, BUCKEYE, AZ</t>
  </si>
  <si>
    <t>Bluebell Bazaar 2700820 :  307 US HIGHWAY 85, BUCKEYE, AZ</t>
  </si>
  <si>
    <t>Bluebell Bazaar 2701198 :  721 N 195TH AVE, BUCKEYE, AZ</t>
  </si>
  <si>
    <t>Bluebell Bazaar 2703397 :  537 S WATSON RD, BUCKEYE, AZ</t>
  </si>
  <si>
    <t>Mossy Hollow Market 675 :  1300 S WATSON RD, BUCKEYE, AZ</t>
  </si>
  <si>
    <t>Mossy Hollow Market 692 :  19600 W INDIAN SCHOOL RD, BUCKEYE, AZ</t>
  </si>
  <si>
    <t>Crimson Ridge Depot 280 :  1610 S MILLER RD, BUCKEYE, AZ</t>
  </si>
  <si>
    <t>Pebble &amp; Pine Pharmacy 11470 :  25073 W SOUTHERN AVE, BUCKEYE, AZ</t>
  </si>
  <si>
    <t>Pebble &amp; Pine Pharmacy 9175 :  23477 W YUMA RD, BUCKEYE, AZ</t>
  </si>
  <si>
    <t>Iron Pine Outpost 66 :  36889 TOM DARLINGTON, CAREFREE, AZ</t>
  </si>
  <si>
    <t>Bluebell Bazaar 2705281 :  6802 E CAVE CREEK RD, CAVE CREEK, AZ</t>
  </si>
  <si>
    <t>Bluebell Bazaar 2705598 :  6210 E CAVE CREEK RD, CAVE CREEK, AZ</t>
  </si>
  <si>
    <t>Mossy Hollow Market 474 :  29455 N CAVE CREEK RD, CAVE CREEK, AZ</t>
  </si>
  <si>
    <t>Mossy Hollow Market 67 :  4815 E CAREFREE HWY, CAVE CREEK, AZ</t>
  </si>
  <si>
    <t>Haven Hearth Goods 1543 :  29834 N CAVE CREEK RD, CAVE CREEK, AZ</t>
  </si>
  <si>
    <t>Pebble &amp; Pine Pharmacy 3912 :  29660 N TATUM BLVD, CAVE CREEK, AZ</t>
  </si>
  <si>
    <t>Mr Fantastic's Emporium 13011 :  774 N ARIZONA AVE, CHANDLER, AZ</t>
  </si>
  <si>
    <t>Mr Fantastic's Emporium 27215 :  2025 W WARNER RD, CHANDLER, AZ</t>
  </si>
  <si>
    <t>Snap &amp; Go 87 :  7131 W RAY RD STE 37, CHANDLER, AZ</t>
  </si>
  <si>
    <t>Driftwood Market 1221 :  2935 E RIGGS RD, CHANDLER, AZ</t>
  </si>
  <si>
    <t>Driftwood Market 2997 :  4060 W RAY RD, CHANDLER, AZ</t>
  </si>
  <si>
    <t>Driftwood Market 981 :  3145 S ALMA SCHOOL RD, CHANDLER, AZ</t>
  </si>
  <si>
    <t>Cloudline Provisions 82727 :  1735 S COOPER RD, CHANDLER, AZ</t>
  </si>
  <si>
    <t>Cloudline Provisions 83216 :  5050 S ARIZONA AVE, CHANDLER, AZ</t>
  </si>
  <si>
    <t>Iron Pine Outpost 161 :  4940 S GILBERT RD, CHANDLER, AZ</t>
  </si>
  <si>
    <t>Rusty Cart Grocers 26 :  1005 N ARIZONA AVE, CHANDLER, AZ</t>
  </si>
  <si>
    <t>Bluebell Bazaar 2700905 :  498 S ARIZONA AVE, CHANDLER, AZ</t>
  </si>
  <si>
    <t>Bluebell Bazaar 2702854 :  1262 W CHANDLER BLVD, CHANDLER, AZ</t>
  </si>
  <si>
    <t>Bluebell Bazaar 2703377 :  3010 S GILBERT RD, CHANDLER, AZ</t>
  </si>
  <si>
    <t>Bluebell Bazaar 2703445 :  2990 N ARIZONA AVE, CHANDLER, AZ</t>
  </si>
  <si>
    <t>Bluebell Bazaar 2703452 :  3033 N DOBSON RD, CHANDLER, AZ</t>
  </si>
  <si>
    <t>Bluebell Bazaar 2703490 :  3033 S MCQUEEN RD, CHANDLER, AZ</t>
  </si>
  <si>
    <t>Bluebell Bazaar 2705032 :  6950 W CHANDLER BLVD, CHANDLER, AZ</t>
  </si>
  <si>
    <t>Bluebell Bazaar 2705291 :  1995 S ARIZONA AVE, CHANDLER, AZ</t>
  </si>
  <si>
    <t>Bluebell Bazaar 2705301 :  6015 S ARIZONA AVE, CHANDLER, AZ</t>
  </si>
  <si>
    <t>Bluebell Bazaar 2705302 :  6969 W RAY RD, CHANDLER, AZ</t>
  </si>
  <si>
    <t>Bluebell Bazaar 2705400 :  7351 W CHANDLER BLVD, CHANDLER, AZ</t>
  </si>
  <si>
    <t>Bluebell Bazaar 2705973 :  1405 N ALMA SCHOOL RD, CHANDLER, AZ</t>
  </si>
  <si>
    <t>Bluebell Bazaar 2706651 :  1010 E CHANDLER BLVD, CHANDLER, AZ</t>
  </si>
  <si>
    <t>Bluebell Bazaar 2708834 :  13549 E CHANDLER BLVD, CHANDLER, AZ</t>
  </si>
  <si>
    <t>Bluebell Bazaar 2709160 :  1015 N RURAL RD, CHANDLER, AZ</t>
  </si>
  <si>
    <t>Bluebell Bazaar 2709161 :  4040 W CHANDLER BLVD, CHANDLER, AZ</t>
  </si>
  <si>
    <t>Bluebell Bazaar 2709162 :  1995 W CHANDLER BLVD, CHANDLER, AZ</t>
  </si>
  <si>
    <t>Bluebell Bazaar 2709163 :  2020 W WARNER RD, CHANDLER, AZ</t>
  </si>
  <si>
    <t>Bluebell Bazaar 2709182 :  3989 W RAY RD, CHANDLER, AZ</t>
  </si>
  <si>
    <t>Bluebell Bazaar 2709183 :  3033 W QUEEN CREEK RD, CHANDLER, AZ</t>
  </si>
  <si>
    <t>Bluebell Bazaar 2709187 :  295 S ARIZONA AVE, CHANDLER, AZ</t>
  </si>
  <si>
    <t>Bluebell Bazaar 2741604 :  1015 S COOPER RD, CHANDLER, AZ</t>
  </si>
  <si>
    <t>Bluebell Bazaar 2741702 :  2955 E RIGGS RD, CHANDLER, AZ</t>
  </si>
  <si>
    <t>Mossy Hollow Market 37 :  981 W ELLIOT RD, CHANDLER, AZ</t>
  </si>
  <si>
    <t>Mossy Hollow Market 51 :  1950 W RAY RD, CHANDLER, AZ</t>
  </si>
  <si>
    <t>Mossy Hollow Market 668 :  985 E RIGGS RD, CHANDLER, AZ</t>
  </si>
  <si>
    <t>Mossy Hollow Market 681 :  2929 E OCOTILLO RD, CHANDLER, AZ</t>
  </si>
  <si>
    <t>Mossy Hollow Market 69 :  2010 S ALMA SCHOOL RD, CHANDLER, AZ</t>
  </si>
  <si>
    <t>Crimson Ridge Depot 328 :  7001 W SUNDUST RD, CHANDLER, AZ</t>
  </si>
  <si>
    <t>Haven Hearth Goods 1566 :  4970 S ALMA SCHOOL RD, CHANDLER, AZ</t>
  </si>
  <si>
    <t>Haven Hearth Goods 1604 :  1159 W CHANDLER BLVD, CHANDLER, AZ</t>
  </si>
  <si>
    <t>Haven Hearth Goods 1605 :  1060 E RAY RD, CHANDLER, AZ</t>
  </si>
  <si>
    <t>Maplewood Mercantile 1838 :  3425 W FRYE RD, CHANDLER, AZ</t>
  </si>
  <si>
    <t>Maplewood Mercantile 2747 :  3777 S ARIZONA AVE, CHANDLER, AZ</t>
  </si>
  <si>
    <t>Pebble &amp; Pine Pharmacy 11181 :  5975 W RAY RD, CHANDLER, AZ</t>
  </si>
  <si>
    <t>Pebble &amp; Pine Pharmacy 2056 :  1925 W CHANDLER BLVD, CHANDLER, AZ</t>
  </si>
  <si>
    <t>Pebble &amp; Pine Pharmacy 3531 :  4949 W CHANDLER BLVD, CHANDLER, AZ</t>
  </si>
  <si>
    <t>Pebble &amp; Pine Pharmacy 3726 :  1985 E CHANDLER BLVD, CHANDLER, AZ</t>
  </si>
  <si>
    <t>Pebble &amp; Pine Pharmacy 3727 :  1919 N DOBSON RD, CHANDLER, AZ</t>
  </si>
  <si>
    <t>Pebble &amp; Pine Pharmacy 4077 :  3005 E RIGGS RD, CHANDLER, AZ</t>
  </si>
  <si>
    <t>Pebble &amp; Pine Pharmacy 4792 :  55 E RAY RD, CHANDLER, AZ</t>
  </si>
  <si>
    <t>Pebble &amp; Pine Pharmacy 4793 :  1975 S ALMA SCHOOL RD, CHANDLER, AZ</t>
  </si>
  <si>
    <t>Pebble &amp; Pine Pharmacy 7723 :  975 E OCOTILLO RD, CHANDLER, AZ</t>
  </si>
  <si>
    <t>Rusty Cart Grocers 89 :  12321 W GRAND AVE, EL MIRAGE, AZ</t>
  </si>
  <si>
    <t>Bluebell Bazaar 2741669 :  13777 N DYSART RD, EL MIRAGE, AZ</t>
  </si>
  <si>
    <t>Pebble &amp; Pine Pharmacy 6428 :  15385 N DYSART RD, EL MIRAGE, AZ</t>
  </si>
  <si>
    <t>Pebble &amp; Pine Pharmacy 7026 :  12244 W CACTUS RD, EL MIRAGE, AZ</t>
  </si>
  <si>
    <t>Iron Pine Outpost 47 :  16605 E PALISADES, FOUNTAIN HILLS, AZ</t>
  </si>
  <si>
    <t>Bluebell Bazaar 2705030 :  9618 SAGUARO BLVD, FOUNTAIN HILLS, AZ</t>
  </si>
  <si>
    <t>Bluebell Bazaar 2706664 :  17125 E SHEA BLVD, FOUNTAIN HILLS, AZ</t>
  </si>
  <si>
    <t>Mossy Hollow Market 70 :  14845 E SHEA BLVD, FOUNTAIN HILLS, AZ</t>
  </si>
  <si>
    <t>Haven Hearth Goods 1291 :  13733 FOUNTAIN HILLS BLVD, FOUNTAIN HILLS, AZ</t>
  </si>
  <si>
    <t>Maplewood Mercantile 1432 :  16825 E SHEA BLVD, FOUNTAIN HILLS, AZ</t>
  </si>
  <si>
    <t>Pebble &amp; Pine Pharmacy 6060 :  16415 E PALISADES BLVD, FOUNTAIN HILLS, AZ</t>
  </si>
  <si>
    <t>Bluebell Bazaar 2703479 :  710 W PIMA ST, GILA BEND, AZ</t>
  </si>
  <si>
    <t>Crimson Ridge Depot 296 :  820 W PIMA ST, GILA BEND, AZ</t>
  </si>
  <si>
    <t>Timberline Market 1243 :  3006 S BUTTERFIELD TRL, GILA BEND, AZ</t>
  </si>
  <si>
    <t>Mr Fantastic's Emporium 26908 :  1157 N GILBERT RD, GILBERT, AZ</t>
  </si>
  <si>
    <t>Mr Fantastic's Emporium 27876 :  785 W ELLIOT RD, GILBERT, AZ</t>
  </si>
  <si>
    <t>Mr Fantastic's Emporium 32602 :  785 S VAL VISTA DR, GILBERT, AZ</t>
  </si>
  <si>
    <t>Driftwood Market 23 :  861 E WARNER RD, GILBERT, AZ</t>
  </si>
  <si>
    <t>Cloudline Provisions 83580 :  786 W GUADALUPE, GILBERT, AZ</t>
  </si>
  <si>
    <t>Iron Pine Outpost 172 :  99 S HIGLEY RD, GILBERT, AZ</t>
  </si>
  <si>
    <t>Bluebell Bazaar 2700412 :  503 N GILBERT RD, GILBERT, AZ</t>
  </si>
  <si>
    <t>Bluebell Bazaar 2703366 :  1564 E RAY RD, GILBERT, AZ</t>
  </si>
  <si>
    <t>Bluebell Bazaar 2703372 :  3077 S VAL VISTA DR, GILBERT, AZ</t>
  </si>
  <si>
    <t>Bluebell Bazaar 2703373 :  888 S HIGLEY RD, GILBERT, AZ</t>
  </si>
  <si>
    <t>Bluebell Bazaar 2703383 :  7260 S POWER RD, GILBERT, AZ</t>
  </si>
  <si>
    <t>Bluebell Bazaar 2703419 :  5202 E BASELINE RD, GILBERT, AZ</t>
  </si>
  <si>
    <t>Bluebell Bazaar 2703462 :  3155 S GILBERT RD, GILBERT, AZ</t>
  </si>
  <si>
    <t>Bluebell Bazaar 2703478 :  6761 E BASELINE RD, GILBERT, AZ</t>
  </si>
  <si>
    <t>Bluebell Bazaar 2705286 :  751 N ARIZONA AVE, GILBERT, AZ</t>
  </si>
  <si>
    <t>Bluebell Bazaar 2705292 :  750 E WARNER RD, GILBERT, AZ</t>
  </si>
  <si>
    <t>Bluebell Bazaar 2705293 :  3230 E WILLIAMS FIELD RD, GILBERT, AZ</t>
  </si>
  <si>
    <t>Bluebell Bazaar 2705294 :  755 W WARNER RD, GILBERT, AZ</t>
  </si>
  <si>
    <t>Bluebell Bazaar 2705307 :  3589 E BASELINE RD, GILBERT, AZ</t>
  </si>
  <si>
    <t>Bluebell Bazaar 2705316 :  1189 E BASELINE RD, GILBERT, AZ</t>
  </si>
  <si>
    <t>Bluebell Bazaar 2706355 :  33 S VAL VISTA DR, GILBERT, AZ</t>
  </si>
  <si>
    <t>Bluebell Bazaar 2709550 :  1650 E GERMANN RD, GILBERT, AZ</t>
  </si>
  <si>
    <t>Bluebell Bazaar 2741601 :  1611 E GUADALUPE RD, GILBERT, AZ</t>
  </si>
  <si>
    <t>Bluebell Bazaar 2741642 :  7165 S VAL VISTA RD, GILBERT, AZ</t>
  </si>
  <si>
    <t>Mossy Hollow Market 15 :  3751 E BASELINE RD, GILBERT, AZ</t>
  </si>
  <si>
    <t>Mossy Hollow Market 52 :  855 W WARNER RD, GILBERT, AZ</t>
  </si>
  <si>
    <t>Mossy Hollow Market 615 :  1455 N HIGLEY RD, GILBERT, AZ</t>
  </si>
  <si>
    <t>Mossy Hollow Market 624 :  1845 E BASELINE RD, GILBERT, AZ</t>
  </si>
  <si>
    <t>Mossy Hollow Market 64 :  714 S VAL VIS, GILBERT, AZ</t>
  </si>
  <si>
    <t>Mossy Hollow Market 655 :  3490 S POWER RD, GILBERT, AZ</t>
  </si>
  <si>
    <t>Mossy Hollow Market 658 :  4075 E WILLIAMS FIELD RD, GILBERT, AZ</t>
  </si>
  <si>
    <t>Mossy Hollow Market 670 :  6470 S HIGLEY RD, GILBERT, AZ</t>
  </si>
  <si>
    <t>Mossy Hollow Market 72 :  87 E WILLIAMS FIELD RD, GILBERT, AZ</t>
  </si>
  <si>
    <t>Mossy Hollow Market 75 :  3261 E PECOS RD, GILBERT, AZ</t>
  </si>
  <si>
    <t>Sunny Pebble Co. 811 :  4027 S GILBERT RD, GILBERT, AZ</t>
  </si>
  <si>
    <t>Sunny Pebble Co. 812 :  2870 S MARKET ST, GILBERT, AZ</t>
  </si>
  <si>
    <t>Haven Hearth Goods 1534 :  90 S VAL VISTA DR, GILBERT, AZ</t>
  </si>
  <si>
    <t>Haven Hearth Goods 1748 :  5137 E BASELINE RD, GILBERT, AZ</t>
  </si>
  <si>
    <t>Jellybean Junction 1960 :  3931 S GILBERT RD, GILBERT, AZ</t>
  </si>
  <si>
    <t>Maplewood Mercantile 1209 :  1515 E WARNER RD, GILBERT, AZ</t>
  </si>
  <si>
    <t>Pebble &amp; Pine Pharmacy 10260 :  3230 E CHANDLER HEIGHTS RD, GILBERT, AZ</t>
  </si>
  <si>
    <t>Pebble &amp; Pine Pharmacy 21450 :  4750 S VAL VISTA DR, GILBERT, AZ</t>
  </si>
  <si>
    <t>Pebble &amp; Pine Pharmacy 3008 :  785 S COOPER RD, GILBERT, AZ</t>
  </si>
  <si>
    <t>Pebble &amp; Pine Pharmacy 3184 :  1585 E GUADALUPE RD, GILBERT, AZ</t>
  </si>
  <si>
    <t>Pebble &amp; Pine Pharmacy 4018 :  2345 E BASELINE RD, GILBERT, AZ</t>
  </si>
  <si>
    <t>Pebble &amp; Pine Pharmacy 4543 :  805 S VAL VISTA DR, GILBERT, AZ</t>
  </si>
  <si>
    <t>Pebble &amp; Pine Pharmacy 5215 :  2363 S LINDSAY RD, GILBERT, AZ</t>
  </si>
  <si>
    <t>Pebble &amp; Pine Pharmacy 5799 :  754 N HIGLEY RD, GILBERT, AZ</t>
  </si>
  <si>
    <t>Pebble &amp; Pine Pharmacy 6062 :  76 W GUADALUPE RD, GILBERT, AZ</t>
  </si>
  <si>
    <t>Pebble &amp; Pine Pharmacy 6692 :  4766 E QUEEN CREEK RD, GILBERT, AZ</t>
  </si>
  <si>
    <t>Pebble &amp; Pine Pharmacy 6880 :  2431 S HIGLEY RD, GILBERT, AZ</t>
  </si>
  <si>
    <t>Pebble &amp; Pine Pharmacy 7747 :  3233 E GERMANN RD, GILBERT, AZ</t>
  </si>
  <si>
    <t>Mr Fantastic's Emporium 16623 :  5925 W OLIVE AVE, GLENDALE, AZ</t>
  </si>
  <si>
    <t>Mr Fantastic's Emporium 42301 :  5303 W BELL RD, GLENDALE, AZ</t>
  </si>
  <si>
    <t>Snap &amp; Go 117 :  20050 N 67TH AVE, GLENDALE, AZ</t>
  </si>
  <si>
    <t>Driftwood Market 3941 :  5040 W CACTUS, GLENDALE, AZ</t>
  </si>
  <si>
    <t>Rusty Cart Grocers 142 :  6020 N 59TH AVE, GLENDALE, AZ</t>
  </si>
  <si>
    <t>Bluebell Bazaar 2674 :  6937 N 75TH AVE, GLENDALE, AZ</t>
  </si>
  <si>
    <t>Bluebell Bazaar 2700041 :  6002 NW GRAND AVE, GLENDALE, AZ</t>
  </si>
  <si>
    <t>Bluebell Bazaar 2701750 :  5049 W PEORIA, GLENDALE, AZ</t>
  </si>
  <si>
    <t>Bluebell Bazaar 2701908 :  13843 W GLENDALE AVE, GLENDALE, AZ</t>
  </si>
  <si>
    <t>Bluebell Bazaar 2701954 :  5907 W BETHANY HOME RD, GLENDALE, AZ</t>
  </si>
  <si>
    <t>Bluebell Bazaar 2701967 :  5902 W BELL RD, GLENDALE, AZ</t>
  </si>
  <si>
    <t>Bluebell Bazaar 2702875 :  9002 N 47TH AVE, GLENDALE, AZ</t>
  </si>
  <si>
    <t>Bluebell Bazaar 2703378 :  5880 W CAMELBACK RD, GLENDALE, AZ</t>
  </si>
  <si>
    <t>Bluebell Bazaar 2703441 :  4303 W GLENDALE AVE, GLENDALE, AZ</t>
  </si>
  <si>
    <t>Bluebell Bazaar 2703448 :  5155 W OLIVE AVE, GLENDALE, AZ</t>
  </si>
  <si>
    <t>Bluebell Bazaar 2703477 :  13051 W GLENDALE AVE, GLENDALE, AZ</t>
  </si>
  <si>
    <t>Bluebell Bazaar 2705322 :  24838 N 35TH AVE, GLENDALE, AZ</t>
  </si>
  <si>
    <t>Bluebell Bazaar 2705576 :  24831 N 67TH AVE, GLENDALE, AZ</t>
  </si>
  <si>
    <t>Bluebell Bazaar 2705766 :  6972 N 83RD AVE, GLENDALE, AZ</t>
  </si>
  <si>
    <t>Bluebell Bazaar 2706655 :  20207 N 59TH AVE, GLENDALE, AZ</t>
  </si>
  <si>
    <t>Bluebell Bazaar 2706657 :  5848 W OLIVE AVE, GLENDALE, AZ</t>
  </si>
  <si>
    <t>Bluebell Bazaar 2706658 :  5881 W CACTUS RD, GLENDALE, AZ</t>
  </si>
  <si>
    <t>Bluebell Bazaar 2709181 :  20203 N 67TH AVE, GLENDALE, AZ</t>
  </si>
  <si>
    <t>Bluebell Bazaar 2709542 :  10725 W NORTHERN AVE, GLENDALE, AZ</t>
  </si>
  <si>
    <t>Bluebell Bazaar 2741626 :  6691 W GREENWAY RD, GLENDALE, AZ</t>
  </si>
  <si>
    <t>Bright Barrel Market 42 :  (KLF) LUKE AFB, AZ, GLENDALE, AZ</t>
  </si>
  <si>
    <t>Mossy Hollow Market 10 :  4353 W BETHANY HOME RD, GLENDALE, AZ</t>
  </si>
  <si>
    <t>Mossy Hollow Market 11 :  6710 W BETHANY HOME RD, GLENDALE, AZ</t>
  </si>
  <si>
    <t>Mossy Hollow Market 136 :  4329 W NERN AVE, GLENDALE, AZ</t>
  </si>
  <si>
    <t>Mossy Hollow Market 26 :  5116 W OLIVE, GLENDALE, AZ</t>
  </si>
  <si>
    <t>Mossy Hollow Market 28 :  4315 W BELL RD, GLENDALE, AZ</t>
  </si>
  <si>
    <t>Mossy Hollow Market 6 :  5771 W THUNDERBIRD RD, GLENDALE, AZ</t>
  </si>
  <si>
    <t>Mossy Hollow Market 60 :  20220 N 59TH AVE, GLENDALE, AZ</t>
  </si>
  <si>
    <t>Mossy Hollow Market 625 :  6611 W BELL RD, GLENDALE, AZ</t>
  </si>
  <si>
    <t>Mossy Hollow Market 73 :  6625 W HAPPY VALLEY RD, GLENDALE, AZ</t>
  </si>
  <si>
    <t>Haven Hearth Goods 1510 :  20205 N 67TH AVE # 100, GLENDALE, AZ</t>
  </si>
  <si>
    <t>Haven Hearth Goods 2821 :  3800 W HAPPY VLY, GLENDALE, AZ</t>
  </si>
  <si>
    <t>Maplewood Mercantile 1361 :  9350 W NORTHERN AVE, GLENDALE, AZ</t>
  </si>
  <si>
    <t>Maplewood Mercantile 2341 :  10404 N 43RD AVE, GLENDALE, AZ</t>
  </si>
  <si>
    <t>Pebble &amp; Pine Pharmacy 1969 :  6006 N 67TH AVE, GLENDALE, AZ</t>
  </si>
  <si>
    <t>Pebble &amp; Pine Pharmacy 3003 :  6690 W UNION HILLS DR, GLENDALE, AZ</t>
  </si>
  <si>
    <t>Pebble &amp; Pine Pharmacy 3049 :  4965 W BELL RD, GLENDALE, AZ</t>
  </si>
  <si>
    <t>Pebble &amp; Pine Pharmacy 3385 :  5421 W THUNDERBIRD RD, GLENDALE, AZ</t>
  </si>
  <si>
    <t>Pebble &amp; Pine Pharmacy 4020 :  5895 W PEORIA AVE, GLENDALE, AZ</t>
  </si>
  <si>
    <t>Pebble &amp; Pine Pharmacy 4228 :  5125 W NORTHERN AVE, GLENDALE, AZ</t>
  </si>
  <si>
    <t>Pebble &amp; Pine Pharmacy 4434 :  22280 N 67TH AVE, GLENDALE, AZ</t>
  </si>
  <si>
    <t>Pebble &amp; Pine Pharmacy 5266 :  21632 N 35TH AVE, GLENDALE, AZ</t>
  </si>
  <si>
    <t>Pebble &amp; Pine Pharmacy 5775 :  8309 W GLENDALE AVE, GLENDALE, AZ</t>
  </si>
  <si>
    <t>Pebble &amp; Pine Pharmacy 5851 :  5011 W UNION HILLS DR, GLENDALE, AZ</t>
  </si>
  <si>
    <t>Pebble &amp; Pine Pharmacy 6065 :  9009 N 67TH AVE, GLENDALE, AZ</t>
  </si>
  <si>
    <t>Pebble &amp; Pine Pharmacy 6736 :  4410 W CACTUS RD, GLENDALE, AZ</t>
  </si>
  <si>
    <t>Pebble &amp; Pine Pharmacy 7110 :  6640 W HAPPY VALLEY RD, GLENDALE, AZ</t>
  </si>
  <si>
    <t>Mr Fantastic's Emporium 47390 :  1025 N ESTRELLA PKWY, GOODYEAR, AZ</t>
  </si>
  <si>
    <t>Bluebell Bazaar 2709177 :  1264 N LITCHFIELD RD, GOODYEAR, AZ</t>
  </si>
  <si>
    <t>Bluebell Bazaar 2709180 :  315 N LITCHFIELD RD, GOODYEAR, AZ</t>
  </si>
  <si>
    <t>Bluebell Bazaar 2709528 :  15535 W MCDOWELL RD, GOODYEAR, AZ</t>
  </si>
  <si>
    <t>Mossy Hollow Market 676 :  16380 W YUMA RD, GOODYEAR, AZ</t>
  </si>
  <si>
    <t>Haven Hearth Goods 1511 :  14175 W INDIAN SCHOOL BYPASS, GOODYEAR, AZ</t>
  </si>
  <si>
    <t>Haven Hearth Goods 2618 :  440 N ESTRELLA PKWY, GOODYEAR, AZ</t>
  </si>
  <si>
    <t>Haven Hearth Goods 3151 :  9890 S ESTRELLA PKWY, GOODYEAR, AZ</t>
  </si>
  <si>
    <t>Jellybean Junction 2400 :  995 S COTTON LN, GOODYEAR, AZ</t>
  </si>
  <si>
    <t>Maplewood Mercantile 1242 :  1515 N LITCHFIELD RD, GOODYEAR, AZ</t>
  </si>
  <si>
    <t>Pebble &amp; Pine Pharmacy 12334 :  1654 N PEBBLE CREEK PKWY, GOODYEAR, AZ</t>
  </si>
  <si>
    <t>Pebble &amp; Pine Pharmacy 12386 :  9800 S ESTRELLA PKWY, GOODYEAR, AZ</t>
  </si>
  <si>
    <t>Pebble &amp; Pine Pharmacy 2243 :  387 N ESTRELLA PKWY, GOODYEAR, AZ</t>
  </si>
  <si>
    <t>Pebble &amp; Pine Pharmacy 3657 :  3361 N LITCHFIELD RD, GOODYEAR, AZ</t>
  </si>
  <si>
    <t>Bluebell Bazaar 2706646 :  1619 W BASELINE RD, GUADALUPE, AZ</t>
  </si>
  <si>
    <t>Bluebell Bazaar 2701844 :  3508 W BASELINE RD, LAVEEN, AZ</t>
  </si>
  <si>
    <t>Bluebell Bazaar 2741655 :  5110 W BASELINE RD, LAVEEN, AZ</t>
  </si>
  <si>
    <t>Mossy Hollow Market 87 :  5140 W BASELINE, LAVEEN, AZ</t>
  </si>
  <si>
    <t>Haven Hearth Goods 2709 :  5035 W BASELINE RD, LAVEEN, AZ</t>
  </si>
  <si>
    <t>Pebble &amp; Pine Pharmacy 9179 :  5115 W BASELINE RD, LAVEEN, AZ</t>
  </si>
  <si>
    <t>Driftwood Market 3926 :  12970 W INDIAN SCHOOL RD, LITCHFIELD PARK, AZ</t>
  </si>
  <si>
    <t>Iron Pine Outpost 130 :  5115 N DYSART RD STE 150, LITCHFIELD PARK, AZ</t>
  </si>
  <si>
    <t>Bluebell Bazaar 2741705 :  13012 W INDIAN SCHOOL RD, LITCHFIELD PARK, AZ</t>
  </si>
  <si>
    <t>Mossy Hollow Market 667 :  13730 W CAMELBACK RD, LITCHFIELD PARK, AZ</t>
  </si>
  <si>
    <t>Pebble &amp; Pine Pharmacy 7582 :  13014 W CAMELBACK RD, LITCHFIELD PARK, AZ</t>
  </si>
  <si>
    <t>Zippy’s Corner 1068604 :  LUKE AFB EXP/CL6/GAS (B1114), LUKE AFB, AZ</t>
  </si>
  <si>
    <t>Zippy’s Corner 1068635 :  LUKE AFB MAIN (B1540), LUKE AFB, AZ</t>
  </si>
  <si>
    <t>Zippy’s Corner 1068691 :  LUKE AFB MCSS (B1552), LUKE AFB, AZ</t>
  </si>
  <si>
    <t>Bluebell Bazaar 2703390 :  18141 N JOHN WAYNE PKWY, MARICOPA, AZ</t>
  </si>
  <si>
    <t>Bluebell Bazaar 2706639 :  21212 N JOHN WAYNE PKWY, MARICOPA, AZ</t>
  </si>
  <si>
    <t>Pebble &amp; Pine Pharmacy 9264 :  21274 N JOHN WAYNE PKWY, MARICOPA, AZ</t>
  </si>
  <si>
    <t>Mr Fantastic's Emporium 20168 :  810 W BASELINE RD, MESA, AZ</t>
  </si>
  <si>
    <t>Mr Fantastic's Emporium 21821 :  815 S ALMA SCHOOL RD, MESA, AZ</t>
  </si>
  <si>
    <t>Mr Fantastic's Emporium 26201 :  2010 E MAIN ST, MESA, AZ</t>
  </si>
  <si>
    <t>Mr Fantastic's Emporium 26620 :  411 S GILBERT RD, MESA, AZ</t>
  </si>
  <si>
    <t>Mr Fantastic's Emporium 27036 :  815 S DOBSON, MESA, AZ</t>
  </si>
  <si>
    <t>Snap &amp; Go 61 :  1836 S VAL VISTA DR, MESA, AZ</t>
  </si>
  <si>
    <t>Driftwood Market 1002 :  9243 E BASELINE, MESA, AZ</t>
  </si>
  <si>
    <t>Driftwood Market 1948 :  441 N VAL VIS, MESA, AZ</t>
  </si>
  <si>
    <t>Driftwood Market 3989 :  2727 N POWER RD, MESA, AZ</t>
  </si>
  <si>
    <t>Driftwood Market 958 :  325 S POWER RD, MESA, AZ</t>
  </si>
  <si>
    <t>Driftwood Market 980 :  1951 W BASELINE, MESA, AZ</t>
  </si>
  <si>
    <t>Iron Pine Outpost 110 :  1133 N ELLSWORTH RD, MESA, AZ</t>
  </si>
  <si>
    <t>Iron Pine Outpost 155 :  9925 E BASELINE, MESA, AZ</t>
  </si>
  <si>
    <t>Iron Pine Outpost 51 :  1122 N HIGLEY RD, MESA, AZ</t>
  </si>
  <si>
    <t>Iron Pine Outpost 73 :  2864 N POWER RD, MESA, AZ</t>
  </si>
  <si>
    <t>Rusty Cart Grocers 10 :  1342 E MAIN ST, MESA, AZ</t>
  </si>
  <si>
    <t>Rusty Cart Grocers 123 :  822 S ALMA SCHOOL RD, MESA, AZ</t>
  </si>
  <si>
    <t>Rusty Cart Grocers 2 :  339 E BROWN RD, MESA, AZ</t>
  </si>
  <si>
    <t>Rusty Cart Grocers 25 :  450 E SOUTHERN AVE, MESA, AZ</t>
  </si>
  <si>
    <t>Bluebell Bazaar 2700085 :  1154 W 8TH ST, MESA, AZ</t>
  </si>
  <si>
    <t>Bluebell Bazaar 2700103 :  801 S COUNTRY CLUB DR, MESA, AZ</t>
  </si>
  <si>
    <t>Bluebell Bazaar 2700401 :  11 E MCKELLIPS RD, MESA, AZ</t>
  </si>
  <si>
    <t>Bluebell Bazaar 2700433 :  2709 W GUADALUPE RD, MESA, AZ</t>
  </si>
  <si>
    <t>Bluebell Bazaar 2700849 :  9615 E UNIVERSITY DR, MESA, AZ</t>
  </si>
  <si>
    <t>Bluebell Bazaar 2701149 :  1955 W UNIVERSITY DR, MESA, AZ</t>
  </si>
  <si>
    <t>Bluebell Bazaar 2701202 :  2005 N BUSH HWY, MESA, AZ</t>
  </si>
  <si>
    <t>Bluebell Bazaar 2701250 :  330 E BROADWAY RD, MESA, AZ</t>
  </si>
  <si>
    <t>Bluebell Bazaar 2701343 :  1550 N COUNTRY CLUB DR, MESA, AZ</t>
  </si>
  <si>
    <t>Bluebell Bazaar 2701479 :  809 E SOUTHERN AVE, MESA, AZ</t>
  </si>
  <si>
    <t>Bluebell Bazaar 2701574 :  2012 W SOUTHERN AVE, MESA, AZ</t>
  </si>
  <si>
    <t>Bluebell Bazaar 2701671 :  2815 E UNIVERSITY DR, MESA, AZ</t>
  </si>
  <si>
    <t>Bluebell Bazaar 2701994 :  310 N MESA DR, MESA, AZ</t>
  </si>
  <si>
    <t>Bluebell Bazaar 2701996 :  3550 E MAIN ST, MESA, AZ</t>
  </si>
  <si>
    <t>Bluebell Bazaar 2703365 :  1959 S GREENFIELD RD, MESA, AZ</t>
  </si>
  <si>
    <t>Bluebell Bazaar 2703381 :  1202 N POWER RD, MESA, AZ</t>
  </si>
  <si>
    <t>Bluebell Bazaar 2703463 :  9228 E GUADALUPE RD, MESA, AZ</t>
  </si>
  <si>
    <t>Bluebell Bazaar 2703476 :  415 N STAPLEY DR, MESA, AZ</t>
  </si>
  <si>
    <t>Bluebell Bazaar 2705284 :  410 N CTR, MESA, AZ</t>
  </si>
  <si>
    <t>Bluebell Bazaar 2705320 :  4420 E SOUTHERN AVE, MESA, AZ</t>
  </si>
  <si>
    <t>Bluebell Bazaar 2705401 :  417 S DOBSON RD, MESA, AZ</t>
  </si>
  <si>
    <t>Bluebell Bazaar 2706287 :  4425 E MAIN ST, MESA, AZ</t>
  </si>
  <si>
    <t>Bluebell Bazaar 2706346 :  1810 S COUNTRY CLUB DR, MESA, AZ</t>
  </si>
  <si>
    <t>Bluebell Bazaar 2706356 :  1203 E SOUTHERN AVE, MESA, AZ</t>
  </si>
  <si>
    <t>Bluebell Bazaar 2706357 :  1850 S STAPLEY DR, MESA, AZ</t>
  </si>
  <si>
    <t>Bluebell Bazaar 2706361 :  2760 E BASELINE RD, MESA, AZ</t>
  </si>
  <si>
    <t>Bluebell Bazaar 2706459 :  1557 S VAL VISTA DR, MESA, AZ</t>
  </si>
  <si>
    <t>Bluebell Bazaar 2706461 :  2808 S DOBSON RD, MESA, AZ</t>
  </si>
  <si>
    <t>Bluebell Bazaar 2706641 :  4353 S POWER RD, MESA, AZ</t>
  </si>
  <si>
    <t>Bluebell Bazaar 2706642 :  425 S CRISMON RD, MESA, AZ</t>
  </si>
  <si>
    <t>Bluebell Bazaar 2706649 :  1953 E SOUTHERN AVE, MESA, AZ</t>
  </si>
  <si>
    <t>Bluebell Bazaar 2706656 :  2011 E MCKELLIPS RD, MESA, AZ</t>
  </si>
  <si>
    <t>Bluebell Bazaar 2706660 :  2005 W BROADWAY RD, MESA, AZ</t>
  </si>
  <si>
    <t>Bluebell Bazaar 2706661 :  7546 E BASELINE RD, MESA, AZ</t>
  </si>
  <si>
    <t>Bluebell Bazaar 2708512 :  6005 E MCKELLIPS RD, MESA, AZ</t>
  </si>
  <si>
    <t>Bluebell Bazaar 2708749 :  1145 W MAIN ST, MESA, AZ</t>
  </si>
  <si>
    <t>Bluebell Bazaar 2709153 :  1210 S HIGLEY RD, MESA, AZ</t>
  </si>
  <si>
    <t>Bluebell Bazaar 2709173 :  1817 W BASELINE RD, MESA, AZ</t>
  </si>
  <si>
    <t>Bluebell Bazaar 2709179 :  1203 S POWER RD, MESA, AZ</t>
  </si>
  <si>
    <t>Bluebell Bazaar 2709191 :  1153 SIGNAL BUTTE RD, MESA, AZ</t>
  </si>
  <si>
    <t>Bluebell Bazaar 2709538 :  9230 E UNIVERSITY DR, MESA, AZ</t>
  </si>
  <si>
    <t>Bluebell Bazaar 2709557 :  824 W BROADWAY RD, MESA, AZ</t>
  </si>
  <si>
    <t>Bluebell Bazaar 2741603 :  5205 E MCKELLIPS RD, MESA, AZ</t>
  </si>
  <si>
    <t>Bluebell Bazaar 2741615 :  2754 N POWER RD, MESA, AZ</t>
  </si>
  <si>
    <t>Bluebell Bazaar 2741621 :  5158 E UNIVERSITY DR, MESA, AZ</t>
  </si>
  <si>
    <t>Bluebell Bazaar 2741630 :  401 S ELLSWORTH RD, MESA, AZ</t>
  </si>
  <si>
    <t>Bluebell Bazaar 2741676 :  809 N DOBSON RD, MESA, AZ</t>
  </si>
  <si>
    <t>Bluebell Bazaar 2741707 :  2011 S ELLSWORTH RD, MESA, AZ</t>
  </si>
  <si>
    <t>Mossy Hollow Market 113 :  1245 W MAIN ST, MESA, AZ</t>
  </si>
  <si>
    <t>Mossy Hollow Market 115 :  435 S ELLSWORTH, MESA, AZ</t>
  </si>
  <si>
    <t>Mossy Hollow Market 123 :  2727 E BRDWAY, MESA, AZ</t>
  </si>
  <si>
    <t>Mossy Hollow Market 23 :  5941 E MCKELLIPS RD, MESA, AZ</t>
  </si>
  <si>
    <t>Mossy Hollow Market 55 :  1915 S POWER RD, MESA, AZ</t>
  </si>
  <si>
    <t>Mossy Hollow Market 611 :  4440 E MAIN ST, MESA, AZ</t>
  </si>
  <si>
    <t>Mossy Hollow Market 62 :  554 W BASELINE RD, MESA, AZ</t>
  </si>
  <si>
    <t>Mossy Hollow Market 622 :  1935 N STAPLEY DR, MESA, AZ</t>
  </si>
  <si>
    <t>Mossy Hollow Market 686 :  2724 S SIGNAL BUTTE RD, MESA, AZ</t>
  </si>
  <si>
    <t>Haven Hearth Goods 1637 :  3622 E SOUTHERN AVE, MESA, AZ</t>
  </si>
  <si>
    <t>Haven Hearth Goods 1717 :  1902 W MAIN ST, MESA, AZ</t>
  </si>
  <si>
    <t>Haven Hearth Goods 247 :  1225 W GUADALUPE RD, MESA, AZ</t>
  </si>
  <si>
    <t>Haven Hearth Goods 2644 :  1855 N POWER RD, MESA, AZ</t>
  </si>
  <si>
    <t>Haven Hearth Goods 2922 :  4316 S SIGNAL BUTTE RD, MESA, AZ</t>
  </si>
  <si>
    <t>Glowstone Supplies 43049 :  7266 S ELLSWORTH RD, MESA, AZ</t>
  </si>
  <si>
    <t>Jellybean Junction 1959 :  5110 S POWER RD, MESA, AZ</t>
  </si>
  <si>
    <t>Maplewood Mercantile 1386 :  2151 N POWER RD, MESA, AZ</t>
  </si>
  <si>
    <t>Maplewood Mercantile 1429 :  1230 S LONGMORE AVE, MESA, AZ</t>
  </si>
  <si>
    <t>Maplewood Mercantile 251 :  1135 S GILBERT RD, MESA, AZ</t>
  </si>
  <si>
    <t>Maplewood Mercantile 639 :  1525 S POWER RD, MESA, AZ</t>
  </si>
  <si>
    <t>Pebble &amp; Pine Pharmacy 11182 :  1130 W SOUTHERN AVE, MESA, AZ</t>
  </si>
  <si>
    <t>Pebble &amp; Pine Pharmacy 12335 :  10825 E BASELINE RD, MESA, AZ</t>
  </si>
  <si>
    <t>Pebble &amp; Pine Pharmacy 2771 :  1305 S GREENFIELD RD, MESA, AZ</t>
  </si>
  <si>
    <t>Pebble &amp; Pine Pharmacy 3215 :  1935 N POWER RD, MESA, AZ</t>
  </si>
  <si>
    <t>Pebble &amp; Pine Pharmacy 3591 :  2811 E BROADWAY RD, MESA, AZ</t>
  </si>
  <si>
    <t>Pebble &amp; Pine Pharmacy 3670 :  1159 E SOUTHERN AVE, MESA, AZ</t>
  </si>
  <si>
    <t>Pebble &amp; Pine Pharmacy 3728 :  7059 E BASELINE RD, MESA, AZ</t>
  </si>
  <si>
    <t>Pebble &amp; Pine Pharmacy 3767 :  2737 E MCKELLIPS RD, MESA, AZ</t>
  </si>
  <si>
    <t>Pebble &amp; Pine Pharmacy 4435 :  4420 E BROWN RD, MESA, AZ</t>
  </si>
  <si>
    <t>Pebble &amp; Pine Pharmacy 5039 :  746 W UNIVERSITY DR, MESA, AZ</t>
  </si>
  <si>
    <t>Pebble &amp; Pine Pharmacy 5392 :  420 S SOSSAMAN RD, MESA, AZ</t>
  </si>
  <si>
    <t>Pebble &amp; Pine Pharmacy 5701 :  1158 S CRISMON RD, MESA, AZ</t>
  </si>
  <si>
    <t>Pebble &amp; Pine Pharmacy 6026 :  3624 N POWER RD, MESA, AZ</t>
  </si>
  <si>
    <t>Pebble &amp; Pine Pharmacy 6177 :  1135 N MESA DR, MESA, AZ</t>
  </si>
  <si>
    <t>Pebble &amp; Pine Pharmacy 6582 :  9230 E MAIN ST, MESA, AZ</t>
  </si>
  <si>
    <t>Pebble &amp; Pine Pharmacy 6784 :  2024 W MAIN ST, MESA, AZ</t>
  </si>
  <si>
    <t>Pebble &amp; Pine Pharmacy 7558 :  9233 E GUADALUPE RD, MESA, AZ</t>
  </si>
  <si>
    <t>Pebble &amp; Pine Pharmacy 7828 :  6002 E MAIN ST, MESA, AZ</t>
  </si>
  <si>
    <t>Pebble &amp; Pine Pharmacy 9202 :  1142 W GUADALUPE RD, MESA, AZ</t>
  </si>
  <si>
    <t>Mr Fantastic's Emporium 26638 :  6720 W OLIVE AVE, PEORIA, AZ</t>
  </si>
  <si>
    <t>Driftwood Market 1971 :  8950 W BELL RD, PEORIA, AZ</t>
  </si>
  <si>
    <t>Driftwood Market 991 :  8240 W DEER VALLEY RD, PEORIA, AZ</t>
  </si>
  <si>
    <t>Cloudline Provisions 83862 :  8271 W THUNDERBIRD RD, PEORIA, AZ</t>
  </si>
  <si>
    <t>Iron Pine Outpost 102 :  20351 N LAKE PLEASANT RD, PEORIA, AZ</t>
  </si>
  <si>
    <t>Bluebell Bazaar 2701054 :  18610 N 107TH AVE, PEORIA, AZ</t>
  </si>
  <si>
    <t>Bluebell Bazaar 2701065 :  9049 W PEORIA AVE, PEORIA, AZ</t>
  </si>
  <si>
    <t>Bluebell Bazaar 2701646 :  7510 W PEORIA AVE, PEORIA, AZ</t>
  </si>
  <si>
    <t>Bluebell Bazaar 2701785 :  7460 W CACTUS RD, PEORIA, AZ</t>
  </si>
  <si>
    <t>Bluebell Bazaar 2703367 :  8327 W THUNDERBIRD RD, PEORIA, AZ</t>
  </si>
  <si>
    <t>Bluebell Bazaar 2703392 :  8277 W OLIVE AVE, PEORIA, AZ</t>
  </si>
  <si>
    <t>Bluebell Bazaar 2705544 :  8326 W UNION HILLS DR, PEORIA, AZ</t>
  </si>
  <si>
    <t>Bluebell Bazaar 2705573 :  8319 W BELL RD, PEORIA, AZ</t>
  </si>
  <si>
    <t>Bluebell Bazaar 2705914 :  8325 W DEER VALLEY RD, PEORIA, AZ</t>
  </si>
  <si>
    <t>Bluebell Bazaar 2706468 :  9476 W OLIVE AVE, PEORIA, AZ</t>
  </si>
  <si>
    <t>Bluebell Bazaar 2706672 :  23336 N LAKE PLEASANT PKWY, PEORIA, AZ</t>
  </si>
  <si>
    <t>Bluebell Bazaar 2709155 :  8720 W BELL RD, PEORIA, AZ</t>
  </si>
  <si>
    <t>Bluebell Bazaar 2709176 :  6735 W PEORIA AVE, PEORIA, AZ</t>
  </si>
  <si>
    <t>Bluebell Bazaar 2741631 :  8270 W CACTUS RD, PEORIA, AZ</t>
  </si>
  <si>
    <t>Bluebell Bazaar 2741683 :  28460 N VISTANCIA BLVD, PEORIA, AZ</t>
  </si>
  <si>
    <t>Mossy Hollow Market 114 :  9245 W UNION HLS, PEORIA, AZ</t>
  </si>
  <si>
    <t>Mossy Hollow Market 45 :  7455 W CACTUS RD, PEORIA, AZ</t>
  </si>
  <si>
    <t>Mossy Hollow Market 56 :  9043 W OLIVE AVE, PEORIA, AZ</t>
  </si>
  <si>
    <t>Mossy Hollow Market 657 :  25401 N LAKE PLEASANT PKWY, PEORIA, AZ</t>
  </si>
  <si>
    <t>Mossy Hollow Market 683 :  11701 W LONE MOUNTAIN PKWY, PEORIA, AZ</t>
  </si>
  <si>
    <t>Mossy Hollow Market 74 :  8375 W DEER VALLEY RD, PEORIA, AZ</t>
  </si>
  <si>
    <t>Sunny Pebble Co. 801 :  8369 W BELL RD, PEORIA, AZ</t>
  </si>
  <si>
    <t>Haven Hearth Goods 1662 :  10641 W OLIVE AVE, PEORIA, AZ</t>
  </si>
  <si>
    <t>Haven Hearth Goods 1841 :  12320 N 83RD AVE, PEORIA, AZ</t>
  </si>
  <si>
    <t>Haven Hearth Goods 2799 :  2845 N VISTANCIA BLVD, PEORIA, AZ</t>
  </si>
  <si>
    <t>Haven Hearth Goods 72 :  8010 W HAPPY VALLEY RD, PEORIA, AZ</t>
  </si>
  <si>
    <t>Jellybean Junction 2227 :  24890 N LAKE PLEASANT PKWY, PEORIA, AZ</t>
  </si>
  <si>
    <t>Maplewood Mercantile 825 :  8055 W BELL RD, PEORIA, AZ</t>
  </si>
  <si>
    <t>Pebble &amp; Pine Pharmacy 10241 :  28516 N EL MIRAGE RD, PEORIA, AZ</t>
  </si>
  <si>
    <t>Pebble &amp; Pine Pharmacy 3048 :  9050 W UNION HILLS DR, PEORIA, AZ</t>
  </si>
  <si>
    <t>Pebble &amp; Pine Pharmacy 3427 :  7448 W THUNDERBIRD RD, PEORIA, AZ</t>
  </si>
  <si>
    <t>Pebble &amp; Pine Pharmacy 4742 :  8310 W DEER VALLEY RD, PEORIA, AZ</t>
  </si>
  <si>
    <t>Pebble &amp; Pine Pharmacy 5222 :  9040 W PEORIA AVE, PEORIA, AZ</t>
  </si>
  <si>
    <t>Pebble &amp; Pine Pharmacy 5353 :  20266 N LAKE PLEASANT RD, PEORIA, AZ</t>
  </si>
  <si>
    <t>Mr Fantastic's Emporium 13026 :  4511 N 24TH ST, PHOENIX, AZ</t>
  </si>
  <si>
    <t>Mr Fantastic's Emporium 16082 :  4831 N 75TH AVE, PHOENIX, AZ</t>
  </si>
  <si>
    <t>Mr Fantastic's Emporium 16398 :  2424 W GREENWAY RD, PHOENIX, AZ</t>
  </si>
  <si>
    <t>Mr Fantastic's Emporium 18117 :  2651 W GLENDALE AVE, PHOENIX, AZ</t>
  </si>
  <si>
    <t>Mr Fantastic's Emporium 19158 :  5901 W MCDOWELL RD, PHOENIX, AZ</t>
  </si>
  <si>
    <t>Mr Fantastic's Emporium 19650 :  4748 E MCDOWELL RD, PHOENIX, AZ</t>
  </si>
  <si>
    <t>Mr Fantastic's Emporium 20212 :  1950 E INDIAN SCHOOL RD, PHOENIX, AZ</t>
  </si>
  <si>
    <t>Mr Fantastic's Emporium 20416 :  3306 W BELL RD, PHOENIX, AZ</t>
  </si>
  <si>
    <t>Mr Fantastic's Emporium 20433 :  12033 N 28TH DR, PHOENIX, AZ</t>
  </si>
  <si>
    <t>Mr Fantastic's Emporium 20622 :  646 W INDIAN SCHOOL RD, PHOENIX, AZ</t>
  </si>
  <si>
    <t>Mr Fantastic's Emporium 21040 :  5135 E THOMAS RD, PHOENIX, AZ</t>
  </si>
  <si>
    <t>Mr Fantastic's Emporium 22886 :  3912 E CAMELBACK, PHOENIX, AZ</t>
  </si>
  <si>
    <t>Mr Fantastic's Emporium 23215 :  3948 E THOMAS, PHOENIX, AZ</t>
  </si>
  <si>
    <t>Mr Fantastic's Emporium 24169 :  850 E BELL, PHOENIX, AZ</t>
  </si>
  <si>
    <t>Mr Fantastic's Emporium 26085 :  1850 W GLENDALE, PHOENIX, AZ</t>
  </si>
  <si>
    <t>Mr Fantastic's Emporium 26086 :  3201 E SHEA BLVD, PHOENIX, AZ</t>
  </si>
  <si>
    <t>Mr Fantastic's Emporium 26123 :  5850 W THOMAS RD, PHOENIX, AZ</t>
  </si>
  <si>
    <t>Mr Fantastic's Emporium 27401 :  4748 E VAN BUREN, PHOENIX, AZ</t>
  </si>
  <si>
    <t>Mr Fantastic's Emporium 27518 :  4840 N 67TH AVE, PHOENIX, AZ</t>
  </si>
  <si>
    <t>Mr Fantastic's Emporium 32319 :  19848 N 27TH AVE, PHOENIX, AZ</t>
  </si>
  <si>
    <t>Mr Fantastic's Emporium 32824 :  9910 W INDIAN SCHOOL RD, PHOENIX, AZ</t>
  </si>
  <si>
    <t>Mr Fantastic's Emporium 42313 :  1818 S 7TH ST, PHOENIX, AZ</t>
  </si>
  <si>
    <t>Snap &amp; Go 159 :  4430 E CAMELBACK RD, PHOENIX, AZ</t>
  </si>
  <si>
    <t>Snap &amp; Go 64 :  5017 N CENTRAL AVE, PHOENIX, AZ</t>
  </si>
  <si>
    <t>Driftwood Market 25 :  21001 N TATUM BLVD, PHOENIX, AZ</t>
  </si>
  <si>
    <t>Driftwood Market 2952 :  8035 N 19TH AVE, PHOENIX, AZ</t>
  </si>
  <si>
    <t>Driftwood Market 2985 :  18411 N CAVE CREEK RD, PHOENIX, AZ</t>
  </si>
  <si>
    <t>Driftwood Market 4 :  3130 W CAREFREE HWY, PHOENIX, AZ</t>
  </si>
  <si>
    <t>Cloudline Provisions 42974 :  1601 N 43RD AVE, PHOENIX, AZ</t>
  </si>
  <si>
    <t>Cloudline Provisions 82533 :  7849 N 43RD AVE, PHOENIX, AZ</t>
  </si>
  <si>
    <t>Cloudline Provisions 82562 :  1601 N 27TH AVE, PHOENIX, AZ</t>
  </si>
  <si>
    <t>Cloudline Provisions 82733 :  1201 E NORTHERN AVE, PHOENIX, AZ</t>
  </si>
  <si>
    <t>Cloudline Provisions 82745 :  935 N 43RD AVE, PHOENIX, AZ</t>
  </si>
  <si>
    <t>Cloudline Provisions 83853 :  12222 N 32ND ST, PHOENIX, AZ</t>
  </si>
  <si>
    <t>Cloudline Provisions 83857 :  5101 W THOMAS RD, PHOENIX, AZ</t>
  </si>
  <si>
    <t>Iron Pine Outpost 11 :  4855 E WARNER RD, PHOENIX, AZ</t>
  </si>
  <si>
    <t>Iron Pine Outpost 113 :  731 E UNION HILLS DR, PHOENIX, AZ</t>
  </si>
  <si>
    <t>Iron Pine Outpost 15 :  10631 N 32ND ST, PHOENIX, AZ</t>
  </si>
  <si>
    <t>Iron Pine Outpost 158 :  5555 N 7TH ST # 130, PHOENIX, AZ</t>
  </si>
  <si>
    <t>Rusty Cart Grocers 103 :  4239 W MCDOWELL RD, PHOENIX, AZ</t>
  </si>
  <si>
    <t>Rusty Cart Grocers 104 :  3202 E GREENWAY RD, PHOENIX, AZ</t>
  </si>
  <si>
    <t>Rusty Cart Grocers 105 :  3514 W GLENDALE AVE, PHOENIX, AZ</t>
  </si>
  <si>
    <t>Rusty Cart Grocers 107 :  7227 S CENTRAL AVE, PHOENIX, AZ</t>
  </si>
  <si>
    <t>Rusty Cart Grocers 12 :  2124 E MCDOWELL RD, PHOENIX, AZ</t>
  </si>
  <si>
    <t>Rusty Cart Grocers 132 :  2709 W VAN BUREN ST, PHOENIX, AZ</t>
  </si>
  <si>
    <t>Rusty Cart Grocers 135 :  5114 W MCDOWELL RD, PHOENIX, AZ</t>
  </si>
  <si>
    <t>Rusty Cart Grocers 140 :  6544 W THOMAS RD STE 33, PHOENIX, AZ</t>
  </si>
  <si>
    <t>Rusty Cart Grocers 143 :  4430 E MCDOWELL RD, PHOENIX, AZ</t>
  </si>
  <si>
    <t>Rusty Cart Grocers 148 :  3205 E MCDOWELL RD, PHOENIX, AZ</t>
  </si>
  <si>
    <t>Rusty Cart Grocers 149 :  6025 N 27TH AVE, PHOENIX, AZ</t>
  </si>
  <si>
    <t>Rusty Cart Grocers 152 :  4727 E SOUTHERN AVE, PHOENIX, AZ</t>
  </si>
  <si>
    <t>Rusty Cart Grocers 154 :  9020 W THOMAS RD, PHOENIX, AZ</t>
  </si>
  <si>
    <t>Rusty Cart Grocers 162 :  845 W SOUTHERN AVE, PHOENIX, AZ</t>
  </si>
  <si>
    <t>Rusty Cart Grocers 94 :  3442 W VAN BUREN ST, PHOENIX, AZ</t>
  </si>
  <si>
    <t>Rusty Cart Grocers 95 :  1940 W INDIAN SCHOOL RD, PHOENIX, AZ</t>
  </si>
  <si>
    <t>Bluebell Bazaar 1854 :  1002 N 35TH AVE, PHOENIX, AZ</t>
  </si>
  <si>
    <t>Bluebell Bazaar 2700014 :  1001 N 16TH ST, PHOENIX, AZ</t>
  </si>
  <si>
    <t>Bluebell Bazaar 2700052 :  8617 N 27TH AVE, PHOENIX, AZ</t>
  </si>
  <si>
    <t>Bluebell Bazaar 2700074 :  6322 N 12TH ST, PHOENIX, AZ</t>
  </si>
  <si>
    <t>Bluebell Bazaar 2700114 :  614 W ROOSEVELT, PHOENIX, AZ</t>
  </si>
  <si>
    <t>Bluebell Bazaar 2700598 :  5050 W THUNDERBIRD RD, PHOENIX, AZ</t>
  </si>
  <si>
    <t>Bluebell Bazaar 2700693 :  5850 S 19TH AVE, PHOENIX, AZ</t>
  </si>
  <si>
    <t>Bluebell Bazaar 2700720 :  2359 E BEARDSLEY RD, PHOENIX, AZ</t>
  </si>
  <si>
    <t>Bluebell Bazaar 2701200 :  2702 W GLENDALE AVE, PHOENIX, AZ</t>
  </si>
  <si>
    <t>Bluebell Bazaar 2701216 :  3955 E BROADWAY, PHOENIX, AZ</t>
  </si>
  <si>
    <t>Bluebell Bazaar 2701344 :  1002 N 32ND ST, PHOENIX, AZ</t>
  </si>
  <si>
    <t>Bluebell Bazaar 2701345 :  3101 W NORTHERN AVE, PHOENIX, AZ</t>
  </si>
  <si>
    <t>Bluebell Bazaar 2701347 :  4502 N 19TH AVE, PHOENIX, AZ</t>
  </si>
  <si>
    <t>Bluebell Bazaar 2701541 :  701 E BETHANY HOME RD, PHOENIX, AZ</t>
  </si>
  <si>
    <t>Bluebell Bazaar 2701566 :  3502 W PEORIA AVE, PHOENIX, AZ</t>
  </si>
  <si>
    <t>Bluebell Bazaar 2701569 :  699 E BUCKEYE RD, PHOENIX, AZ</t>
  </si>
  <si>
    <t>Bluebell Bazaar 2701570 :  4401 S 7TH AVE, PHOENIX, AZ</t>
  </si>
  <si>
    <t>Bluebell Bazaar 2701584 :  2640 W VAN BUREN, PHOENIX, AZ</t>
  </si>
  <si>
    <t>Bluebell Bazaar 2701603 :  1501 W MCDOWELL RD, PHOENIX, AZ</t>
  </si>
  <si>
    <t>Bluebell Bazaar 2701618 :  6002 N 7TH AVE, PHOENIX, AZ</t>
  </si>
  <si>
    <t>Bluebell Bazaar 2701619 :  2401 E INDIAN SCHOOL RD, PHOENIX, AZ</t>
  </si>
  <si>
    <t>Bluebell Bazaar 2701620 :  3554 E INDIAN SCHOOL RD, PHOENIX, AZ</t>
  </si>
  <si>
    <t>Bluebell Bazaar 2701622 :  3404 N 19TH AVE, PHOENIX, AZ</t>
  </si>
  <si>
    <t>Bluebell Bazaar 2701637 :  2402 E SOUTHERN AVE, PHOENIX, AZ</t>
  </si>
  <si>
    <t>Bluebell Bazaar 2701662 :  4402 E OSBORN RD, PHOENIX, AZ</t>
  </si>
  <si>
    <t>Bluebell Bazaar 2701667 :  2850 N 7TH ST, PHOENIX, AZ</t>
  </si>
  <si>
    <t>Bluebell Bazaar 2701673 :  1910 W DEER VALLEY RD, PHOENIX, AZ</t>
  </si>
  <si>
    <t>Bluebell Bazaar 2701739 :  7440 S 7TH AVE, PHOENIX, AZ</t>
  </si>
  <si>
    <t>Bluebell Bazaar 2701741 :  5141 N CENTRAL AVE, PHOENIX, AZ</t>
  </si>
  <si>
    <t>Bluebell Bazaar 2701752 :  4343 E CAMELBACK RD, PHOENIX, AZ</t>
  </si>
  <si>
    <t>Bluebell Bazaar 2701781 :  1540 E BROADWAY RD, PHOENIX, AZ</t>
  </si>
  <si>
    <t>Bluebell Bazaar 2701795 :  1732 W VAN BUREN, PHOENIX, AZ</t>
  </si>
  <si>
    <t>Bluebell Bazaar 2701843 :  10 E BUCKEYE RD, PHOENIX, AZ</t>
  </si>
  <si>
    <t>Bluebell Bazaar 2701850 :  630 E BROADWAY, PHOENIX, AZ</t>
  </si>
  <si>
    <t>Bluebell Bazaar 2701855 :  15400 N 7TH ST, PHOENIX, AZ</t>
  </si>
  <si>
    <t>Bluebell Bazaar 2701859 :  702 W MCDOWELL RD, PHOENIX, AZ</t>
  </si>
  <si>
    <t>Bluebell Bazaar 2701918 :  3151 E BROADWAY RD, PHOENIX, AZ</t>
  </si>
  <si>
    <t>Bluebell Bazaar 2701921 :  3149 E VAN BUREN, PHOENIX, AZ</t>
  </si>
  <si>
    <t>Bluebell Bazaar 2701929 :  4808 E BELL RD, PHOENIX, AZ</t>
  </si>
  <si>
    <t>Bluebell Bazaar 2701938 :  2439 W UNION HILLS DR, PHOENIX, AZ</t>
  </si>
  <si>
    <t>Bluebell Bazaar 2701950 :  9040 S CENTRAL AVE, PHOENIX, AZ</t>
  </si>
  <si>
    <t>Bluebell Bazaar 2701968 :  4303 S 19TH AVE, PHOENIX, AZ</t>
  </si>
  <si>
    <t>Bluebell Bazaar 2701974 :  2402 E MCDOWELL RD, PHOENIX, AZ</t>
  </si>
  <si>
    <t>Bluebell Bazaar 2701998 :  1834 W GRANT ST, PHOENIX, AZ</t>
  </si>
  <si>
    <t>Bluebell Bazaar 2702817 :  2120 N 35TH AVE, PHOENIX, AZ</t>
  </si>
  <si>
    <t>Bluebell Bazaar 2702835 :  3402 N 35TH AVE, PHOENIX, AZ</t>
  </si>
  <si>
    <t>Bluebell Bazaar 2702872 :  602 N 1ST AVE, PHOENIX, AZ</t>
  </si>
  <si>
    <t>Bluebell Bazaar 2702873 :  3930 E SOUTHERN AVE, PHOENIX, AZ</t>
  </si>
  <si>
    <t>Bluebell Bazaar 2702885 :  3618 W BUCKEYE RD, PHOENIX, AZ</t>
  </si>
  <si>
    <t>Bluebell Bazaar 2702889 :  1342 W THOMAS RD, PHOENIX, AZ</t>
  </si>
  <si>
    <t>Bluebell Bazaar 2702890 :  3543 E OAK ST, PHOENIX, AZ</t>
  </si>
  <si>
    <t>Bluebell Bazaar 2702891 :  5146 E MCDOWELL RD, PHOENIX, AZ</t>
  </si>
  <si>
    <t>Bluebell Bazaar 2703393 :  301 N 43RD AVE, PHOENIX, AZ</t>
  </si>
  <si>
    <t>Bluebell Bazaar 2703396 :  3011 E BELL RD, PHOENIX, AZ</t>
  </si>
  <si>
    <t>Bluebell Bazaar 2703399 :  1122 E INDIAN SCHOOL RD, PHOENIX, AZ</t>
  </si>
  <si>
    <t>Bluebell Bazaar 2703403 :  1850 W HAPPY VALLEY RD, PHOENIX, AZ</t>
  </si>
  <si>
    <t>Bluebell Bazaar 2703405 :  2120 W NORTHERN AVE, PHOENIX, AZ</t>
  </si>
  <si>
    <t>Bluebell Bazaar 2703425 :  3950 E BASELINE RD, PHOENIX, AZ</t>
  </si>
  <si>
    <t>Bluebell Bazaar 2703447 :  975 N 7TH ST, PHOENIX, AZ</t>
  </si>
  <si>
    <t>Bluebell Bazaar 2703459 :  2650 W CAMELBACK RD, PHOENIX, AZ</t>
  </si>
  <si>
    <t>Bluebell Bazaar 2703461 :  2840 N 75TH AVE, PHOENIX, AZ</t>
  </si>
  <si>
    <t>Bluebell Bazaar 2703480 :  4810 E WARNER RD, PHOENIX, AZ</t>
  </si>
  <si>
    <t>Bluebell Bazaar 2703481 :  675 W UNION HILLS DR, PHOENIX, AZ</t>
  </si>
  <si>
    <t>Bluebell Bazaar 2703487 :  1875 W GREENWAY RD, PHOENIX, AZ</t>
  </si>
  <si>
    <t>Bluebell Bazaar 2703734 :  3443 W DUNLAP, PHOENIX, AZ</t>
  </si>
  <si>
    <t>Bluebell Bazaar 2703735 :  4301 W CACTUS RD, PHOENIX, AZ</t>
  </si>
  <si>
    <t>Bluebell Bazaar 2703740 :  8955 N 19TH AVE, PHOENIX, AZ</t>
  </si>
  <si>
    <t>Bluebell Bazaar 2703743 :  5350 N 27TH AVE, PHOENIX, AZ</t>
  </si>
  <si>
    <t>Bluebell Bazaar 2703744 :  630 E MISSOURI, PHOENIX, AZ</t>
  </si>
  <si>
    <t>Bluebell Bazaar 2703746 :  12201 N CAVE CREEK RD, PHOENIX, AZ</t>
  </si>
  <si>
    <t>Bluebell Bazaar 2704272 :  3502 W UNION HILLS DR, PHOENIX, AZ</t>
  </si>
  <si>
    <t>Bluebell Bazaar 2705023 :  1523 E MCDOWELL, PHOENIX, AZ</t>
  </si>
  <si>
    <t>Bluebell Bazaar 2705069 :  4301 W THOMAS RD, PHOENIX, AZ</t>
  </si>
  <si>
    <t>Bluebell Bazaar 2705194 :  12042 N 32ND ST, PHOENIX, AZ</t>
  </si>
  <si>
    <t>Bluebell Bazaar 2705282 :  5060 E WARNER RD, PHOENIX, AZ</t>
  </si>
  <si>
    <t>Bluebell Bazaar 2705283 :  3201 E CHANDLER BLVD, PHOENIX, AZ</t>
  </si>
  <si>
    <t>Bluebell Bazaar 2705287 :  4801 E ELLIOT RD, PHOENIX, AZ</t>
  </si>
  <si>
    <t>Bluebell Bazaar 2705295 :  29816 N TATUM BLVD, PHOENIX, AZ</t>
  </si>
  <si>
    <t>Bluebell Bazaar 2705298 :  1250 E CHANDLER BLVD, PHOENIX, AZ</t>
  </si>
  <si>
    <t>Bluebell Bazaar 2705303 :  26290 N TATUM BLVD, PHOENIX, AZ</t>
  </si>
  <si>
    <t>Bluebell Bazaar 2705308 :  3435 W DEER VALLEY RD, PHOENIX, AZ</t>
  </si>
  <si>
    <t>Bluebell Bazaar 2705325 :  20202 N 7TH AVE, PHOENIX, AZ</t>
  </si>
  <si>
    <t>Bluebell Bazaar 2705405 :  2515 W GLENDALE AVE, PHOENIX, AZ</t>
  </si>
  <si>
    <t>Bluebell Bazaar 2705407 :  4259 W MCDOWELL RD, PHOENIX, AZ</t>
  </si>
  <si>
    <t>Bluebell Bazaar 2705408 :  4403 E VAN BUREN ST, PHOENIX, AZ</t>
  </si>
  <si>
    <t>Bluebell Bazaar 2705409 :  8249 W INDIAN SCHOOL RD, PHOENIX, AZ</t>
  </si>
  <si>
    <t>Bluebell Bazaar 2705545 :  18422 N TATUM BLVD, PHOENIX, AZ</t>
  </si>
  <si>
    <t>Bluebell Bazaar 2705547 :  625 W BELL RD, PHOENIX, AZ</t>
  </si>
  <si>
    <t>Bluebell Bazaar 2705549 :  4939 E RAY RD, PHOENIX, AZ</t>
  </si>
  <si>
    <t>Bluebell Bazaar 2705578 :  9875 W CAMELBACK RD, PHOENIX, AZ</t>
  </si>
  <si>
    <t>Bluebell Bazaar 2705795 :  6710 W BUCKEYE RD, PHOENIX, AZ</t>
  </si>
  <si>
    <t>Bluebell Bazaar 2705954 :  4815 E CAREFREE HWY, PHOENIX, AZ</t>
  </si>
  <si>
    <t>Bluebell Bazaar 2706358 :  8248 W THOMAS RD, PHOENIX, AZ</t>
  </si>
  <si>
    <t>Bluebell Bazaar 2706359 :  309 E OSBORN RD, PHOENIX, AZ</t>
  </si>
  <si>
    <t>Bluebell Bazaar 2706360 :  4410 E RAY RD, PHOENIX, AZ</t>
  </si>
  <si>
    <t>Bluebell Bazaar 2706362 :  4950 E CHANDLER BLVD, PHOENIX, AZ</t>
  </si>
  <si>
    <t>Bluebell Bazaar 2706458 :  1609 N 91ST AVE, PHOENIX, AZ</t>
  </si>
  <si>
    <t>Bluebell Bazaar 2706640 :  620 E CAREFREE HWY, PHOENIX, AZ</t>
  </si>
  <si>
    <t>Bluebell Bazaar 2706643 :  19830 N 7TH ST, PHOENIX, AZ</t>
  </si>
  <si>
    <t>Bluebell Bazaar 2706644 :  1850 W UNION HILLS DR, PHOENIX, AZ</t>
  </si>
  <si>
    <t>Bluebell Bazaar 2706647 :  3449 W GREENWAY RD, PHOENIX, AZ</t>
  </si>
  <si>
    <t>Bluebell Bazaar 2706648 :  2311 W DEER VALLEY RD, PHOENIX, AZ</t>
  </si>
  <si>
    <t>Bluebell Bazaar 2706654 :  15412 N 32ND ST, PHOENIX, AZ</t>
  </si>
  <si>
    <t>Bluebell Bazaar 2706662 :  1146 N 35TH AVE, PHOENIX, AZ</t>
  </si>
  <si>
    <t>Bluebell Bazaar 2708518 :  1901 W CACTUS, PHOENIX, AZ</t>
  </si>
  <si>
    <t>Bluebell Bazaar 2708553 :  1605 E BELL RD, PHOENIX, AZ</t>
  </si>
  <si>
    <t>Bluebell Bazaar 2708555 :  4005 E UNION HLS, PHOENIX, AZ</t>
  </si>
  <si>
    <t>Bluebell Bazaar 2708556 :  2702 W DEER VALLEY RD, PHOENIX, AZ</t>
  </si>
  <si>
    <t>Bluebell Bazaar 2708596 :  1602 E WASHINGTON, PHOENIX, AZ</t>
  </si>
  <si>
    <t>Bluebell Bazaar 2708597 :  4849 N 83RD AVE, PHOENIX, AZ</t>
  </si>
  <si>
    <t>Bluebell Bazaar 2708598 :  15410 N 40TH ST, PHOENIX, AZ</t>
  </si>
  <si>
    <t>Bluebell Bazaar 2708599 :  1601 N 67TH AVE, PHOENIX, AZ</t>
  </si>
  <si>
    <t>Bluebell Bazaar 2708600 :  13802 N 40TH ST, PHOENIX, AZ</t>
  </si>
  <si>
    <t>Bluebell Bazaar 2708651 :  5849 N 35TH AVE, PHOENIX, AZ</t>
  </si>
  <si>
    <t>Bluebell Bazaar 2708652 :  1502 W INDIAN SCHOOL RD, PHOENIX, AZ</t>
  </si>
  <si>
    <t>Bluebell Bazaar 2708689 :  2708 W BUCKEYE RD, PHOENIX, AZ</t>
  </si>
  <si>
    <t>Bluebell Bazaar 2708692 :  2524 W THUNDERBIRD, PHOENIX, AZ</t>
  </si>
  <si>
    <t>Bluebell Bazaar 2708696 :  7424 W MCDOWELL RD, PHOENIX, AZ</t>
  </si>
  <si>
    <t>Bluebell Bazaar 2708747 :  3196 E UNION HILLS DR, PHOENIX, AZ</t>
  </si>
  <si>
    <t>Bluebell Bazaar 2708771 :  1601 E INDIAN SCHOOL RD, PHOENIX, AZ</t>
  </si>
  <si>
    <t>Bluebell Bazaar 2708776 :  1544 E SOUTHERN AVE, PHOENIX, AZ</t>
  </si>
  <si>
    <t>Bluebell Bazaar 2708827 :  5850 W INDIAN SCHOOL RD, PHOENIX, AZ</t>
  </si>
  <si>
    <t>Bluebell Bazaar 2708829 :  2041 W VAN BUREN, PHOENIX, AZ</t>
  </si>
  <si>
    <t>Bluebell Bazaar 2708833 :  6649 W THOMAS RD, PHOENIX, AZ</t>
  </si>
  <si>
    <t>Bluebell Bazaar 2708841 :  966 E VAN BUREN, PHOENIX, AZ</t>
  </si>
  <si>
    <t>Bluebell Bazaar 2708870 :  3501 W LOWER BUCKEYE RD, PHOENIX, AZ</t>
  </si>
  <si>
    <t>Bluebell Bazaar 2708875 :  3402 N 16TH ST, PHOENIX, AZ</t>
  </si>
  <si>
    <t>Bluebell Bazaar 2709151 :  13801 N TATUM, PHOENIX, AZ</t>
  </si>
  <si>
    <t>Bluebell Bazaar 2709152 :  5105 E ELLIOT RD, PHOENIX, AZ</t>
  </si>
  <si>
    <t>Bluebell Bazaar 2709154 :  10712 W INDIAN SCHOOL, PHOENIX, AZ</t>
  </si>
  <si>
    <t>Bluebell Bazaar 2709164 :  4001 E CHANDLER BLVD, PHOENIX, AZ</t>
  </si>
  <si>
    <t>Bluebell Bazaar 2709166 :  3441 W UNION HILLS DR, PHOENIX, AZ</t>
  </si>
  <si>
    <t>Bluebell Bazaar 2709168 :  4801 E THOMAS RD, PHOENIX, AZ</t>
  </si>
  <si>
    <t>Bluebell Bazaar 2709184 :  15262 N TATUM BLVD, PHOENIX, AZ</t>
  </si>
  <si>
    <t>Bluebell Bazaar 2709190 :  4930 N 91ST AVE, PHOENIX, AZ</t>
  </si>
  <si>
    <t>Bluebell Bazaar 2709193 :  3140 E BROADWAY RD, PHOENIX, AZ</t>
  </si>
  <si>
    <t>Bluebell Bazaar 2709523 :  9418 N 7TH ST, PHOENIX, AZ</t>
  </si>
  <si>
    <t>Bluebell Bazaar 2709541 :  2775 S 51ST AVE, PHOENIX, AZ</t>
  </si>
  <si>
    <t>Bluebell Bazaar 2709556 :  5150 W LOWER BUCKEYE RD, PHOENIX, AZ</t>
  </si>
  <si>
    <t>Bluebell Bazaar 2709580 :  2440 W BETHANY HOME RD, PHOENIX, AZ</t>
  </si>
  <si>
    <t>Bluebell Bazaar 2741612 :  5850 W MCDOWELL RD, PHOENIX, AZ</t>
  </si>
  <si>
    <t>Bluebell Bazaar 2741622 :  2350 E BASELINE RD, PHOENIX, AZ</t>
  </si>
  <si>
    <t>Bluebell Bazaar 2741628 :  1111 N 67TH AVE, PHOENIX, AZ</t>
  </si>
  <si>
    <t>Bluebell Bazaar 2741635 :  3980 E MCDOWELL RD, PHOENIX, AZ</t>
  </si>
  <si>
    <t>Bluebell Bazaar 2741639 :  2575 W SONORAN DESERT DR, PHOENIX, AZ</t>
  </si>
  <si>
    <t>Bluebell Bazaar 2741652 :  5049 W BUCKEYE, PHOENIX, AZ</t>
  </si>
  <si>
    <t>Bluebell Bazaar 4 :  4252 S 48TH ST, PHOENIX, AZ</t>
  </si>
  <si>
    <t>Mossy Hollow Market 12 :  18420 N 19TH AVE, PHOENIX, AZ</t>
  </si>
  <si>
    <t>Mossy Hollow Market 121 :  4025 E THUNDERBIRD RD, PHOENIX, AZ</t>
  </si>
  <si>
    <t>Mossy Hollow Market 126 :  6601 W INDIAN SCHOOL RD, PHOENIX, AZ</t>
  </si>
  <si>
    <t>Mossy Hollow Market 127 :  4204 W CACTUS RD, PHOENIX, AZ</t>
  </si>
  <si>
    <t>Mossy Hollow Market 128 :  744 W CAMELBACK RD, PHOENIX, AZ</t>
  </si>
  <si>
    <t>Mossy Hollow Market 129 :  4724 N 20TH ST, PHOENIX, AZ</t>
  </si>
  <si>
    <t>Mossy Hollow Market 135 :  4505 E THOMAS RD, PHOENIX, AZ</t>
  </si>
  <si>
    <t>Mossy Hollow Market 2 :  3036 E THOMAS, PHOENIX, AZ</t>
  </si>
  <si>
    <t>Mossy Hollow Market 27 :  3616 E RAY RD, PHOENIX, AZ</t>
  </si>
  <si>
    <t>Mossy Hollow Market 40 :  3421 W THUNDERBIRD, PHOENIX, AZ</t>
  </si>
  <si>
    <t>Mossy Hollow Market 46 :  520 E BASELINE, PHOENIX, AZ</t>
  </si>
  <si>
    <t>Mossy Hollow Market 609 :  850 E HATCHER RD, PHOENIX, AZ</t>
  </si>
  <si>
    <t>Mossy Hollow Market 612 :  4707 E SHEA BLVD, PHOENIX, AZ</t>
  </si>
  <si>
    <t>Mossy Hollow Market 617 :  2727 W BELL RD, PHOENIX, AZ</t>
  </si>
  <si>
    <t>Mossy Hollow Market 618 :  3246 E BELL RD, PHOENIX, AZ</t>
  </si>
  <si>
    <t>Mossy Hollow Market 619 :  8325 W INDIAN SCHOOL RD, PHOENIX, AZ</t>
  </si>
  <si>
    <t>Mossy Hollow Market 623 :  1815 W GLENDALE AVE, PHOENIX, AZ</t>
  </si>
  <si>
    <t>Mossy Hollow Market 628 :  3949 E CHANDLER BLVD, PHOENIX, AZ</t>
  </si>
  <si>
    <t>Mossy Hollow Market 641 :  3511 W PEORIA AVE, PHOENIX, AZ</t>
  </si>
  <si>
    <t>Mossy Hollow Market 694 :  2800 W DOVE VLY, PHOENIX, AZ</t>
  </si>
  <si>
    <t>Mossy Hollow Market 698 :  1311 E BELL RD, PHOENIX, AZ</t>
  </si>
  <si>
    <t>Mossy Hollow Market 78 :  39508 N DAISY MOUNTAIN DR, PHOENIX, AZ</t>
  </si>
  <si>
    <t>Mossy Hollow Market 79 :  2626 S 83RD AVE, PHOENIX, AZ</t>
  </si>
  <si>
    <t>Mossy Hollow Market 81 :  2250 E BASELINE RD, PHOENIX, AZ</t>
  </si>
  <si>
    <t>Mossy Hollow Market 88 :  100 E JEFFERSON ST, PHOENIX, AZ</t>
  </si>
  <si>
    <t>Mossy Hollow Market 96 :  26300 N NORTERRA PKWY, PHOENIX, AZ</t>
  </si>
  <si>
    <t>Copper Creek Goods 610 :  4230 W MCDOWELL RD, PHOENIX, AZ</t>
  </si>
  <si>
    <t>Sunny Pebble Co. 802 :  2501 W HAPPY VALLEY RD, PHOENIX, AZ</t>
  </si>
  <si>
    <t>Sunny Pebble Co. 804 :  21001 N TATUM BLVD STE 84, PHOENIX, AZ</t>
  </si>
  <si>
    <t>Sunny Pebble Co. 808 :  12010 N TATUM BLVD, PHOENIX, AZ</t>
  </si>
  <si>
    <t>Sunny Pebble Co. 809 :  1954 E HIGHLAND AVE, PHOENIX, AZ</t>
  </si>
  <si>
    <t>Timberline Market 611 :  6700 W LATHAM ST, PHOENIX, AZ</t>
  </si>
  <si>
    <t>Haven Hearth Goods 1201 :  4005 E CHANDLER BLVD, PHOENIX, AZ</t>
  </si>
  <si>
    <t>Haven Hearth Goods 1515 :  810 E GLENDALE AVE, PHOENIX, AZ</t>
  </si>
  <si>
    <t>Haven Hearth Goods 1591 :  6202 S 16TH ST, PHOENIX, AZ</t>
  </si>
  <si>
    <t>Haven Hearth Goods 1654 :  4811 N 83RD AVE, PHOENIX, AZ</t>
  </si>
  <si>
    <t>Haven Hearth Goods 174 :  520 W OSBORN RD, PHOENIX, AZ</t>
  </si>
  <si>
    <t>Haven Hearth Goods 1979 :  13440 N 7TH ST, PHOENIX, AZ</t>
  </si>
  <si>
    <t>Haven Hearth Goods 1980 :  1334 E CHANDLER BLVD, PHOENIX, AZ</t>
  </si>
  <si>
    <t>Haven Hearth Goods 2042 :  3132 E CAMELBACK RD, PHOENIX, AZ</t>
  </si>
  <si>
    <t>Haven Hearth Goods 2097 :  4747 E GREENWAY RD, PHOENIX, AZ</t>
  </si>
  <si>
    <t>Haven Hearth Goods 240 :  3450 W BELL RD, PHOENIX, AZ</t>
  </si>
  <si>
    <t>Haven Hearth Goods 2651 :  340 E MCDOWELL RD, PHOENIX, AZ</t>
  </si>
  <si>
    <t>Haven Hearth Goods 2716 :  4750 E INDIAN SCHOOL RD, PHOENIX, AZ</t>
  </si>
  <si>
    <t>Haven Hearth Goods 413 :  550 E BELL RD, PHOENIX, AZ</t>
  </si>
  <si>
    <t>Haven Hearth Goods 752 :  4747 E ELLIOT RD, PHOENIX, AZ</t>
  </si>
  <si>
    <t>Jellybean Junction 2236 :  16806 N 7TH ST, PHOENIX, AZ</t>
  </si>
  <si>
    <t>Jellybean Junction 2354 :  5715 N 19TH AVE, PHOENIX, AZ</t>
  </si>
  <si>
    <t>Bramble &amp; Co. 3261 :  1625 E CAMELBACK RD, PHOENIX, AZ</t>
  </si>
  <si>
    <t>Foxtail Grocers 851 :  7409 W VIRGINIA AVE, PHOENIX, AZ</t>
  </si>
  <si>
    <t>Maplewood Mercantile 1141 :  2727 W AGUA FRIA FWY, PHOENIX, AZ</t>
  </si>
  <si>
    <t>Maplewood Mercantile 1360 :  21001 N TATUM BLVD STE 20, PHOENIX, AZ</t>
  </si>
  <si>
    <t>Maplewood Mercantile 1905 :  2140 E BASELINE RD, PHOENIX, AZ</t>
  </si>
  <si>
    <t>Maplewood Mercantile 233 :  12602 N PARADISE VLG, PHOENIX, AZ</t>
  </si>
  <si>
    <t>Maplewood Mercantile 909 :  4734 E RAY RD, PHOENIX, AZ</t>
  </si>
  <si>
    <t>Maplewood Mercantile 950 :  4515 E THOMAS RD, PHOENIX, AZ</t>
  </si>
  <si>
    <t>Pebble &amp; Pine Pharmacy 10111 :  3434 W SOUTHERN AVE, PHOENIX, AZ</t>
  </si>
  <si>
    <t>Pebble &amp; Pine Pharmacy 1272 :  5101 W INDIAN SCHOOL RD, PHOENIX, AZ</t>
  </si>
  <si>
    <t>Pebble &amp; Pine Pharmacy 12739 :  15450 N TATUM BLVD, PHOENIX, AZ</t>
  </si>
  <si>
    <t>Pebble &amp; Pine Pharmacy 13870 :  4875 E ELLIOT RD, PHOENIX, AZ</t>
  </si>
  <si>
    <t>Pebble &amp; Pine Pharmacy 16082 :  10602 N 32ND ST, PHOENIX, AZ</t>
  </si>
  <si>
    <t>Pebble &amp; Pine Pharmacy 2079 :  3131 E THUNDERBIRD RD, PHOENIX, AZ</t>
  </si>
  <si>
    <t>Pebble &amp; Pine Pharmacy 2851 :  7000 N 16TH ST, PHOENIX, AZ</t>
  </si>
  <si>
    <t>Pebble &amp; Pine Pharmacy 3087 :  5625 E THOMAS RD, PHOENIX, AZ</t>
  </si>
  <si>
    <t>Pebble &amp; Pine Pharmacy 3132 :  2415 E UNION HILLS DR, PHOENIX, AZ</t>
  </si>
  <si>
    <t>Pebble &amp; Pine Pharmacy 3191 :  10865 N TATUM BLVD, PHOENIX, AZ</t>
  </si>
  <si>
    <t>Pebble &amp; Pine Pharmacy 3464 :  3402 N CENTRAL AVE, PHOENIX, AZ</t>
  </si>
  <si>
    <t>Pebble &amp; Pine Pharmacy 3477 :  204 E BELL RD, PHOENIX, AZ</t>
  </si>
  <si>
    <t>Pebble &amp; Pine Pharmacy 3593 :  2610 W THUNDERBIRD RD, PHOENIX, AZ</t>
  </si>
  <si>
    <t>Pebble &amp; Pine Pharmacy 3769 :  1616 E THOMAS RD, PHOENIX, AZ</t>
  </si>
  <si>
    <t>Pebble &amp; Pine Pharmacy 3789 :  3605 E THOMAS RD, PHOENIX, AZ</t>
  </si>
  <si>
    <t>Pebble &amp; Pine Pharmacy 4046 :  3960 E CHANDLER BLVD, PHOENIX, AZ</t>
  </si>
  <si>
    <t>Pebble &amp; Pine Pharmacy 4139 :  3450 W DUNLAP AVE, PHOENIX, AZ</t>
  </si>
  <si>
    <t>Pebble &amp; Pine Pharmacy 4422 :  3945 E SOUTHERN AVE, PHOENIX, AZ</t>
  </si>
  <si>
    <t>Pebble &amp; Pine Pharmacy 4508 :  3431 W UNION HILLS DR, PHOENIX, AZ</t>
  </si>
  <si>
    <t>Pebble &amp; Pine Pharmacy 4722 :  4111 N 24TH ST, PHOENIX, AZ</t>
  </si>
  <si>
    <t>Pebble &amp; Pine Pharmacy 4762 :  2435 E GREENWAY PKWY, PHOENIX, AZ</t>
  </si>
  <si>
    <t>Pebble &amp; Pine Pharmacy 4909 :  2921 N 83RD AVE, PHOENIX, AZ</t>
  </si>
  <si>
    <t>Pebble &amp; Pine Pharmacy 4951 :  4006 E BELL RD, PHOENIX, AZ</t>
  </si>
  <si>
    <t>Pebble &amp; Pine Pharmacy 5504 :  4249 W GLENDALE AVE, PHOENIX, AZ</t>
  </si>
  <si>
    <t>Pebble &amp; Pine Pharmacy 5505 :  3502 W CAMELBACK RD, PHOENIX, AZ</t>
  </si>
  <si>
    <t>Pebble &amp; Pine Pharmacy 5569 :  1315 E CHANDLER BLVD, PHOENIX, AZ</t>
  </si>
  <si>
    <t>Pebble &amp; Pine Pharmacy 5668 :  8301 W CAMELBACK RD, PHOENIX, AZ</t>
  </si>
  <si>
    <t>Pebble &amp; Pine Pharmacy 5893 :  705 E MCDOWELL RD, PHOENIX, AZ</t>
  </si>
  <si>
    <t>Pebble &amp; Pine Pharmacy 5937 :  4315 W MCDOWELL RD, PHOENIX, AZ</t>
  </si>
  <si>
    <t>Pebble &amp; Pine Pharmacy 5938 :  4134 N 44TH ST, PHOENIX, AZ</t>
  </si>
  <si>
    <t>Pebble &amp; Pine Pharmacy 6021 :  1620 N 59TH AVE, PHOENIX, AZ</t>
  </si>
  <si>
    <t>Pebble &amp; Pine Pharmacy 6063 :  1825 W BETHANY HOME RD, PHOENIX, AZ</t>
  </si>
  <si>
    <t>Pebble &amp; Pine Pharmacy 6095 :  9045 W INDIAN SCHOOL RD, PHOENIX, AZ</t>
  </si>
  <si>
    <t>Pebble &amp; Pine Pharmacy 6400 :  8030 N 19TH AVE, PHOENIX, AZ</t>
  </si>
  <si>
    <t>Pebble &amp; Pine Pharmacy 6527 :  710 E CAMELBACK RD, PHOENIX, AZ</t>
  </si>
  <si>
    <t>Pebble &amp; Pine Pharmacy 6535 :  2420 E BASELINE RD, PHOENIX, AZ</t>
  </si>
  <si>
    <t>Pebble &amp; Pine Pharmacy 6599 :  13227 N 7TH ST, PHOENIX, AZ</t>
  </si>
  <si>
    <t>Pebble &amp; Pine Pharmacy 6697 :  7606 S 7TH ST, PHOENIX, AZ</t>
  </si>
  <si>
    <t>Pebble &amp; Pine Pharmacy 6872 :  2930 N 67TH AVE, PHOENIX, AZ</t>
  </si>
  <si>
    <t>Pebble &amp; Pine Pharmacy 7018 :  6838 N 7TH ST, PHOENIX, AZ</t>
  </si>
  <si>
    <t>Pebble &amp; Pine Pharmacy 7375 :  1840 W SOUTHERN AVE, PHOENIX, AZ</t>
  </si>
  <si>
    <t>Pebble &amp; Pine Pharmacy 7663 :  8280 W LOWER BUCKEYE RD, PHOENIX, AZ</t>
  </si>
  <si>
    <t>Pebble &amp; Pine Pharmacy 809 :  8911 N 7TH ST, PHOENIX, AZ</t>
  </si>
  <si>
    <t>Pebble &amp; Pine Pharmacy 9057 :  18433 N 19TH AVE, PHOENIX, AZ</t>
  </si>
  <si>
    <t>Pebble &amp; Pine Pharmacy 9261 :  4710 E ROSE GARDEN LN, PHOENIX, AZ</t>
  </si>
  <si>
    <t>Pebble &amp; Pine Pharmacy 9472 :  2707 W CAREFREE HWY, PHOENIX, AZ</t>
  </si>
  <si>
    <t>Iron Pine Outpost 46 :  23760 S POWER RD, QUEEN CREEK, AZ</t>
  </si>
  <si>
    <t>Bluebell Bazaar 2705285 :  23447 S POWER RD, QUEEN CREEK, AZ</t>
  </si>
  <si>
    <t>Bluebell Bazaar 2705918 :  320 HUNT HWY, QUEEN CREEK, AZ</t>
  </si>
  <si>
    <t>Bluebell Bazaar 2708593 :  21895 S ELLSWORTH RD, QUEEN CREEK, AZ</t>
  </si>
  <si>
    <t>Bluebell Bazaar 2709549 :  18501 E RIGGS RD, QUEEN CREEK, AZ</t>
  </si>
  <si>
    <t>Bluebell Bazaar 2709560 :  23024 E RIGGS RD, QUEEN CREEK, AZ</t>
  </si>
  <si>
    <t>Bluebell Bazaar 2741610 :  35850 N GARY RD, QUEEN CREEK, AZ</t>
  </si>
  <si>
    <t>Mossy Hollow Market 656 :  22265 E QUEEN CREEK RD, QUEEN CREEK, AZ</t>
  </si>
  <si>
    <t>Mossy Hollow Market 693 :  25105 S ELLSWORTH RD, QUEEN CREEK, AZ</t>
  </si>
  <si>
    <t>Haven Hearth Goods 1819 :  18495 E QUEEN CREEK RD, QUEEN CREEK, AZ</t>
  </si>
  <si>
    <t>Jellybean Junction 2365 :  21398 S ELLSWORTH LOOP RD, QUEEN CREEK, AZ</t>
  </si>
  <si>
    <t>Pebble &amp; Pine Pharmacy 11116 :  21212 E OCOTILLO RD, QUEEN CREEK, AZ</t>
  </si>
  <si>
    <t>Pebble &amp; Pine Pharmacy 9840 :  3111 W HUNT HWY, QUEEN CREEK, AZ</t>
  </si>
  <si>
    <t>Bluebell Bazaar 2703388 :  4295 W HUNT HWY, SAN TAN VALLEY, AZ</t>
  </si>
  <si>
    <t>Mr Fantastic's Emporium 25845 :  8402 E MCDOWELL RD, SCOTTSDALE, AZ</t>
  </si>
  <si>
    <t>Mr Fantastic's Emporium 26411 :  8410 E MCDONALD, SCOTTSDALE, AZ</t>
  </si>
  <si>
    <t>Snap &amp; Go 118 :  15031 N THOMPSON PEAK PKWY, SCOTTSDALE, AZ</t>
  </si>
  <si>
    <t>Snap &amp; Go 173 :  18271 N PIMA RD, SCOTTSDALE, AZ</t>
  </si>
  <si>
    <t>Snap &amp; Go 63 :  7141 E LINCOLN DR, SCOTTSDALE, AZ</t>
  </si>
  <si>
    <t>Snap &amp; Go 75 :  23251 N PIMA RD, SCOTTSDALE, AZ</t>
  </si>
  <si>
    <t>Snap &amp; Go 90 :  31311 N SCOTTSDALE RD, SCOTTSDALE, AZ</t>
  </si>
  <si>
    <t>Driftwood Market 197 :  11475 E VIA LINDA, SCOTTSDALE, AZ</t>
  </si>
  <si>
    <t>Driftwood Market 2955 :  2785 N SCOTTSDALE RD, SCOTTSDALE, AZ</t>
  </si>
  <si>
    <t>Driftwood Market 966 :  6965 N HAYDEN RD, SCOTTSDALE, AZ</t>
  </si>
  <si>
    <t>Iron Pine Outpost 16 :  8423 E MCDONALD DR, SCOTTSDALE, AZ</t>
  </si>
  <si>
    <t>Iron Pine Outpost 7 :  8035 E INDIAN SCHOOL RD, SCOTTSDALE, AZ</t>
  </si>
  <si>
    <t>Iron Pine Outpost 99 :  10111 E BELL RD, SCOTTSDALE, AZ</t>
  </si>
  <si>
    <t>Bluebell Bazaar 2700079 :  3050 N 68TH ST, SCOTTSDALE, AZ</t>
  </si>
  <si>
    <t>Bluebell Bazaar 2700127 :  4440 N MILLER RD, SCOTTSDALE, AZ</t>
  </si>
  <si>
    <t>Bluebell Bazaar 2700248 :  6901 E INDIAN SCHOOL RD, SCOTTSDALE, AZ</t>
  </si>
  <si>
    <t>Bluebell Bazaar 2701613 :  8001 E THOMAS RD, SCOTTSDALE, AZ</t>
  </si>
  <si>
    <t>Bluebell Bazaar 2701728 :  6744 E MCDOWELL RD, SCOTTSDALE, AZ</t>
  </si>
  <si>
    <t>Bluebell Bazaar 2701797 :  7602 E MCKELLIPS, SCOTTSDALE, AZ</t>
  </si>
  <si>
    <t>Bluebell Bazaar 2703745 :  3410 N HAYDEN RD, SCOTTSDALE, AZ</t>
  </si>
  <si>
    <t>Bluebell Bazaar 2705027 :  7140 E SHEA BLVD, SCOTTSDALE, AZ</t>
  </si>
  <si>
    <t>Bluebell Bazaar 2705296 :  13880 N FRANK LLOYD WRIGHT, SCOTTSDALE, AZ</t>
  </si>
  <si>
    <t>Bluebell Bazaar 2705410 :  8890 E SHEA BLVD, SCOTTSDALE, AZ</t>
  </si>
  <si>
    <t>Bluebell Bazaar 2705915 :  20721 N SCOTTSDALE RD, SCOTTSDALE, AZ</t>
  </si>
  <si>
    <t>Bluebell Bazaar 2706347 :  8202 E MCDOWELL RD, SCOTTSDALE, AZ</t>
  </si>
  <si>
    <t>Bluebell Bazaar 2706652 :  10989 E DYNAMITE BLVD, SCOTTSDALE, AZ</t>
  </si>
  <si>
    <t>Bluebell Bazaar 2708557 :  8001 E MCDOWELL RD, SCOTTSDALE, AZ</t>
  </si>
  <si>
    <t>Bluebell Bazaar 2709167 :  9709 N HAYDEN RD, SCOTTSDALE, AZ</t>
  </si>
  <si>
    <t>Bluebell Bazaar 2709169 :  4101 N HAYDEN RD, SCOTTSDALE, AZ</t>
  </si>
  <si>
    <t>Bluebell Bazaar 2709170 :  10200 N SCOTTSDALE RD, SCOTTSDALE, AZ</t>
  </si>
  <si>
    <t>Bluebell Bazaar 2709174 :  10050 E MOUNTAIN VIEW RD, SCOTTSDALE, AZ</t>
  </si>
  <si>
    <t>Bluebell Bazaar 2709529 :  5601 E BELL RD, SCOTTSDALE, AZ</t>
  </si>
  <si>
    <t>Bluebell Bazaar 2741711 :  2865 N SCOTTSDALE RD, SCOTTSDALE, AZ</t>
  </si>
  <si>
    <t>Mossy Hollow Market 120 :  6321 E GREENWAY, SCOTTSDALE, AZ</t>
  </si>
  <si>
    <t>Mossy Hollow Market 125 :  10450 N 90TH ST, SCOTTSDALE, AZ</t>
  </si>
  <si>
    <t>Mossy Hollow Market 25 :  7628 A E INDIAN SCHOOL RD, SCOTTSDALE, AZ</t>
  </si>
  <si>
    <t>Mossy Hollow Market 5 :  7770 E MCDOWELL, SCOTTSDALE, AZ</t>
  </si>
  <si>
    <t>Mossy Hollow Market 54 :  4842 E BELL RD, SCOTTSDALE, AZ</t>
  </si>
  <si>
    <t>Mossy Hollow Market 621 :  8900 E VIA LINDA, SCOTTSDALE, AZ</t>
  </si>
  <si>
    <t>Mossy Hollow Market 673 :  20427 N HAYDEN RD, SCOTTSDALE, AZ</t>
  </si>
  <si>
    <t>Sunny Pebble Co. 805 :  16610 N SCOTTSDALE RD, SCOTTSDALE, AZ</t>
  </si>
  <si>
    <t>Sunny Pebble Co. 806 :  15515 N SCOTTSDALE RD, SCOTTSDALE, AZ</t>
  </si>
  <si>
    <t>Sunny Pebble Co. 807 :  14717 N NORTHSIGHT BLVD, SCOTTSDALE, AZ</t>
  </si>
  <si>
    <t>Haven Hearth Goods 1253 :  23565 N SCOTTSDALE RD, SCOTTSDALE, AZ</t>
  </si>
  <si>
    <t>Haven Hearth Goods 1491 :  7920 E CHAPARRAL RD, SCOTTSDALE, AZ</t>
  </si>
  <si>
    <t>Haven Hearth Goods 1549 :  14696 N FRANK LLOYD WRIGHT B, SCOTTSDALE, AZ</t>
  </si>
  <si>
    <t>Haven Hearth Goods 1663 :  20901 N PIMA RD, SCOTTSDALE, AZ</t>
  </si>
  <si>
    <t>Haven Hearth Goods 1750 :  6501 E GREENWAY PKWY BLDG 4, SCOTTSDALE, AZ</t>
  </si>
  <si>
    <t>Haven Hearth Goods 1849 :  32551 N SCOTTSDALE RD, SCOTTSDALE, AZ</t>
  </si>
  <si>
    <t>Haven Hearth Goods 2032 :  10773 N SCOTTSDALE RD, SCOTTSDALE, AZ</t>
  </si>
  <si>
    <t>Maplewood Mercantile 1327 :  32351 N SCOTTSDALE RD, SCOTTSDALE, AZ</t>
  </si>
  <si>
    <t>Maplewood Mercantile 363 :  9000 E TALKING STICK WAY, SCOTTSDALE, AZ</t>
  </si>
  <si>
    <t>Maplewood Mercantile 936 :  15444 N FRANK LLOYD WRIGHT, SCOTTSDALE, AZ</t>
  </si>
  <si>
    <t>Pebble &amp; Pine Pharmacy 13758 :  6200 N SCOTTSDALE RD, SCOTTSDALE, AZ</t>
  </si>
  <si>
    <t>Pebble &amp; Pine Pharmacy 1950 :  10135 E VIA LINDA, SCOTTSDALE, AZ</t>
  </si>
  <si>
    <t>Pebble &amp; Pine Pharmacy 2599 :  7337 N VIA PASEO DEL SUR, SCOTTSDALE, AZ</t>
  </si>
  <si>
    <t>Pebble &amp; Pine Pharmacy 3163 :  3420 N SCOTTSDALE RD, SCOTTSDALE, AZ</t>
  </si>
  <si>
    <t>Pebble &amp; Pine Pharmacy 3177 :  7011 E SHEA BLVD, SCOTTSDALE, AZ</t>
  </si>
  <si>
    <t>Pebble &amp; Pine Pharmacy 3602 :  8816 E PINNACLE PEAK RD, SCOTTSDALE, AZ</t>
  </si>
  <si>
    <t>Pebble &amp; Pine Pharmacy 3766 :  34402 N SCOTTSDALE RD, SCOTTSDALE, AZ</t>
  </si>
  <si>
    <t>Pebble &amp; Pine Pharmacy 4138 :  7923 E MCDOWELL RD, SCOTTSDALE, AZ</t>
  </si>
  <si>
    <t>Pebble &amp; Pine Pharmacy 4506 :  8015 E INDIAN SCHOOL RD, SCOTTSDALE, AZ</t>
  </si>
  <si>
    <t>Pebble &amp; Pine Pharmacy 4507 :  15025 N THOMPSON PEAK PKWY, SCOTTSDALE, AZ</t>
  </si>
  <si>
    <t>Pebble &amp; Pine Pharmacy 5453 :  6501 E GREENWAY PKWY, SCOTTSDALE, AZ</t>
  </si>
  <si>
    <t>Pebble &amp; Pine Pharmacy 5890 :  11250 E VIA LINDA, SCOTTSDALE, AZ</t>
  </si>
  <si>
    <t>Pebble &amp; Pine Pharmacy 6534 :  20631 N SCOTTSDALE RD, SCOTTSDALE, AZ</t>
  </si>
  <si>
    <t>Pebble &amp; Pine Pharmacy 6729 :  10929 E DYNAMITE BLVD, SCOTTSDALE, AZ</t>
  </si>
  <si>
    <t>Pebble &amp; Pine Pharmacy 9262 :  8469 E MCDONALD DR, SCOTTSDALE, AZ</t>
  </si>
  <si>
    <t>Cloudline Provisions 82718 :  10303 W GRAND AVE, SUN CITY, AZ</t>
  </si>
  <si>
    <t>Bluebell Bazaar 2709165 :  9848 W BELL RD, SUN CITY, AZ</t>
  </si>
  <si>
    <t>Mossy Hollow Market 122 :  10660 NW GRAND AVE, SUN CITY, AZ</t>
  </si>
  <si>
    <t>Haven Hearth Goods 236 :  10926 W BELL RD, SUN CITY, AZ</t>
  </si>
  <si>
    <t>Pebble &amp; Pine Pharmacy 5568 :  10707 W PEORIA AVE, SUN CITY, AZ</t>
  </si>
  <si>
    <t>Pebble &amp; Pine Pharmacy 813 :  15442 N 99TH AVE, SUN CITY, AZ</t>
  </si>
  <si>
    <t>Iron Pine Outpost 128 :  13940 W MEEKER BLVD, SUN CITY WEST, AZ</t>
  </si>
  <si>
    <t>Mossy Hollow Market 86 :  19403 N RH JOHNSON BLVD, SUN CITY WEST, AZ</t>
  </si>
  <si>
    <t>Haven Hearth Goods 2054 :  13503 CM DEL SOL, SUN CITY WEST, AZ</t>
  </si>
  <si>
    <t>Pebble &amp; Pine Pharmacy 6128 :  19003 N R H JOHNSON BLVD, SUN CITY WEST, AZ</t>
  </si>
  <si>
    <t>Iron Pine Outpost 43 :  10325 E RIGGS RD, SUN LAKES, AZ</t>
  </si>
  <si>
    <t>Pebble &amp; Pine Pharmacy 3669 :  10324 E RIGGS RD, SUN LAKES, AZ</t>
  </si>
  <si>
    <t>Mr Fantastic's Emporium 42300 :  13130 W BELL RD, SURPRISE, AZ</t>
  </si>
  <si>
    <t>Driftwood Market 977 :  14551 W GRAND AVE, SURPRISE, AZ</t>
  </si>
  <si>
    <t>Iron Pine Outpost 137 :  15367 W WADDELL RD, SURPRISE, AZ</t>
  </si>
  <si>
    <t>Bluebell Bazaar 2701184 :  12707 W GRAND AVE, SURPRISE, AZ</t>
  </si>
  <si>
    <t>Bluebell Bazaar 2703395 :  16247 W BELL RD, SURPRISE, AZ</t>
  </si>
  <si>
    <t>Bluebell Bazaar 2706285 :  11339 W BELL RD, SURPRISE, AZ</t>
  </si>
  <si>
    <t>Bluebell Bazaar 2709576 :  16934 W WADDELL RD, SURPRISE, AZ</t>
  </si>
  <si>
    <t>Bluebell Bazaar 2741641 :  13908 W BELL RD, SURPRISE, AZ</t>
  </si>
  <si>
    <t>Bluebell Bazaar 2741712 :  14559 W GRAND AVE, SURPRISE, AZ</t>
  </si>
  <si>
    <t>Bluebell Bazaar 2741713 :  16794 W BELL RD, SURPRISE, AZ</t>
  </si>
  <si>
    <t>Mossy Hollow Market 61 :  15510 W BELL RD, SURPRISE, AZ</t>
  </si>
  <si>
    <t>Mossy Hollow Market 674 :  13982 W WADDELL RD, SURPRISE, AZ</t>
  </si>
  <si>
    <t>Mossy Hollow Market 678 :  16400 N PAT TILLMAN BLVD, SURPRISE, AZ</t>
  </si>
  <si>
    <t>Mossy Hollow Market 680 :  15215 N COTTON LN, SURPRISE, AZ</t>
  </si>
  <si>
    <t>Haven Hearth Goods 1997 :  17049 W BELL RD, SURPRISE, AZ</t>
  </si>
  <si>
    <t>Haven Hearth Goods 2699 :  13828 W WADDELL RD, SURPRISE, AZ</t>
  </si>
  <si>
    <t>Haven Hearth Goods 48 :  17230 W PEORIA AVE, SURPRISE, AZ</t>
  </si>
  <si>
    <t>Maplewood Mercantile 1335 :  13731 W BELL RD, SURPRISE, AZ</t>
  </si>
  <si>
    <t>Maplewood Mercantile 2915 :  14101 N PRASADA PKWY, SURPRISE, AZ</t>
  </si>
  <si>
    <t>Pebble &amp; Pine Pharmacy 12087 :  13723 N LITCHFIELD RD, SURPRISE, AZ</t>
  </si>
  <si>
    <t>Pebble &amp; Pine Pharmacy 4620 :  15490 W BELL RD, SURPRISE, AZ</t>
  </si>
  <si>
    <t>Pebble &amp; Pine Pharmacy 4791 :  14285 W GRAND AVE, SURPRISE, AZ</t>
  </si>
  <si>
    <t>Pebble &amp; Pine Pharmacy 6806 :  17088 W BELL RD, SURPRISE, AZ</t>
  </si>
  <si>
    <t>Pebble &amp; Pine Pharmacy 7933 :  15514 W WADDELL RD, SURPRISE, AZ</t>
  </si>
  <si>
    <t>Mr Fantastic's Emporium 13017 :  1006 S MCCLINTOCK DR, TEMPE, AZ</t>
  </si>
  <si>
    <t>Mr Fantastic's Emporium 26096 :  5125 S MILL AVE, TEMPE, AZ</t>
  </si>
  <si>
    <t>Mr Fantastic's Emporium 32265 :  485 W WARNER RD, TEMPE, AZ</t>
  </si>
  <si>
    <t>Cloudline Provisions 82527 :  980 W UNIVERSITY DR, TEMPE, AZ</t>
  </si>
  <si>
    <t>Iron Pine Outpost 48 :  1761 E WARNER RD, TEMPE, AZ</t>
  </si>
  <si>
    <t>Rusty Cart Grocers 157 :  725 W BASELINE RD, TEMPE, AZ</t>
  </si>
  <si>
    <t>Rusty Cart Grocers 41 :  1845 N SCOTTSDALE RD, TEMPE, AZ</t>
  </si>
  <si>
    <t>Bluebell Bazaar 2700787 :  939 W BASELINE RD, TEMPE, AZ</t>
  </si>
  <si>
    <t>Bluebell Bazaar 2701346 :  1330 W UNIVERSITY DR, TEMPE, AZ</t>
  </si>
  <si>
    <t>Bluebell Bazaar 2701502 :  1323 W SOUTHERN AVE, TEMPE, AZ</t>
  </si>
  <si>
    <t>Bluebell Bazaar 2701503 :  905 E GUADALUPE RD, TEMPE, AZ</t>
  </si>
  <si>
    <t>Bluebell Bazaar 2701572 :  904 W BROADWAY RD, TEMPE, AZ</t>
  </si>
  <si>
    <t>Bluebell Bazaar 2701621 :  1406 W BROADWAY RD, TEMPE, AZ</t>
  </si>
  <si>
    <t>Bluebell Bazaar 2701636 :  15 W SOUTHERN AVE, TEMPE, AZ</t>
  </si>
  <si>
    <t>Bluebell Bazaar 2702844 :  119 W UNIVERSITY DR, TEMPE, AZ</t>
  </si>
  <si>
    <t>Bluebell Bazaar 2703379 :  507 W BROADWAY RD, TEMPE, AZ</t>
  </si>
  <si>
    <t>Bluebell Bazaar 2703398 :  5240 S RURAL RD, TEMPE, AZ</t>
  </si>
  <si>
    <t>Bluebell Bazaar 2703747 :  2730 N SCOTTSDALE RD, TEMPE, AZ</t>
  </si>
  <si>
    <t>Bluebell Bazaar 2705290 :  1501 W WARNER RD, TEMPE, AZ</t>
  </si>
  <si>
    <t>Bluebell Bazaar 2705300 :  7530 S PRIEST DR, TEMPE, AZ</t>
  </si>
  <si>
    <t>Bluebell Bazaar 2706348 :  995 W ELLIOT RD, TEMPE, AZ</t>
  </si>
  <si>
    <t>Bluebell Bazaar 2706460 :  2174 E UNIVERSITY DR, TEMPE, AZ</t>
  </si>
  <si>
    <t>Bluebell Bazaar 2706663 :  6349 S MCCLINTOCK DR, TEMPE, AZ</t>
  </si>
  <si>
    <t>Bluebell Bazaar 2708591 :  505 W GUADALUPE RD, TEMPE, AZ</t>
  </si>
  <si>
    <t>Bluebell Bazaar 2708592 :  2196 E APACHE BLVD, TEMPE, AZ</t>
  </si>
  <si>
    <t>Bluebell Bazaar 2708774 :  1802 E UNIVERSITY DR, TEMPE, AZ</t>
  </si>
  <si>
    <t>Bluebell Bazaar 2709172 :  1435 W BASELINE RD, TEMPE, AZ</t>
  </si>
  <si>
    <t>Bluebell Bazaar 2709537 :  1900 N SCOTTSDALE RD, TEMPE, AZ</t>
  </si>
  <si>
    <t>Bluebell Bazaar 2741653 :  7550 S RURAL RD, TEMPE, AZ</t>
  </si>
  <si>
    <t>Mossy Hollow Market 101 :  3232 E MILL AVE, TEMPE, AZ</t>
  </si>
  <si>
    <t>Mossy Hollow Market 124 :  3255 S RURAL RD, TEMPE, AZ</t>
  </si>
  <si>
    <t>Mossy Hollow Market 22 :  1835 E GUADALUPE, TEMPE, AZ</t>
  </si>
  <si>
    <t>Mossy Hollow Market 43 :  2700 W BASELINE, TEMPE, AZ</t>
  </si>
  <si>
    <t>Mossy Hollow Market 607 :  5100 S MCCLINTOCK DRI, TEMPE, AZ</t>
  </si>
  <si>
    <t>Mossy Hollow Market 627 :  9900 S RURAL RD, TEMPE, AZ</t>
  </si>
  <si>
    <t>Sunny Pebble Co. 810 :  2096 E RIO SALADO PKWY, TEMPE, AZ</t>
  </si>
  <si>
    <t>Haven Hearth Goods 1487 :  926 E BROADWAY RD, TEMPE, AZ</t>
  </si>
  <si>
    <t>Haven Hearth Goods 1535 :  1515 E ELLIOT RD, TEMPE, AZ</t>
  </si>
  <si>
    <t>Maplewood Mercantile 2176 :  1800 E RIO SALADO PKWY, TEMPE, AZ</t>
  </si>
  <si>
    <t>Maplewood Mercantile 319 :  1818 E BASELINE RD, TEMPE, AZ</t>
  </si>
  <si>
    <t>Pebble &amp; Pine Pharmacy 11610 :  2000 S MILL AVE, TEMPE, AZ</t>
  </si>
  <si>
    <t>Pebble &amp; Pine Pharmacy 1197 :  1745 E SOUTHERN AVE, TEMPE, AZ</t>
  </si>
  <si>
    <t>Pebble &amp; Pine Pharmacy 2398 :  925 W BASELINE RD, TEMPE, AZ</t>
  </si>
  <si>
    <t>Pebble &amp; Pine Pharmacy 3768 :  6404 S MCCLINTOCK DR, TEMPE, AZ</t>
  </si>
  <si>
    <t>Pebble &amp; Pine Pharmacy 4376 :  1825 E WARNER RD, TEMPE, AZ</t>
  </si>
  <si>
    <t>Bluebell Bazaar 2701130 :  11450 W SOUTHERN, TOLLESON, AZ</t>
  </si>
  <si>
    <t>Bluebell Bazaar 2705189 :  298 N 83RD AVE, TOLLESON, AZ</t>
  </si>
  <si>
    <t>Bluebell Bazaar 2708558 :  8303 W MCDOWELL RD, TOLLESON, AZ</t>
  </si>
  <si>
    <t>Bluebell Bazaar 2708872 :  9110 W VAN BUREN, TOLLESON, AZ</t>
  </si>
  <si>
    <t>Bluebell Bazaar 2741675 :  1025 N 99TH, TOLLESON, AZ</t>
  </si>
  <si>
    <t>Crimson Ridge Depot 659 :  8313 ROOSEVELT ST, TOLLESON, AZ</t>
  </si>
  <si>
    <t>Maplewood Mercantile 2149 :  9830 W LOWER BUCKEYE RD, TOLLESON, AZ</t>
  </si>
  <si>
    <t>Timberline Market 1180 :  41112 W INDIAN SCHOOL RD, TONOPAH, AZ</t>
  </si>
  <si>
    <t>Iron Pine Outpost 55 :  275 N TEGNER # 17, WICKENBURG, AZ</t>
  </si>
  <si>
    <t>Bluebell Bazaar 2701286 :  104 E WICKENBURG WAY, WICKENBURG, AZ</t>
  </si>
  <si>
    <t>Haven Hearth Goods 1584 :  1999 W WICKENBURG WAY, WICKENBURG, AZ</t>
  </si>
  <si>
    <t>Mr Fantastic's Emporium 17596 :  10722 E ALAMEDA, AURORA, CO</t>
  </si>
  <si>
    <t>Mr Fantastic's Emporium 21494 :  3005 S PEORIA, AURORA, CO</t>
  </si>
  <si>
    <t>Mr Fantastic's Emporium 23154 :  13790 E QUINCY, AURORA, CO</t>
  </si>
  <si>
    <t>Mr Fantastic's Emporium 25718 :  2220 S PEORIA, AURORA, CO</t>
  </si>
  <si>
    <t>Mr Fantastic's Emporium 25740 :  18883 E HAMPDEN, AURORA, CO</t>
  </si>
  <si>
    <t>Mr Fantastic's Emporium 26574 :  13190 E MISSISSIPPI AVE, AURORA, CO</t>
  </si>
  <si>
    <t>Mr Fantastic's Emporium 26682 :  14593 E MISSISSIPPI, AURORA, CO</t>
  </si>
  <si>
    <t>Mr Fantastic's Emporium 27213 :  16601 E SMOKEY HL, AURORA, CO</t>
  </si>
  <si>
    <t>Mr Fantastic's Emporium 33044 :  14250 E ILIFF AVE, AURORA, CO</t>
  </si>
  <si>
    <t>Mr Fantastic's Emporium 34131 :  19390 E QUINCY AVE, AURORA, CO</t>
  </si>
  <si>
    <t>Mr Fantastic's Emporium 34181 :  21405 E QUINCY, AURORA, CO</t>
  </si>
  <si>
    <t>Mr Fantastic's Emporium 34441 :  13697 E ILIFF AVE, AURORA, CO</t>
  </si>
  <si>
    <t>Mr Fantastic's Emporium 34675 :  1910 S HAVANA ST, AURORA, CO</t>
  </si>
  <si>
    <t>Mr Fantastic's Emporium 36956 :  18351 E COLFAX AVE, AURORA, CO</t>
  </si>
  <si>
    <t>Mr Fantastic's Emporium 37198 :  2093 S CATHAY WAY, AURORA, CO</t>
  </si>
  <si>
    <t>Mr Fantastic's Emporium 39528 :  16310 E QUINCY AVE, AURORA, CO</t>
  </si>
  <si>
    <t>Mr Fantastic's Emporium 39622 :  15296 E HAMPDEN AVE, AURORA, CO</t>
  </si>
  <si>
    <t>Mr Fantastic's Emporium 39729 :  2299 S HAVANA ST, AURORA, CO</t>
  </si>
  <si>
    <t>Mr Fantastic's Emporium 39732 :  13690 E ALAMEDA, AURORA, CO</t>
  </si>
  <si>
    <t>Mr Fantastic's Emporium 39768 :  12085 E COLFAX AVE, AURORA, CO</t>
  </si>
  <si>
    <t>Mr Fantastic's Emporium 42018 :  200 N GUN CLUB RD, AURORA, CO</t>
  </si>
  <si>
    <t>Bluebell Bazaar 2709852 :  15291 E HAMPDEN AVE, AURORA, CO</t>
  </si>
  <si>
    <t>Bluebell Bazaar 2709853 :  15593 E ILIFF AVE, AURORA, CO</t>
  </si>
  <si>
    <t>Bluebell Bazaar 2709864 :  298 S POTOMAC ST, AURORA, CO</t>
  </si>
  <si>
    <t>Bluebell Bazaar 2709872 :  4200 S PARKER RD, AURORA, CO</t>
  </si>
  <si>
    <t>Bluebell Bazaar 2740696 :  2190 S PEORIA ST, AURORA, CO</t>
  </si>
  <si>
    <t>Bluebell Bazaar 2741128 :  2601 S TOWER RD, AURORA, CO</t>
  </si>
  <si>
    <t>Bluebell Bazaar 2741136 :  2121 S CHAMBERS RD, AURORA, CO</t>
  </si>
  <si>
    <t>Bluebell Bazaar 2741140 :  291 S SABLE BLVD, AURORA, CO</t>
  </si>
  <si>
    <t>Bluebell Bazaar 2744052 :  3504 S TOWER RD, AURORA, CO</t>
  </si>
  <si>
    <t>Wildroot Foods 10 :  15250 E MISSISSIPPI, AURORA, CO</t>
  </si>
  <si>
    <t>Wildroot Foods 128 :  18211 E HAMPDEN AVE, AURORA, CO</t>
  </si>
  <si>
    <t>Wildroot Foods 139 :  3050 S PEORIA ST, AURORA, CO</t>
  </si>
  <si>
    <t>Wildroot Foods 30 :  1155 S HAVANA, AURORA, CO</t>
  </si>
  <si>
    <t>Wildroot Foods 49 :  17000 E ILIFF, AURORA, CO</t>
  </si>
  <si>
    <t>Wildroot Foods 69 :  4271 S BUCKLEY RD, AURORA, CO</t>
  </si>
  <si>
    <t>Rocket Barrel 8923 :  21500 E QUINCY AVE, AURORA, CO</t>
  </si>
  <si>
    <t>Haven Hearth Goods 137 :  12200 E MISSISSIPPI AVE, AURORA, CO</t>
  </si>
  <si>
    <t>Haven Hearth Goods 1928 :  18730 E HAMPDEN AVE, AURORA, CO</t>
  </si>
  <si>
    <t>Haven Hearth Goods 2612 :  1677 S HAVANA, AURORA, CO</t>
  </si>
  <si>
    <t>Jellybean Junction 1471 :  14200 E ELLSWORTH AVE, AURORA, CO</t>
  </si>
  <si>
    <t>Maplewood Mercantile 1413 :  1400 S HAVANA ST, AURORA, CO</t>
  </si>
  <si>
    <t>Maplewood Mercantile 256 :  16910 E QUINCY AVE, AURORA, CO</t>
  </si>
  <si>
    <t>Pebble &amp; Pine Pharmacy 10175 :  12011 E ILIFF AVE, AURORA, CO</t>
  </si>
  <si>
    <t>Pebble &amp; Pine Pharmacy 12024 :  15320 E HAMPDEN AVE, AURORA, CO</t>
  </si>
  <si>
    <t>Pebble &amp; Pine Pharmacy 4307 :  12051 E MISSISSIPPI AVE, AURORA, CO</t>
  </si>
  <si>
    <t>Pebble &amp; Pine Pharmacy 4470 :  20051 E SMOKY HILL RD, AURORA, CO</t>
  </si>
  <si>
    <t>Pebble &amp; Pine Pharmacy 4610 :  18461 E HAMPDEN AVE, AURORA, CO</t>
  </si>
  <si>
    <t>Pebble &amp; Pine Pharmacy 6513 :  15301 E ILIFF AVE, AURORA, CO</t>
  </si>
  <si>
    <t>Pebble &amp; Pine Pharmacy 6986 :  10601 E ALAMEDA AVE, AURORA, CO</t>
  </si>
  <si>
    <t>Pebble &amp; Pine Pharmacy 7021 :  18620 E ILIFF AVE, AURORA, CO</t>
  </si>
  <si>
    <t>Mr Fantastic's Emporium 39591 :  9355 E DRY CREEK RD, CENTENNIAL, CO</t>
  </si>
  <si>
    <t>Bluebell Bazaar 2709845 :  10553 E BRIARWOOD AVE, CENTENNIAL, CO</t>
  </si>
  <si>
    <t>Bluebell Bazaar 2709878 :  7425 E ARAPAHOE RD, CENTENNIAL, CO</t>
  </si>
  <si>
    <t>Bluebell Bazaar 2709879 :  7550 S UNIVERSITY BLVD, CENTENNIAL, CO</t>
  </si>
  <si>
    <t>Bluebell Bazaar 2741109 :  6857 S BROADWAY, CENTENNIAL, CO</t>
  </si>
  <si>
    <t>Bluebell Bazaar 2741166 :  18565 E SMOKY HILL RD, CENTENNIAL, CO</t>
  </si>
  <si>
    <t>Bluebell Bazaar 2744127 :  5171 E ARAPAHOE RD, CENTENNIAL, CO</t>
  </si>
  <si>
    <t>Wildroot Foods 16 :  19711 E SMOKY HILL RD, CENTENNIAL, CO</t>
  </si>
  <si>
    <t>Wildroot Foods 38 :  5050 E ARAPAHOE RD, CENTENNIAL, CO</t>
  </si>
  <si>
    <t>Wildroot Foods 47 :  7575 S UNIVERSITY, CENTENNIAL, CO</t>
  </si>
  <si>
    <t>Wildroot Foods 63 :  8200 S HOLLY, CENTENNIAL, CO</t>
  </si>
  <si>
    <t>Rocket Barrel 8769 :  11005 E BRIARWOOD AVE, CENTENNIAL, CO</t>
  </si>
  <si>
    <t>Haven Hearth Goods 8 :  7375 ARAPAHOE RD, CENTENNIAL, CO</t>
  </si>
  <si>
    <t>Pebble &amp; Pine Pharmacy 10455 :  2281 E ARAPAHOE RD, CENTENNIAL, CO</t>
  </si>
  <si>
    <t>Pebble &amp; Pine Pharmacy 10704 :  8959 E DRY CREEK RD, CENTENNIAL, CO</t>
  </si>
  <si>
    <t>Pebble &amp; Pine Pharmacy 13148 :  16950 E SMOKY HILL RD, CENTENNIAL, CO</t>
  </si>
  <si>
    <t>Mr Fantastic's Emporium 13196 :  1277 E HAMPDEN, ENGLEWOOD, CO</t>
  </si>
  <si>
    <t>Mr Fantastic's Emporium 13206 :  3900 S BROADWAY, ENGLEWOOD, CO</t>
  </si>
  <si>
    <t>Mr Fantastic's Emporium 22533 :  4601 S BROADWAY, ENGLEWOOD, CO</t>
  </si>
  <si>
    <t>Mr Fantastic's Emporium 29508 :  3131 S BROADWAY, ENGLEWOOD, CO</t>
  </si>
  <si>
    <t>Mr Fantastic's Emporium 34057 :  11802 E OSWEGO ST, ENGLEWOOD, CO</t>
  </si>
  <si>
    <t>Mr Fantastic's Emporium 35604 :  3391 W HAMPDEN AVE, ENGLEWOOD, CO</t>
  </si>
  <si>
    <t>Mr Fantastic's Emporium 39034 :  4601 S SANTA FE, ENGLEWOOD, CO</t>
  </si>
  <si>
    <t>Mr Fantastic's Emporium 39532 :  15550 E BRONCOS PKWY, ENGLEWOOD, CO</t>
  </si>
  <si>
    <t>Bluebell Bazaar 2709876 :  5095 S FEDERAL BLVD, ENGLEWOOD, CO</t>
  </si>
  <si>
    <t>Bluebell Bazaar 2709898 :  2200 W EVANS, ENGLEWOOD, CO</t>
  </si>
  <si>
    <t>Bluebell Bazaar 2740691 :  2010 W EVANS AVE, ENGLEWOOD, CO</t>
  </si>
  <si>
    <t>Bluebell Bazaar 2744098 :  4596 S BROADWAY, ENGLEWOOD, CO</t>
  </si>
  <si>
    <t>Bluebell Bazaar 2744100 :  8263 S QUEBEC ST, ENGLEWOOD, CO</t>
  </si>
  <si>
    <t>Penny’s Pantry 750803 :  490 W HAMPDEN AVE, ENGLEWOOD, CO</t>
  </si>
  <si>
    <t>Wildroot Foods 109 :  5050 S FEDERAL BLVD, ENGLEWOOD, CO</t>
  </si>
  <si>
    <t>Wildroot Foods 111 :  3495 S UNIVERSITY BLVD, ENGLEWOOD, CO</t>
  </si>
  <si>
    <t>Wildroot Foods 65 :  101 ENGLEWOOD PKWY, ENGLEWOOD, CO</t>
  </si>
  <si>
    <t>Haven Hearth Goods 17 :  201 E JEFFERSON AVE, ENGLEWOOD, CO</t>
  </si>
  <si>
    <t>Pebble &amp; Pine Pharmacy 12423 :  123 E BELLEVIEW AVE, ENGLEWOOD, CO</t>
  </si>
  <si>
    <t>Pebble &amp; Pine Pharmacy 3091 :  8151 S QUEBEC ST, ENGLEWOOD, CO</t>
  </si>
  <si>
    <t>Pebble &amp; Pine Pharmacy 3298 :  3080 S BROADWAY, ENGLEWOOD, CO</t>
  </si>
  <si>
    <t>Mr Fantastic's Emporium 21242 :  6515 S DAYTON, GREENWOOD VILLAGE, CO</t>
  </si>
  <si>
    <t>Mr Fantastic's Emporium 35622 :  6630 S YOSEMITE ST, GREENWOOD VILLAGE, CO</t>
  </si>
  <si>
    <t>Mr Fantastic's Emporium 39847 :  9171 E ARAPAHOE RD, GREENWOOD VILLAGE, CO</t>
  </si>
  <si>
    <t>Bluebell Bazaar 2709880 :  7701 E ORCHARD RD, GREENWOOD VILLAGE, CO</t>
  </si>
  <si>
    <t>Bluebell Bazaar 2744099 :  7296 E BELLEVIEW AVE, GREENWOOD VILLAGE, CO</t>
  </si>
  <si>
    <t>Wildroot Foods 100 :  4910 S YOSEMITE, GREENWOOD VILLAGE, CO</t>
  </si>
  <si>
    <t>Wildroot Foods 96 :  6000 S HOLLY, GREENWOOD VILLAGE, CO</t>
  </si>
  <si>
    <t>Maplewood Mercantile 147 :  6767 S CLINTON ST, GREENWOOD VILLAGE, CO</t>
  </si>
  <si>
    <t>Mr Fantastic's Emporium 39317 :  3520 TOWN CENTER DR, HIGHLANDS RANCH, CO</t>
  </si>
  <si>
    <t>Bluebell Bazaar 2709886 :  9275 S BROADWAY, HIGHLANDS RANCH, CO</t>
  </si>
  <si>
    <t>Bluebell Bazaar 2741159 :  34 CENTENNIAL BLVD, HIGHLANDS RANCH, CO</t>
  </si>
  <si>
    <t>Wildroot Foods 8 :  2205 W WILDCAT RESERVE PARK, HIGHLANDS RANCH, CO</t>
  </si>
  <si>
    <t>Haven Hearth Goods 1480 :  9255 S BROADWAY, HIGHLANDS RANCH, CO</t>
  </si>
  <si>
    <t>Jellybean Junction 2716 :  1265 SGT JON STILES DR, HIGHLANDS RANCH, CO</t>
  </si>
  <si>
    <t>Pebble &amp; Pine Pharmacy 4952 :  9141 S BROADWAY, HIGHLANDS RANCH, CO</t>
  </si>
  <si>
    <t>Mr Fantastic's Emporium 20182 :  1499 W LITTLETON BLVD, LITTLETON, CO</t>
  </si>
  <si>
    <t>Mr Fantastic's Emporium 27033 :  5595 S BROADWAY, LITTLETON, CO</t>
  </si>
  <si>
    <t>Mr Fantastic's Emporium 34486 :  3099 W MINERAL AVE, LITTLETON, CO</t>
  </si>
  <si>
    <t>Mr Fantastic's Emporium 37560 :  5898 S BROADWAY, LITTLETON, CO</t>
  </si>
  <si>
    <t>Mr Fantastic's Emporium 39733 :  9010 PARK MEADOWS DR, LITTLETON, CO</t>
  </si>
  <si>
    <t>Mr Fantastic's Emporium 39834 :  7505 E PARKWAY DR, LITTLETON, CO</t>
  </si>
  <si>
    <t>Bluebell Bazaar 2744123 :  1599 W LITTLETON BLVD, LITTLETON, CO</t>
  </si>
  <si>
    <t>Wildroot Foods 122 :  7901 S BRDWAY ST, LITTLETON, CO</t>
  </si>
  <si>
    <t>Wildroot Foods 131 :  100 LITTLETON BLVD, LITTLETON, CO</t>
  </si>
  <si>
    <t>Rocket Barrel 8922 :  181 W LITTLETON BLVD, LITTLETON, CO</t>
  </si>
  <si>
    <t>Haven Hearth Goods 2791 :  181 W MINERAL AVE, LITTLETON, CO</t>
  </si>
  <si>
    <t>Pebble &amp; Pine Pharmacy 17807 :  100 E MINERAL DR, LITTLETON, CO</t>
  </si>
  <si>
    <t>Mr Fantastic's Emporium 33042 :  8750 S YOSEMITE ST, LONE TREE, CO</t>
  </si>
  <si>
    <t>Haven Hearth Goods 1548 :  9229 E LINCOLN AVE, LONE TREE, CO</t>
  </si>
  <si>
    <t>Jellybean Junction 2023 :  10001 COMMONS ST, LONE TREE, CO</t>
  </si>
  <si>
    <t>Mr Fantastic's Emporium 19015 :  4096 S FEDERAL BLVD, SHERIDAN, CO</t>
  </si>
  <si>
    <t>Mr Fantastic's Emporium 35598 :  3495 S FEDERAL BLVD, SHERIDAN, CO</t>
  </si>
  <si>
    <t>Jellybean Junction 2261 :  3650 RIVERPOINT PKWY, SHERIDAN, CO</t>
  </si>
  <si>
    <t>State</t>
  </si>
  <si>
    <t>Grand Total</t>
  </si>
  <si>
    <t>Sum of Dollar Sales</t>
  </si>
  <si>
    <t>AZ</t>
  </si>
  <si>
    <t>CA</t>
  </si>
  <si>
    <t>CO</t>
  </si>
  <si>
    <t>Average of Dollar Sales</t>
  </si>
  <si>
    <t>Which City has the highest average Dollar Sales in each county?</t>
  </si>
  <si>
    <t>Give the total Red Bull Dollar Sales of each State, sorted from Highest to Lowest.</t>
  </si>
  <si>
    <t>County Average</t>
  </si>
  <si>
    <t>Above Avg Flag</t>
  </si>
  <si>
    <t>Which County has the most stores with Dollar Sales above the county average?</t>
  </si>
  <si>
    <t>Stores above county average</t>
  </si>
  <si>
    <t>City Count</t>
  </si>
  <si>
    <t>How many cities are in each county?</t>
  </si>
  <si>
    <t>How many cities are in each State?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</si>
</sst>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Futura for Red Bull Book"/>
    </font>
    <font>
      <sz val="16"/>
      <color theme="0"/>
      <name val="Futura for Red Bull Book"/>
    </font>
    <font>
      <b/>
      <sz val="11"/>
      <color theme="1"/>
      <name val="Aptos Narrow"/>
      <scheme val="minor"/>
    </font>
    <font>
      <b/>
      <sz val="18"/>
      <color theme="1"/>
      <name val="Aptos Narrow (Body)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horizontal="center" vertical="center"/>
    </xf>
    <xf numFmtId="0" fontId="19" fillId="33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pivotButton="1" applyNumberFormat="1"/>
    <xf numFmtId="44" fontId="0" fillId="0" borderId="0" xfId="0" applyNumberFormat="1"/>
    <xf numFmtId="44" fontId="0" fillId="0" borderId="0" xfId="0" applyNumberFormat="1" applyAlignment="1">
      <alignment horizontal="left"/>
    </xf>
    <xf numFmtId="44" fontId="0" fillId="0" borderId="0" xfId="0" applyNumberFormat="1" applyAlignment="1">
      <alignment horizontal="left" indent="1"/>
    </xf>
    <xf numFmtId="0" fontId="20" fillId="0" borderId="0" xfId="0" applyFont="1"/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Ezeanioma" refreshedDate="45924.830063541667" createdVersion="8" refreshedVersion="8" minRefreshableVersion="3" recordCount="1230" xr:uid="{AC3858B7-F606-3449-9864-7025C6E7B77D}">
  <cacheSource type="worksheet">
    <worksheetSource ref="A1:H1048576" sheet="Circana Data"/>
  </cacheSource>
  <cacheFields count="7">
    <cacheField name="Stores" numFmtId="0">
      <sharedItems containsBlank="1" count="1230">
        <s v="Cloudline Provisions 83056 :  7969 WALERGA RD, ANTELOPE, CA"/>
        <s v="Cloudline Provisions 83906 :  7670 WATT AVE, ANTELOPE, CA"/>
        <s v="Cactus &amp; Clover 519 :  7901 WALERGA RD, ANTELOPE, CA"/>
        <s v="Willow &amp; Wren Apothecary 6086 :  4300 ELEVERTA RD, ANTELOPE, CA"/>
        <s v="Mr Fantastic's Emporium 23010 :  5101 MARCONI AVE, CARMICHAEL, CA"/>
        <s v="Cloudline Provisions 358 :  5150 MANZANITA AVE, CARMICHAEL, CA"/>
        <s v="Cloudline Provisions 5337 :  6337 FAIR OAKS BLVD, CARMICHAEL, CA"/>
        <s v="Cloudline Provisions 82688 :  4101 MANZANITA AVE, CARMICHAEL, CA"/>
        <s v="Cactus &amp; Clover 511 :  4005 MANZANITA AVE, CARMICHAEL, CA"/>
        <s v="Gusty Grove 485 :  4708 MANZANITA AVE, CARMICHAEL, CA"/>
        <s v="Flicker’s Finds 431 :  5159 FAIR OAKS BLVD, CARMICHAEL, CA"/>
        <s v="Willow &amp; Wren Apothecary 6044 :  4010 MANZANITA AVE, CARMICHAEL, CA"/>
        <s v="Haven Hearth Goods 1560 :  4040 MANZANITA AVE, CARMICHAEL, CA"/>
        <s v="Pebble &amp; Pine Pharmacy 6658 :  6325 FAIR OAKS BLVD, CARMICHAEL, CA"/>
        <s v="Mr Fantastic's Emporium 14060 :  6401 ANTELOPE RD, CITRUS HEIGHTS, CA"/>
        <s v="Mr Fantastic's Emporium 19156 :  6882 SUNRISE BLVD, CITRUS HEIGHTS, CA"/>
        <s v="Mr Fantastic's Emporium 22979 :  6701 AUBURN BLVD, CITRUS HEIGHTS, CA"/>
        <s v="Mr Fantastic's Emporium 24815 :  6180 AUBURN BLVD, CITRUS HEIGHTS, CA"/>
        <s v="Mr Fantastic's Emporium 34575 :  7598 GREENBACK, CITRUS HEIGHTS, CA"/>
        <s v="Mr Fantastic's Emporium 34677 :  6035 SAN JUAN, CITRUS HEIGHTS, CA"/>
        <s v="Cloudline Provisions 6159 :  6140 GREENBACK LN, CITRUS HEIGHTS, CA"/>
        <s v="Cloudline Provisions 83402 :  5440 SAN JUAN AVE, CITRUS HEIGHTS, CA"/>
        <s v="Penny’s Pantry 550167 :  7901 MADISON AVE, CITRUS HEIGHTS, CA"/>
        <s v="Gusty Grove 420 :  6982 SUNRISE BLVD, CITRUS HEIGHTS, CA"/>
        <s v="Flicker’s Finds 239 :  7847 LICHEN DR, CITRUS HEIGHTS, CA"/>
        <s v="Haven Hearth Goods 1531 :  7301 GREENBACK LN, CITRUS HEIGHTS, CA"/>
        <s v="Maplewood Mercantile 1121 :  5837 SUNRISE BLVD, CITRUS HEIGHTS, CA"/>
        <s v="Pebble &amp; Pine Pharmacy 5152 :  6144 DEWEY DR, CITRUS HEIGHTS, CA"/>
        <s v="Pebble &amp; Pine Pharmacy 5774 :  7787 SUNRISE BLVD, CITRUS HEIGHTS, CA"/>
        <s v="Pebble &amp; Pine Pharmacy 7191 :  6199 SUNRISE BLVD, CITRUS HEIGHTS, CA"/>
        <s v="Mr Fantastic's Emporium 38399 :  9146 HARBOUR POINT DR, ELK GROVE, CA"/>
        <s v="Mr Fantastic's Emporium 39573 :  8475 ELK GROVE BLVD, ELK GROVE, CA"/>
        <s v="Mr Fantastic's Emporium 41227 :  8100 SHELDON RD, ELK GROVE, CA"/>
        <s v="Mr Fantastic's Emporium 41228 :  8344 POWER INN RD, ELK GROVE, CA"/>
        <s v="Cloudline Provisions 7192 :  8798 CALVINE RD, ELK GROVE, CA"/>
        <s v="Cloudline Provisions 82356 :  9590 HARBOR PT, ELK GROVE, CA"/>
        <s v="Cloudline Provisions 82959 :  9215 ELK GRV, ELK GROVE, CA"/>
        <s v="Cloudline Provisions 83008 :  10421 GRANTLINE RD, ELK GROVE, CA"/>
        <s v="Cloudline Provisions 83451 :  8361 SHELDON RD, ELK GROVE, CA"/>
        <s v="Cloudline Provisions 83829 :  10057 BRUCEVILLLE RD, ELK GROVE, CA"/>
        <s v="Cloudline Provisions 83830 :  8500 ELK GROVE BLVD, ELK GROVE, CA"/>
        <s v="Cactus &amp; Clover 516 :  5100 LAGUNA BLVD, ELK GROVE, CA"/>
        <s v="Cactus &amp; Clover 523 :  8425 ELK GROVE FLORIN RD, ELK GROVE, CA"/>
        <s v="Cactus &amp; Clover 525 :  9435 ELK GROVE BLVD, ELK GROVE, CA"/>
        <s v="Flicker’s Finds 443 :  4900 ELK GROVE BLVD, ELK GROVE, CA"/>
        <s v="Haven Hearth Goods 1647 :  5021 LAGUNA BLVD, ELK GROVE, CA"/>
        <s v="Haven Hearth Goods 94 :  10050 BRUCEVILLE RD, ELK GROVE, CA"/>
        <s v="Dune &amp; Drift Market 605 :  9160 ELK GROVE FLORIN RD, ELK GROVE, CA"/>
        <s v="Maplewood Mercantile 1025 :  7505 LAGUNA BLVD, ELK GROVE, CA"/>
        <s v="Pebble &amp; Pine Pharmacy 5499 :  7299 LAGUNA BLVD, ELK GROVE, CA"/>
        <s v="Pebble &amp; Pine Pharmacy 6142 :  9200 ELK GROVE FLORIN RD, ELK GROVE, CA"/>
        <s v="Pebble &amp; Pine Pharmacy 6419 :  9180 FRANKLIN BLVD, ELK GROVE, CA"/>
        <s v="Pebble &amp; Pine Pharmacy 6612 :  8400 ELK GROVE FLORIN RD, ELK GROVE, CA"/>
        <s v="Mr Fantastic's Emporium 18328 :  8500 MADISON AVE, FAIR OAKS, CA"/>
        <s v="Cloudline Provisions 2126 :  4400 SUNRISE BLVD, FAIR OAKS, CA"/>
        <s v="Flicker’s Finds 417 :  4840 SAN JUAN AVE, FAIR OAKS, CA"/>
        <s v="Flicker’s Finds 421 :  8870 MADISON AVE, FAIR OAKS, CA"/>
        <s v="Haven Hearth Goods 1846 :  8925 MADISON AVE, FAIR OAKS, CA"/>
        <s v="Haven Hearth Goods 1895 :  5450 DEWEY DR, FAIR OAKS, CA"/>
        <s v="Cloudline Provisions 82173 :  13401 FOLSOM BLVD, FOLSOM, CA"/>
        <s v="Cloudline Provisions 83962 :  301 E BIDWELL ST, FOLSOM, CA"/>
        <s v="Cactus &amp; Clover 524 :  2760 E BIDWELL ST, FOLSOM, CA"/>
        <s v="Flicker’s Finds 409 :  715 E BIDWELL ST, FOLSOM, CA"/>
        <s v="Flicker’s Finds 410 :  25025 BLUE RAVINE RD, FOLSOM, CA"/>
        <s v="Willow &amp; Wren Apothecary 6266 :  526 E BIDWELL ST, FOLSOM, CA"/>
        <s v="Haven Hearth Goods 1794 :  1850 PRAIRIE CITY RD, FOLSOM, CA"/>
        <s v="Maplewood Mercantile 1098 :  430 BLUE RAVINE RD, FOLSOM, CA"/>
        <s v="Pebble &amp; Pine Pharmacy 6417 :  1100 RILEY ST, FOLSOM, CA"/>
        <s v="Pebble &amp; Pine Pharmacy 9048 :  2595 E BIDWELL ST, FOLSOM, CA"/>
        <s v="Mr Fantastic's Emporium 39576 :  301 PINE ST, GALT, CA"/>
        <s v="Cloudline Provisions 83815 :  12821 E STOCKTON BLVD, GALT, CA"/>
        <s v="Penny’s Pantry 550117 :  602 4TH ST, GALT, CA"/>
        <s v="Flicker’s Finds 302 :  10430 TWIN CITIES RD, GALT, CA"/>
        <s v="Dune &amp; Drift Market 72 :  1059 C ST, GALT, CA"/>
        <s v="Mr Fantastic's Emporium 39207 :  2401 SUNRISE BLVD, GOLD RIVER, CA"/>
        <s v="Cloudline Provisions 83041 :  2295 SUNRISE BLVD, GOLD RIVER, CA"/>
        <s v="Cactus &amp; Clover 522 :  2155 GOLDEN CENTRE LN, GOLD RIVER, CA"/>
        <s v="Zippy’s Corner 1069401 :  MCCLELLAN AFB MAIN/CL6, MCCLELLAN AFB, CA"/>
        <s v="Bright Barrel Market 32 :  (KL1) MCCLELLAN AFB CA, MCCLELLAN AFB, CA"/>
        <s v="Mr Fantastic's Emporium 16081 :  4900 WATT AVE, NORTH HIGHLANDS, CA"/>
        <s v="Mr Fantastic's Emporium 23015 :  3601 ELKHORN BLVD, NORTH HIGHLANDS, CA"/>
        <s v="Cloudline Provisions 7122 :  3140 ELKHORN BLVD, NORTH HIGHLANDS, CA"/>
        <s v="Cloudline Provisions 83233 :  4745 WATT AVE, NORTH HIGHLANDS, CA"/>
        <s v="Cloudline Provisions 83953 :  4261 ELKHORN BLVD, NORTH HIGHLANDS, CA"/>
        <s v="Gusty Grove 497 :  7477 WATT AVE, NORTH HIGHLANDS, CA"/>
        <s v="Willow &amp; Wren Apothecary 6054 :  6639 WATT AVE, NORTH HIGHLANDS, CA"/>
        <s v="Glowstone Supplies 43087 :  4250 MADISON AVE, NORTH HIGHLANDS, CA"/>
        <s v="Glowstone Supplies 46318 :  7550 WATT AVE, NORTH HIGHLANDS, CA"/>
        <s v="Pebble &amp; Pine Pharmacy 10693 :  6819 WATT AVE, NORTH HIGHLANDS, CA"/>
        <s v="Mr Fantastic's Emporium 14068 :  6840 WOODMORE OAKS, ORANGEVALE, CA"/>
        <s v="Mr Fantastic's Emporium 38703 :  9396 GREENBACK LN, ORANGEVALE, CA"/>
        <s v="Cloudline Provisions 82530 :  9401 MADISON AVE, ORANGEVALE, CA"/>
        <s v="Penny’s Pantry 551126 :  8696 GREENBACK LN, ORANGEVALE, CA"/>
        <s v="Mr Fantastic's Emporium 14098 :  10246 MILLS STATION RD, RANCHO CORDOVA, CA"/>
        <s v="Mr Fantastic's Emporium 35347 :  11079 FOLSOM BLVD, RANCHO CORDOVA, CA"/>
        <s v="Mr Fantastic's Emporium 42143 :  3251 SUNRISE BLVD, RANCHO CORDOVA, CA"/>
        <s v="Cloudline Provisions 7029 :  4000 SUNRISE BLVD, RANCHO CORDOVA, CA"/>
        <s v="Cloudline Provisions 82803 :  3099 SUNRISE BLVD, RANCHO CORDOVA, CA"/>
        <s v="Cloudline Provisions 82949 :  2896 ZINFANDEL DR, RANCHO CORDOVA, CA"/>
        <s v="Cloudline Provisions 83262 :  12210 TRIBUTARY POINTE, RANCHO CORDOVA, CA"/>
        <s v="Flicker’s Finds 440 :  4030 SUNRISE BLVD, RANCHO CORDOVA, CA"/>
        <s v="Willow &amp; Wren Apothecary 6059 :  2111 GOLDEN CENTRE LN, RANCHO CORDOVA, CA"/>
        <s v="Haven Hearth Goods 1746 :  10635 FOLSOM BLVD, RANCHO CORDOVA, CA"/>
        <s v="Maplewood Mercantile 2463 :  10881 OLSON DR, RANCHO CORDOVA, CA"/>
        <s v="Pebble &amp; Pine Pharmacy 15195 :  10701 FOLSOM BLVD, RANCHO CORDOVA, CA"/>
        <s v="Pebble &amp; Pine Pharmacy 9532 :  4050 SUNRISE BLVD, RANCHO CORDOVA, CA"/>
        <s v="Flicker’s Finds 530 :  7315 MURIETA DR, RANCHO MURIETA, CA"/>
        <s v="Mr Fantastic's Emporium 23615 :  348 ELKHORN BLVD, RIO LINDA, CA"/>
        <s v="Willow &amp; Wren Apothecary 6788 :  4620 RIO LINDA BLVD, RIO LINDA, CA"/>
        <s v="Mr Fantastic's Emporium 14107 :  1199 43RD AVE, SACRAMENTO, CA"/>
        <s v="Mr Fantastic's Emporium 14119 :  6591 WYNDHAM DR, SACRAMENTO, CA"/>
        <s v="Mr Fantastic's Emporium 16350 :  7700 LA RIVIERA DR, SACRAMENTO, CA"/>
        <s v="Mr Fantastic's Emporium 18185 :  5791 BROADWAY, SACRAMENTO, CA"/>
        <s v="Mr Fantastic's Emporium 23040 :  2544 ARDEN WAY, SACRAMENTO, CA"/>
        <s v="Mr Fantastic's Emporium 23226 :  3405 BRADSHAW RD, SACRAMENTO, CA"/>
        <s v="Mr Fantastic's Emporium 23233 :  8499 GERBER RD, SACRAMENTO, CA"/>
        <s v="Mr Fantastic's Emporium 23265 :  2450 NGATE BLVD, SACRAMENTO, CA"/>
        <s v="Mr Fantastic's Emporium 24147 :  5080 AUBURN BLVD, SACRAMENTO, CA"/>
        <s v="Mr Fantastic's Emporium 24276 :  3448 WATT AVE, SACRAMENTO, CA"/>
        <s v="Mr Fantastic's Emporium 24604 :  9210 KIEFER BLVD, SACRAMENTO, CA"/>
        <s v="Mr Fantastic's Emporium 26598 :  5579 MACK RD, SACRAMENTO, CA"/>
        <s v="Mr Fantastic's Emporium 29253 :  5581 HILLSDALE, SACRAMENTO, CA"/>
        <s v="Mr Fantastic's Emporium 32836 :  5500 FLORIN PERKINS RD, SACRAMENTO, CA"/>
        <s v="Mr Fantastic's Emporium 33315 :  5501 AUBURN BLVD, SACRAMENTO, CA"/>
        <s v="Mr Fantastic's Emporium 34492 :  2005 MARCONI AVE, SACRAMENTO, CA"/>
        <s v="Mr Fantastic's Emporium 34629 :  5820 ANTELOPE RD, SACRAMENTO, CA"/>
        <s v="Mr Fantastic's Emporium 35351 :  6955 WALERGA RD, SACRAMENTO, CA"/>
        <s v="Mr Fantastic's Emporium 35481 :  1341 J ST, SACRAMENTO, CA"/>
        <s v="Mr Fantastic's Emporium 35491 :  2160 EL CAMINO AVE, SACRAMENTO, CA"/>
        <s v="Mr Fantastic's Emporium 36868 :  6500 FOLSOM BLVD, SACRAMENTO, CA"/>
        <s v="Mr Fantastic's Emporium 37217 :  1301 HOWE AVE, SACRAMENTO, CA"/>
        <s v="Mr Fantastic's Emporium 37620 :  2401 FRUITRIDGE RD, SACRAMENTO, CA"/>
        <s v="Mr Fantastic's Emporium 38424 :  802 J ST, SACRAMENTO, CA"/>
        <s v="Mr Fantastic's Emporium 38788 :  7171 STOCKTON BLVD, SACRAMENTO, CA"/>
        <s v="Mr Fantastic's Emporium 39155 :  5550 S WATT AVE, SACRAMENTO, CA"/>
        <s v="Mr Fantastic's Emporium 39425 :  9199 FOLSOM BLVD, SACRAMENTO, CA"/>
        <s v="Mr Fantastic's Emporium 39572 :  1300 FULTON AVE, SACRAMENTO, CA"/>
        <s v="Mr Fantastic's Emporium 39887 :  3449 EL CAMINO AVE, SACRAMENTO, CA"/>
        <s v="Mr Fantastic's Emporium 41251 :  8498 FLORIN RD, SACRAMENTO, CA"/>
        <s v="Mr Fantastic's Emporium 41288 :  4140 NORTHGATE BLVD, SACRAMENTO, CA"/>
        <s v="Mr Fantastic's Emporium 42011 :  3311 W EL CAMINO AVE, SACRAMENTO, CA"/>
        <s v="Mr Fantastic's Emporium 42175 :  1911 COSUMNES RIVER BLVD, SACRAMENTO, CA"/>
        <s v="Cloudline Provisions 2068 :  2100 BROADWAY, SACRAMENTO, CA"/>
        <s v="Cloudline Provisions 2166 :  1855 WATT AVE, SACRAMENTO, CA"/>
        <s v="Cloudline Provisions 4398 :  3921 WATT AVE, SACRAMENTO, CA"/>
        <s v="Cloudline Provisions 442 :  4224 MARCONI AVE, SACRAMENTO, CA"/>
        <s v="Cloudline Provisions 5424 :  8024 ELDER CREEK RD, SACRAMENTO, CA"/>
        <s v="Cloudline Provisions 5503 :  8121 FLORIN RD, SACRAMENTO, CA"/>
        <s v="Cloudline Provisions 7062 :  6240 FREEPORT BLVD, SACRAMENTO, CA"/>
        <s v="Cloudline Provisions 7099 :  4420 MACK RD, SACRAMENTO, CA"/>
        <s v="Cloudline Provisions 7131 :  9670 KIEFER BLVD, SACRAMENTO, CA"/>
        <s v="Cloudline Provisions 7173 :  8105 DELTA SHORES CIR S, SACRAMENTO, CA"/>
        <s v="Cloudline Provisions 82335 :  4421 FLORIN RD, SACRAMENTO, CA"/>
        <s v="Cloudline Provisions 82362 :  5399 FRUITRIDGE RD, SACRAMENTO, CA"/>
        <s v="Cloudline Provisions 82450 :  2701 ORCHARD LN, SACRAMENTO, CA"/>
        <s v="Cloudline Provisions 82538 :  3800 47TH AVE, SACRAMENTO, CA"/>
        <s v="Cloudline Provisions 82675 :  4000 NORWOOD AVE, SACRAMENTO, CA"/>
        <s v="Cloudline Provisions 82749 :  8880 FRUITRIDGE RD, SACRAMENTO, CA"/>
        <s v="Cloudline Provisions 82812 :  2200 EL CAMINO AVE, SACRAMENTO, CA"/>
        <s v="Cloudline Provisions 82821 :  2225 W 16ST ST, SACRAMENTO, CA"/>
        <s v="Cloudline Provisions 82973 :  3501 NORTHGATE BLVD, SACRAMENTO, CA"/>
        <s v="Cloudline Provisions 82975 :  4747 NORTHGATE BLVD, SACRAMENTO, CA"/>
        <s v="Cloudline Provisions 83059 :  6100 AIRPORT BLVD, SACRAMENTO, CA"/>
        <s v="Cloudline Provisions 83080 :  6698 MACK RD, SACRAMENTO, CA"/>
        <s v="Cloudline Provisions 83191 :  2838 J ST, SACRAMENTO, CA"/>
        <s v="Cloudline Provisions 83193 :  8100 GERBER RD, SACRAMENTO, CA"/>
        <s v="Cloudline Provisions 83238 :  1949 ARDEN WAY, SACRAMENTO, CA"/>
        <s v="Cloudline Provisions 83438 :  3501 FAIR OAKS BLVD, SACRAMENTO, CA"/>
        <s v="Cloudline Provisions 83555 :  2933 65TH ST, SACRAMENTO, CA"/>
        <s v="Cloudline Provisions 83666 :  1391 FLORIN RD, SACRAMENTO, CA"/>
        <s v="Cloudline Provisions 83689 :  4700 MADISON AVE, SACRAMENTO, CA"/>
        <s v="Cloudline Provisions 83939 :  5625 FLORION RD, SACRAMENTO, CA"/>
        <s v="Cloudline Provisions 83940 :  300 EL CAMINO AVE, SACRAMENTO, CA"/>
        <s v="Cactus &amp; Clover 501 :  6231 FRUITRIDGE RD, SACRAMENTO, CA"/>
        <s v="Cactus &amp; Clover 502 :  4320 ARDEN WAY, SACRAMENTO, CA"/>
        <s v="Cactus &amp; Clover 506 :  1301 FLORIN RD, SACRAMENTO, CA"/>
        <s v="Cactus &amp; Clover 510 :  1540 W EL CAMINO AVE, SACRAMENTO, CA"/>
        <s v="Cactus &amp; Clover 514 :  7465 RUSH RIVER DR, SACRAMENTO, CA"/>
        <s v="Cactus &amp; Clover 528 :  3250 ARENA BLVD, SACRAMENTO, CA"/>
        <s v="Penny’s Pantry 550111 :  3920 FRUITRIDGE RD, SACRAMENTO, CA"/>
        <s v="Penny’s Pantry 550135 :  5764 ANTELOPE RD, SACRAMENTO, CA"/>
        <s v="Penny’s Pantry 550139 :  1290 FULTON AVE, SACRAMENTO, CA"/>
        <s v="Penny’s Pantry 550162 :  8500 FLORIN RD, SACRAMENTO, CA"/>
        <s v="Penny’s Pantry 551096 :  3296 MARYSVILLE BLVD, SACRAMENTO, CA"/>
        <s v="Gusty Grove 464 :  3860 FLORIN RD, SACRAMENTO, CA"/>
        <s v="Gusty Grove 488 :  3291 TRUXEL RD, SACRAMENTO, CA"/>
        <s v="Hatch &amp; Harvest 355 :  3625 NGATE BLVD, SACRAMENTO, CA"/>
        <s v="Hatch &amp; Harvest 371 :  8122 GERBER RD, SACRAMENTO, CA"/>
        <s v="Hatch &amp; Harvest 501 :  5330 STOCKTON BLVD, SACRAMENTO, CA"/>
        <s v="Hatch &amp; Harvest 532 :  7421 W STOCKTON BLVD, SACRAMENTO, CA"/>
        <s v="Flicker’s Finds 415 :  4690 FREEPORT BLVD, SACRAMENTO, CA"/>
        <s v="Flicker’s Finds 416 :  3518 MARCONI AVE, SACRAMENTO, CA"/>
        <s v="Flicker’s Finds 420 :  8391 FOLSOM BLVD, SACRAMENTO, CA"/>
        <s v="Flicker’s Finds 435 :  2075 FAIR OAKS BLVD, SACRAMENTO, CA"/>
        <s v="Flicker’s Finds 447 :  4650 NATOMAS BLVD, SACRAMENTO, CA"/>
        <s v="Willow &amp; Wren Apothecary 6081 :  9133 KIEFER BLVD, SACRAMENTO, CA"/>
        <s v="Willow &amp; Wren Apothecary 6083 :  7860 GERBER RD, SACRAMENTO, CA"/>
        <s v="Willow &amp; Wren Apothecary 6084 :  980 FLORIN RD, SACRAMENTO, CA"/>
        <s v="Willow &amp; Wren Apothecary 6228 :  4221 NORWOOD AVE, SACRAMENTO, CA"/>
        <s v="Willow &amp; Wren Apothecary 6403 :  4241 MARCONI AVE, SACRAMENTO, CA"/>
        <s v="Willow &amp; Wren Apothecary 6448 :  2751 DEL PASO RD, SACRAMENTO, CA"/>
        <s v="Willow &amp; Wren Apothecary 6520 :  4830 J ST, SACRAMENTO, CA"/>
        <s v="Haven Hearth Goods 1289 :  8377 ELK GROVE FLORIN RD, SACRAMENTO, CA"/>
        <s v="Haven Hearth Goods 1530 :  3320 ARDEN WAY, SACRAMENTO, CA"/>
        <s v="Haven Hearth Goods 190 :  424 HOWE AVE, SACRAMENTO, CA"/>
        <s v="Haven Hearth Goods 2242 :  1025 ALHAMBRA BLVD, SACRAMENTO, CA"/>
        <s v="Haven Hearth Goods 2263 :  5345 ELKHORN BLVD, SACRAMENTO, CA"/>
        <s v="Haven Hearth Goods 2684 :  1814 19TH ST, SACRAMENTO, CA"/>
        <s v="Haven Hearth Goods 2697 :  2851 DEL PASO RD, SACRAMENTO, CA"/>
        <s v="Haven Hearth Goods 3013 :  3680 CROCKER DR, SACRAMENTO, CA"/>
        <s v="Dune &amp; Drift Market 619 :  7960 GERBER RD, SACRAMENTO, CA"/>
        <s v="Dune &amp; Drift Market 622 :  5600 FOLSOM BLVD, SACRAMENTO, CA"/>
        <s v="Dune &amp; Drift Market 623 :  9137 KIEFER BLVD, SACRAMENTO, CA"/>
        <s v="Dune &amp; Drift Market 625 :  2501 FAIROAKS BLVD, SACRAMENTO, CA"/>
        <s v="Glowstone Supplies 43061 :  2281 EL CAMINO AVE, SACRAMENTO, CA"/>
        <s v="Glowstone Supplies 43092 :  2650 GATEWAY OAKS DR, SACRAMENTO, CA"/>
        <s v="Glowstone Supplies 46790 :  2600 ARDEN WAY, SACRAMENTO, CA"/>
        <s v="Bramble &amp; Co. 3384 :  1707 J ST, SACRAMENTO, CA"/>
        <s v="Maplewood Mercantile 1527 :  8101 COSUMNES RIVER BLVD, SACRAMENTO, CA"/>
        <s v="Maplewood Mercantile 2115 :  3601 N FREEWAY BLVD, SACRAMENTO, CA"/>
        <s v="Maplewood Mercantile 2492 :  6507 4TH AVE, SACRAMENTO, CA"/>
        <s v="Maplewood Mercantile 310 :  2505 RIVERSIDE BLVD, SACRAMENTO, CA"/>
        <s v="Maplewood Mercantile 311 :  5001 MADISON AVE, SACRAMENTO, CA"/>
        <s v="Maplewood Mercantile 312 :  1919 FULTON AVE, SACRAMENTO, CA"/>
        <s v="Pebble &amp; Pine Pharmacy 10114 :  3521 DEL PASO RD, SACRAMENTO, CA"/>
        <s v="Pebble &amp; Pine Pharmacy 10716 :  250 FLORIN RD, SACRAMENTO, CA"/>
        <s v="Pebble &amp; Pine Pharmacy 11262 :  840 EL CAMINO AVE, SACRAMENTO, CA"/>
        <s v="Pebble &amp; Pine Pharmacy 4136 :  1919 FRUITRIDGE RD, SACRAMENTO, CA"/>
        <s v="Pebble &amp; Pine Pharmacy 4170 :  4200 ARDEN WAY, SACRAMENTO, CA"/>
        <s v="Pebble &amp; Pine Pharmacy 5036 :  4495 MACK RD, SACRAMENTO, CA"/>
        <s v="Pebble &amp; Pine Pharmacy 5374 :  2900 STOCKTON BLVD, SACRAMENTO, CA"/>
        <s v="Pebble &amp; Pine Pharmacy 5500 :  4331 ANTELOPE RD, SACRAMENTO, CA"/>
        <s v="Pebble &amp; Pine Pharmacy 6193 :  2201 ARDEN WAY, SACRAMENTO, CA"/>
        <s v="Pebble &amp; Pine Pharmacy 6613 :  1401 BROADWAY, SACRAMENTO, CA"/>
        <s v="Pebble &amp; Pine Pharmacy 6706 :  7155 24TH ST, SACRAMENTO, CA"/>
        <s v="Mr Fantastic's Emporium 32267 :  10998 STATE HIGHWAY 9, BRECKENRIDGE, CO"/>
        <s v="Echo Stop Supplies 430 :  400 N PKWY, BRECKENRIDGE, CO"/>
        <s v="Echo Stop Supplies 420 :  300 DILLON RIDGE RD, DILLON, CO"/>
        <s v="Pebble &amp; Pine Pharmacy 11326 :  269 DILLON RIDGE RD, DILLON, CO"/>
        <s v="Mr Fantastic's Emporium 17284 :  741 N SMT, FRISCO, CO"/>
        <s v="Bluebell Bazaar 2740633 :  1012 SUMMIT RD, FRISCO, CO"/>
        <s v="Penny’s Pantry 750048 :  201 W MAIN ST, FRISCO, CO"/>
        <s v="Haven Hearth Goods 836 :  1008 N SUMMIT BLVD, FRISCO, CO"/>
        <s v="Mr Fantastic's Emporium 23963 :  201 BLUE RIVER PKWY, SILVERTHORNE, CO"/>
        <s v="Mr Fantastic's Emporium 39033 :  120 BLUE RIVER PKWY, SILVERTHORNE, CO"/>
        <s v="Mr Fantastic's Emporium 39853 :  180 STEPHENS WAY, SILVERTHORNE, CO"/>
        <s v="Maplewood Mercantile 1525 :  715 BLUE RIVER PKWY, SILVERTHORNE, CO"/>
        <s v="Bluebell Bazaar 2706671 :  39414 N DAISY MOUNTAIN DR, ANTHEM, AZ"/>
        <s v="Bluebell Bazaar 2709189 :  3502 W ANTHEM WAY, ANTHEM, AZ"/>
        <s v="Bluebell Bazaar 2709192 :  4135 W ANTHEM WAY, ANTHEM, AZ"/>
        <s v="Haven Hearth Goods 3334 :  3655 W ANTHEM WAY, ANTHEM, AZ"/>
        <s v="Pebble &amp; Pine Pharmacy 7516 :  2411 W ANTHEM WAY, ANTHEM, AZ"/>
        <s v="Rusty Cart Grocers 83 :  323 E MAIN ST, AVONDALE, AZ"/>
        <s v="Rusty Cart Grocers 93 :  1450 N DYSART RD, AVONDALE, AZ"/>
        <s v="Bluebell Bazaar 2700243 :  11025 W BUCKEYE, AVONDALE, AZ"/>
        <s v="Bluebell Bazaar 2700822 :  3 E MAIN ST, AVONDALE, AZ"/>
        <s v="Bluebell Bazaar 2701225 :  12301 W LOWER BUCKEYE RD, AVONDALE, AZ"/>
        <s v="Bluebell Bazaar 2702893 :  51 E VAN BUREN, AVONDALE, AZ"/>
        <s v="Bluebell Bazaar 2706645 :  1595 N DYSART RD, AVONDALE, AZ"/>
        <s v="Bluebell Bazaar 2709186 :  1595 N 115TH AVE BLVD, AVONDALE, AZ"/>
        <s v="Mossy Hollow Market 112 :  1575 N DYSART RD, AVONDALE, AZ"/>
        <s v="Mossy Hollow Market 66 :  10675 W INDIAN SCHOOL RD, AVONDALE, AZ"/>
        <s v="Mossy Hollow Market 89 :  11425 W BUCKEYE RD, AVONDALE, AZ"/>
        <s v="Timberline Market 459 :  900 N 99TH AVE, AVONDALE, AZ"/>
        <s v="Pebble &amp; Pine Pharmacy 3387 :  10705 W INDIAN SCHOOL RD, AVONDALE, AZ"/>
        <s v="Pebble &amp; Pine Pharmacy 5776 :  1451 N DYSART RD, AVONDALE, AZ"/>
        <s v="Pebble &amp; Pine Pharmacy 7387 :  10710 W MCDOWELL RD, AVONDALE, AZ"/>
        <s v="Iron Pine Outpost 56 :  21064 W MAIN ST, BUCKEYE, AZ"/>
        <s v="Bluebell Bazaar 2700820 :  307 US HIGHWAY 85, BUCKEYE, AZ"/>
        <s v="Bluebell Bazaar 2701198 :  721 N 195TH AVE, BUCKEYE, AZ"/>
        <s v="Bluebell Bazaar 2703397 :  537 S WATSON RD, BUCKEYE, AZ"/>
        <s v="Mossy Hollow Market 675 :  1300 S WATSON RD, BUCKEYE, AZ"/>
        <s v="Mossy Hollow Market 692 :  19600 W INDIAN SCHOOL RD, BUCKEYE, AZ"/>
        <s v="Crimson Ridge Depot 280 :  1610 S MILLER RD, BUCKEYE, AZ"/>
        <s v="Pebble &amp; Pine Pharmacy 11470 :  25073 W SOUTHERN AVE, BUCKEYE, AZ"/>
        <s v="Pebble &amp; Pine Pharmacy 9175 :  23477 W YUMA RD, BUCKEYE, AZ"/>
        <s v="Iron Pine Outpost 66 :  36889 TOM DARLINGTON, CAREFREE, AZ"/>
        <s v="Bluebell Bazaar 2705281 :  6802 E CAVE CREEK RD, CAVE CREEK, AZ"/>
        <s v="Bluebell Bazaar 2705598 :  6210 E CAVE CREEK RD, CAVE CREEK, AZ"/>
        <s v="Mossy Hollow Market 474 :  29455 N CAVE CREEK RD, CAVE CREEK, AZ"/>
        <s v="Mossy Hollow Market 67 :  4815 E CAREFREE HWY, CAVE CREEK, AZ"/>
        <s v="Haven Hearth Goods 1543 :  29834 N CAVE CREEK RD, CAVE CREEK, AZ"/>
        <s v="Pebble &amp; Pine Pharmacy 3912 :  29660 N TATUM BLVD, CAVE CREEK, AZ"/>
        <s v="Mr Fantastic's Emporium 13011 :  774 N ARIZONA AVE, CHANDLER, AZ"/>
        <s v="Mr Fantastic's Emporium 27215 :  2025 W WARNER RD, CHANDLER, AZ"/>
        <s v="Snap &amp; Go 87 :  7131 W RAY RD STE 37, CHANDLER, AZ"/>
        <s v="Driftwood Market 1221 :  2935 E RIGGS RD, CHANDLER, AZ"/>
        <s v="Driftwood Market 2997 :  4060 W RAY RD, CHANDLER, AZ"/>
        <s v="Driftwood Market 981 :  3145 S ALMA SCHOOL RD, CHANDLER, AZ"/>
        <s v="Cloudline Provisions 82727 :  1735 S COOPER RD, CHANDLER, AZ"/>
        <s v="Cloudline Provisions 83216 :  5050 S ARIZONA AVE, CHANDLER, AZ"/>
        <s v="Iron Pine Outpost 161 :  4940 S GILBERT RD, CHANDLER, AZ"/>
        <s v="Rusty Cart Grocers 26 :  1005 N ARIZONA AVE, CHANDLER, AZ"/>
        <s v="Bluebell Bazaar 2700905 :  498 S ARIZONA AVE, CHANDLER, AZ"/>
        <s v="Bluebell Bazaar 2702854 :  1262 W CHANDLER BLVD, CHANDLER, AZ"/>
        <s v="Bluebell Bazaar 2703377 :  3010 S GILBERT RD, CHANDLER, AZ"/>
        <s v="Bluebell Bazaar 2703445 :  2990 N ARIZONA AVE, CHANDLER, AZ"/>
        <s v="Bluebell Bazaar 2703452 :  3033 N DOBSON RD, CHANDLER, AZ"/>
        <s v="Bluebell Bazaar 2703490 :  3033 S MCQUEEN RD, CHANDLER, AZ"/>
        <s v="Bluebell Bazaar 2705032 :  6950 W CHANDLER BLVD, CHANDLER, AZ"/>
        <s v="Bluebell Bazaar 2705291 :  1995 S ARIZONA AVE, CHANDLER, AZ"/>
        <s v="Bluebell Bazaar 2705301 :  6015 S ARIZONA AVE, CHANDLER, AZ"/>
        <s v="Bluebell Bazaar 2705302 :  6969 W RAY RD, CHANDLER, AZ"/>
        <s v="Bluebell Bazaar 2705400 :  7351 W CHANDLER BLVD, CHANDLER, AZ"/>
        <s v="Bluebell Bazaar 2705973 :  1405 N ALMA SCHOOL RD, CHANDLER, AZ"/>
        <s v="Bluebell Bazaar 2706651 :  1010 E CHANDLER BLVD, CHANDLER, AZ"/>
        <s v="Bluebell Bazaar 2708834 :  13549 E CHANDLER BLVD, CHANDLER, AZ"/>
        <s v="Bluebell Bazaar 2709160 :  1015 N RURAL RD, CHANDLER, AZ"/>
        <s v="Bluebell Bazaar 2709161 :  4040 W CHANDLER BLVD, CHANDLER, AZ"/>
        <s v="Bluebell Bazaar 2709162 :  1995 W CHANDLER BLVD, CHANDLER, AZ"/>
        <s v="Bluebell Bazaar 2709163 :  2020 W WARNER RD, CHANDLER, AZ"/>
        <s v="Bluebell Bazaar 2709182 :  3989 W RAY RD, CHANDLER, AZ"/>
        <s v="Bluebell Bazaar 2709183 :  3033 W QUEEN CREEK RD, CHANDLER, AZ"/>
        <s v="Bluebell Bazaar 2709187 :  295 S ARIZONA AVE, CHANDLER, AZ"/>
        <s v="Bluebell Bazaar 2741604 :  1015 S COOPER RD, CHANDLER, AZ"/>
        <s v="Bluebell Bazaar 2741702 :  2955 E RIGGS RD, CHANDLER, AZ"/>
        <s v="Mossy Hollow Market 37 :  981 W ELLIOT RD, CHANDLER, AZ"/>
        <s v="Mossy Hollow Market 51 :  1950 W RAY RD, CHANDLER, AZ"/>
        <s v="Mossy Hollow Market 668 :  985 E RIGGS RD, CHANDLER, AZ"/>
        <s v="Mossy Hollow Market 681 :  2929 E OCOTILLO RD, CHANDLER, AZ"/>
        <s v="Mossy Hollow Market 69 :  2010 S ALMA SCHOOL RD, CHANDLER, AZ"/>
        <s v="Crimson Ridge Depot 328 :  7001 W SUNDUST RD, CHANDLER, AZ"/>
        <s v="Haven Hearth Goods 1566 :  4970 S ALMA SCHOOL RD, CHANDLER, AZ"/>
        <s v="Haven Hearth Goods 1604 :  1159 W CHANDLER BLVD, CHANDLER, AZ"/>
        <s v="Haven Hearth Goods 1605 :  1060 E RAY RD, CHANDLER, AZ"/>
        <s v="Maplewood Mercantile 1838 :  3425 W FRYE RD, CHANDLER, AZ"/>
        <s v="Maplewood Mercantile 2747 :  3777 S ARIZONA AVE, CHANDLER, AZ"/>
        <s v="Pebble &amp; Pine Pharmacy 11181 :  5975 W RAY RD, CHANDLER, AZ"/>
        <s v="Pebble &amp; Pine Pharmacy 2056 :  1925 W CHANDLER BLVD, CHANDLER, AZ"/>
        <s v="Pebble &amp; Pine Pharmacy 3531 :  4949 W CHANDLER BLVD, CHANDLER, AZ"/>
        <s v="Pebble &amp; Pine Pharmacy 3726 :  1985 E CHANDLER BLVD, CHANDLER, AZ"/>
        <s v="Pebble &amp; Pine Pharmacy 3727 :  1919 N DOBSON RD, CHANDLER, AZ"/>
        <s v="Pebble &amp; Pine Pharmacy 4077 :  3005 E RIGGS RD, CHANDLER, AZ"/>
        <s v="Pebble &amp; Pine Pharmacy 4792 :  55 E RAY RD, CHANDLER, AZ"/>
        <s v="Pebble &amp; Pine Pharmacy 4793 :  1975 S ALMA SCHOOL RD, CHANDLER, AZ"/>
        <s v="Pebble &amp; Pine Pharmacy 7723 :  975 E OCOTILLO RD, CHANDLER, AZ"/>
        <s v="Rusty Cart Grocers 89 :  12321 W GRAND AVE, EL MIRAGE, AZ"/>
        <s v="Bluebell Bazaar 2741669 :  13777 N DYSART RD, EL MIRAGE, AZ"/>
        <s v="Pebble &amp; Pine Pharmacy 6428 :  15385 N DYSART RD, EL MIRAGE, AZ"/>
        <s v="Pebble &amp; Pine Pharmacy 7026 :  12244 W CACTUS RD, EL MIRAGE, AZ"/>
        <s v="Iron Pine Outpost 47 :  16605 E PALISADES, FOUNTAIN HILLS, AZ"/>
        <s v="Bluebell Bazaar 2705030 :  9618 SAGUARO BLVD, FOUNTAIN HILLS, AZ"/>
        <s v="Bluebell Bazaar 2706664 :  17125 E SHEA BLVD, FOUNTAIN HILLS, AZ"/>
        <s v="Mossy Hollow Market 70 :  14845 E SHEA BLVD, FOUNTAIN HILLS, AZ"/>
        <s v="Haven Hearth Goods 1291 :  13733 FOUNTAIN HILLS BLVD, FOUNTAIN HILLS, AZ"/>
        <s v="Maplewood Mercantile 1432 :  16825 E SHEA BLVD, FOUNTAIN HILLS, AZ"/>
        <s v="Pebble &amp; Pine Pharmacy 6060 :  16415 E PALISADES BLVD, FOUNTAIN HILLS, AZ"/>
        <s v="Bluebell Bazaar 2703479 :  710 W PIMA ST, GILA BEND, AZ"/>
        <s v="Crimson Ridge Depot 296 :  820 W PIMA ST, GILA BEND, AZ"/>
        <s v="Timberline Market 1243 :  3006 S BUTTERFIELD TRL, GILA BEND, AZ"/>
        <s v="Mr Fantastic's Emporium 26908 :  1157 N GILBERT RD, GILBERT, AZ"/>
        <s v="Mr Fantastic's Emporium 27876 :  785 W ELLIOT RD, GILBERT, AZ"/>
        <s v="Mr Fantastic's Emporium 32602 :  785 S VAL VISTA DR, GILBERT, AZ"/>
        <s v="Driftwood Market 23 :  861 E WARNER RD, GILBERT, AZ"/>
        <s v="Cloudline Provisions 83580 :  786 W GUADALUPE, GILBERT, AZ"/>
        <s v="Iron Pine Outpost 172 :  99 S HIGLEY RD, GILBERT, AZ"/>
        <s v="Bluebell Bazaar 2700412 :  503 N GILBERT RD, GILBERT, AZ"/>
        <s v="Bluebell Bazaar 2703366 :  1564 E RAY RD, GILBERT, AZ"/>
        <s v="Bluebell Bazaar 2703372 :  3077 S VAL VISTA DR, GILBERT, AZ"/>
        <s v="Bluebell Bazaar 2703373 :  888 S HIGLEY RD, GILBERT, AZ"/>
        <s v="Bluebell Bazaar 2703383 :  7260 S POWER RD, GILBERT, AZ"/>
        <s v="Bluebell Bazaar 2703419 :  5202 E BASELINE RD, GILBERT, AZ"/>
        <s v="Bluebell Bazaar 2703462 :  3155 S GILBERT RD, GILBERT, AZ"/>
        <s v="Bluebell Bazaar 2703478 :  6761 E BASELINE RD, GILBERT, AZ"/>
        <s v="Bluebell Bazaar 2705286 :  751 N ARIZONA AVE, GILBERT, AZ"/>
        <s v="Bluebell Bazaar 2705292 :  750 E WARNER RD, GILBERT, AZ"/>
        <s v="Bluebell Bazaar 2705293 :  3230 E WILLIAMS FIELD RD, GILBERT, AZ"/>
        <s v="Bluebell Bazaar 2705294 :  755 W WARNER RD, GILBERT, AZ"/>
        <s v="Bluebell Bazaar 2705307 :  3589 E BASELINE RD, GILBERT, AZ"/>
        <s v="Bluebell Bazaar 2705316 :  1189 E BASELINE RD, GILBERT, AZ"/>
        <s v="Bluebell Bazaar 2706355 :  33 S VAL VISTA DR, GILBERT, AZ"/>
        <s v="Bluebell Bazaar 2709550 :  1650 E GERMANN RD, GILBERT, AZ"/>
        <s v="Bluebell Bazaar 2741601 :  1611 E GUADALUPE RD, GILBERT, AZ"/>
        <s v="Bluebell Bazaar 2741642 :  7165 S VAL VISTA RD, GILBERT, AZ"/>
        <s v="Mossy Hollow Market 15 :  3751 E BASELINE RD, GILBERT, AZ"/>
        <s v="Mossy Hollow Market 52 :  855 W WARNER RD, GILBERT, AZ"/>
        <s v="Mossy Hollow Market 615 :  1455 N HIGLEY RD, GILBERT, AZ"/>
        <s v="Mossy Hollow Market 624 :  1845 E BASELINE RD, GILBERT, AZ"/>
        <s v="Mossy Hollow Market 64 :  714 S VAL VIS, GILBERT, AZ"/>
        <s v="Mossy Hollow Market 655 :  3490 S POWER RD, GILBERT, AZ"/>
        <s v="Mossy Hollow Market 658 :  4075 E WILLIAMS FIELD RD, GILBERT, AZ"/>
        <s v="Mossy Hollow Market 670 :  6470 S HIGLEY RD, GILBERT, AZ"/>
        <s v="Mossy Hollow Market 72 :  87 E WILLIAMS FIELD RD, GILBERT, AZ"/>
        <s v="Mossy Hollow Market 75 :  3261 E PECOS RD, GILBERT, AZ"/>
        <s v="Sunny Pebble Co. 811 :  4027 S GILBERT RD, GILBERT, AZ"/>
        <s v="Sunny Pebble Co. 812 :  2870 S MARKET ST, GILBERT, AZ"/>
        <s v="Haven Hearth Goods 1534 :  90 S VAL VISTA DR, GILBERT, AZ"/>
        <s v="Haven Hearth Goods 1748 :  5137 E BASELINE RD, GILBERT, AZ"/>
        <s v="Jellybean Junction 1960 :  3931 S GILBERT RD, GILBERT, AZ"/>
        <s v="Maplewood Mercantile 1209 :  1515 E WARNER RD, GILBERT, AZ"/>
        <s v="Pebble &amp; Pine Pharmacy 10260 :  3230 E CHANDLER HEIGHTS RD, GILBERT, AZ"/>
        <s v="Pebble &amp; Pine Pharmacy 21450 :  4750 S VAL VISTA DR, GILBERT, AZ"/>
        <s v="Pebble &amp; Pine Pharmacy 3008 :  785 S COOPER RD, GILBERT, AZ"/>
        <s v="Pebble &amp; Pine Pharmacy 3184 :  1585 E GUADALUPE RD, GILBERT, AZ"/>
        <s v="Pebble &amp; Pine Pharmacy 4018 :  2345 E BASELINE RD, GILBERT, AZ"/>
        <s v="Pebble &amp; Pine Pharmacy 4543 :  805 S VAL VISTA DR, GILBERT, AZ"/>
        <s v="Pebble &amp; Pine Pharmacy 5215 :  2363 S LINDSAY RD, GILBERT, AZ"/>
        <s v="Pebble &amp; Pine Pharmacy 5799 :  754 N HIGLEY RD, GILBERT, AZ"/>
        <s v="Pebble &amp; Pine Pharmacy 6062 :  76 W GUADALUPE RD, GILBERT, AZ"/>
        <s v="Pebble &amp; Pine Pharmacy 6692 :  4766 E QUEEN CREEK RD, GILBERT, AZ"/>
        <s v="Pebble &amp; Pine Pharmacy 6880 :  2431 S HIGLEY RD, GILBERT, AZ"/>
        <s v="Pebble &amp; Pine Pharmacy 7747 :  3233 E GERMANN RD, GILBERT, AZ"/>
        <s v="Mr Fantastic's Emporium 16623 :  5925 W OLIVE AVE, GLENDALE, AZ"/>
        <s v="Mr Fantastic's Emporium 42301 :  5303 W BELL RD, GLENDALE, AZ"/>
        <s v="Snap &amp; Go 117 :  20050 N 67TH AVE, GLENDALE, AZ"/>
        <s v="Driftwood Market 3941 :  5040 W CACTUS, GLENDALE, AZ"/>
        <s v="Rusty Cart Grocers 142 :  6020 N 59TH AVE, GLENDALE, AZ"/>
        <s v="Bluebell Bazaar 2674 :  6937 N 75TH AVE, GLENDALE, AZ"/>
        <s v="Bluebell Bazaar 2700041 :  6002 NW GRAND AVE, GLENDALE, AZ"/>
        <s v="Bluebell Bazaar 2701750 :  5049 W PEORIA, GLENDALE, AZ"/>
        <s v="Bluebell Bazaar 2701908 :  13843 W GLENDALE AVE, GLENDALE, AZ"/>
        <s v="Bluebell Bazaar 2701954 :  5907 W BETHANY HOME RD, GLENDALE, AZ"/>
        <s v="Bluebell Bazaar 2701967 :  5902 W BELL RD, GLENDALE, AZ"/>
        <s v="Bluebell Bazaar 2702875 :  9002 N 47TH AVE, GLENDALE, AZ"/>
        <s v="Bluebell Bazaar 2703378 :  5880 W CAMELBACK RD, GLENDALE, AZ"/>
        <s v="Bluebell Bazaar 2703441 :  4303 W GLENDALE AVE, GLENDALE, AZ"/>
        <s v="Bluebell Bazaar 2703448 :  5155 W OLIVE AVE, GLENDALE, AZ"/>
        <s v="Bluebell Bazaar 2703477 :  13051 W GLENDALE AVE, GLENDALE, AZ"/>
        <s v="Bluebell Bazaar 2705322 :  24838 N 35TH AVE, GLENDALE, AZ"/>
        <s v="Bluebell Bazaar 2705576 :  24831 N 67TH AVE, GLENDALE, AZ"/>
        <s v="Bluebell Bazaar 2705766 :  6972 N 83RD AVE, GLENDALE, AZ"/>
        <s v="Bluebell Bazaar 2706655 :  20207 N 59TH AVE, GLENDALE, AZ"/>
        <s v="Bluebell Bazaar 2706657 :  5848 W OLIVE AVE, GLENDALE, AZ"/>
        <s v="Bluebell Bazaar 2706658 :  5881 W CACTUS RD, GLENDALE, AZ"/>
        <s v="Bluebell Bazaar 2709181 :  20203 N 67TH AVE, GLENDALE, AZ"/>
        <s v="Bluebell Bazaar 2709542 :  10725 W NORTHERN AVE, GLENDALE, AZ"/>
        <s v="Bluebell Bazaar 2741626 :  6691 W GREENWAY RD, GLENDALE, AZ"/>
        <s v="Bright Barrel Market 42 :  (KLF) LUKE AFB, AZ, GLENDALE, AZ"/>
        <s v="Mossy Hollow Market 10 :  4353 W BETHANY HOME RD, GLENDALE, AZ"/>
        <s v="Mossy Hollow Market 11 :  6710 W BETHANY HOME RD, GLENDALE, AZ"/>
        <s v="Mossy Hollow Market 136 :  4329 W NERN AVE, GLENDALE, AZ"/>
        <s v="Mossy Hollow Market 26 :  5116 W OLIVE, GLENDALE, AZ"/>
        <s v="Mossy Hollow Market 28 :  4315 W BELL RD, GLENDALE, AZ"/>
        <s v="Mossy Hollow Market 6 :  5771 W THUNDERBIRD RD, GLENDALE, AZ"/>
        <s v="Mossy Hollow Market 60 :  20220 N 59TH AVE, GLENDALE, AZ"/>
        <s v="Mossy Hollow Market 625 :  6611 W BELL RD, GLENDALE, AZ"/>
        <s v="Mossy Hollow Market 73 :  6625 W HAPPY VALLEY RD, GLENDALE, AZ"/>
        <s v="Haven Hearth Goods 1510 :  20205 N 67TH AVE # 100, GLENDALE, AZ"/>
        <s v="Haven Hearth Goods 2821 :  3800 W HAPPY VLY, GLENDALE, AZ"/>
        <s v="Maplewood Mercantile 1361 :  9350 W NORTHERN AVE, GLENDALE, AZ"/>
        <s v="Maplewood Mercantile 2341 :  10404 N 43RD AVE, GLENDALE, AZ"/>
        <s v="Pebble &amp; Pine Pharmacy 1969 :  6006 N 67TH AVE, GLENDALE, AZ"/>
        <s v="Pebble &amp; Pine Pharmacy 3003 :  6690 W UNION HILLS DR, GLENDALE, AZ"/>
        <s v="Pebble &amp; Pine Pharmacy 3049 :  4965 W BELL RD, GLENDALE, AZ"/>
        <s v="Pebble &amp; Pine Pharmacy 3385 :  5421 W THUNDERBIRD RD, GLENDALE, AZ"/>
        <s v="Pebble &amp; Pine Pharmacy 4020 :  5895 W PEORIA AVE, GLENDALE, AZ"/>
        <s v="Pebble &amp; Pine Pharmacy 4228 :  5125 W NORTHERN AVE, GLENDALE, AZ"/>
        <s v="Pebble &amp; Pine Pharmacy 4434 :  22280 N 67TH AVE, GLENDALE, AZ"/>
        <s v="Pebble &amp; Pine Pharmacy 5266 :  21632 N 35TH AVE, GLENDALE, AZ"/>
        <s v="Pebble &amp; Pine Pharmacy 5775 :  8309 W GLENDALE AVE, GLENDALE, AZ"/>
        <s v="Pebble &amp; Pine Pharmacy 5851 :  5011 W UNION HILLS DR, GLENDALE, AZ"/>
        <s v="Pebble &amp; Pine Pharmacy 6065 :  9009 N 67TH AVE, GLENDALE, AZ"/>
        <s v="Pebble &amp; Pine Pharmacy 6736 :  4410 W CACTUS RD, GLENDALE, AZ"/>
        <s v="Pebble &amp; Pine Pharmacy 7110 :  6640 W HAPPY VALLEY RD, GLENDALE, AZ"/>
        <s v="Mr Fantastic's Emporium 47390 :  1025 N ESTRELLA PKWY, GOODYEAR, AZ"/>
        <s v="Bluebell Bazaar 2709177 :  1264 N LITCHFIELD RD, GOODYEAR, AZ"/>
        <s v="Bluebell Bazaar 2709180 :  315 N LITCHFIELD RD, GOODYEAR, AZ"/>
        <s v="Bluebell Bazaar 2709528 :  15535 W MCDOWELL RD, GOODYEAR, AZ"/>
        <s v="Mossy Hollow Market 676 :  16380 W YUMA RD, GOODYEAR, AZ"/>
        <s v="Haven Hearth Goods 1511 :  14175 W INDIAN SCHOOL BYPASS, GOODYEAR, AZ"/>
        <s v="Haven Hearth Goods 2618 :  440 N ESTRELLA PKWY, GOODYEAR, AZ"/>
        <s v="Haven Hearth Goods 3151 :  9890 S ESTRELLA PKWY, GOODYEAR, AZ"/>
        <s v="Jellybean Junction 2400 :  995 S COTTON LN, GOODYEAR, AZ"/>
        <s v="Maplewood Mercantile 1242 :  1515 N LITCHFIELD RD, GOODYEAR, AZ"/>
        <s v="Pebble &amp; Pine Pharmacy 12334 :  1654 N PEBBLE CREEK PKWY, GOODYEAR, AZ"/>
        <s v="Pebble &amp; Pine Pharmacy 12386 :  9800 S ESTRELLA PKWY, GOODYEAR, AZ"/>
        <s v="Pebble &amp; Pine Pharmacy 2243 :  387 N ESTRELLA PKWY, GOODYEAR, AZ"/>
        <s v="Pebble &amp; Pine Pharmacy 3657 :  3361 N LITCHFIELD RD, GOODYEAR, AZ"/>
        <s v="Bluebell Bazaar 2706646 :  1619 W BASELINE RD, GUADALUPE, AZ"/>
        <s v="Bluebell Bazaar 2701844 :  3508 W BASELINE RD, LAVEEN, AZ"/>
        <s v="Bluebell Bazaar 2741655 :  5110 W BASELINE RD, LAVEEN, AZ"/>
        <s v="Mossy Hollow Market 87 :  5140 W BASELINE, LAVEEN, AZ"/>
        <s v="Haven Hearth Goods 2709 :  5035 W BASELINE RD, LAVEEN, AZ"/>
        <s v="Pebble &amp; Pine Pharmacy 9179 :  5115 W BASELINE RD, LAVEEN, AZ"/>
        <s v="Driftwood Market 3926 :  12970 W INDIAN SCHOOL RD, LITCHFIELD PARK, AZ"/>
        <s v="Iron Pine Outpost 130 :  5115 N DYSART RD STE 150, LITCHFIELD PARK, AZ"/>
        <s v="Bluebell Bazaar 2741705 :  13012 W INDIAN SCHOOL RD, LITCHFIELD PARK, AZ"/>
        <s v="Mossy Hollow Market 667 :  13730 W CAMELBACK RD, LITCHFIELD PARK, AZ"/>
        <s v="Pebble &amp; Pine Pharmacy 7582 :  13014 W CAMELBACK RD, LITCHFIELD PARK, AZ"/>
        <s v="Zippy’s Corner 1068604 :  LUKE AFB EXP/CL6/GAS (B1114), LUKE AFB, AZ"/>
        <s v="Zippy’s Corner 1068635 :  LUKE AFB MAIN (B1540), LUKE AFB, AZ"/>
        <s v="Zippy’s Corner 1068691 :  LUKE AFB MCSS (B1552), LUKE AFB, AZ"/>
        <s v="Bluebell Bazaar 2703390 :  18141 N JOHN WAYNE PKWY, MARICOPA, AZ"/>
        <s v="Bluebell Bazaar 2706639 :  21212 N JOHN WAYNE PKWY, MARICOPA, AZ"/>
        <s v="Pebble &amp; Pine Pharmacy 9264 :  21274 N JOHN WAYNE PKWY, MARICOPA, AZ"/>
        <s v="Mr Fantastic's Emporium 20168 :  810 W BASELINE RD, MESA, AZ"/>
        <s v="Mr Fantastic's Emporium 21821 :  815 S ALMA SCHOOL RD, MESA, AZ"/>
        <s v="Mr Fantastic's Emporium 26201 :  2010 E MAIN ST, MESA, AZ"/>
        <s v="Mr Fantastic's Emporium 26620 :  411 S GILBERT RD, MESA, AZ"/>
        <s v="Mr Fantastic's Emporium 27036 :  815 S DOBSON, MESA, AZ"/>
        <s v="Snap &amp; Go 61 :  1836 S VAL VISTA DR, MESA, AZ"/>
        <s v="Driftwood Market 1002 :  9243 E BASELINE, MESA, AZ"/>
        <s v="Driftwood Market 1948 :  441 N VAL VIS, MESA, AZ"/>
        <s v="Driftwood Market 3989 :  2727 N POWER RD, MESA, AZ"/>
        <s v="Driftwood Market 958 :  325 S POWER RD, MESA, AZ"/>
        <s v="Driftwood Market 980 :  1951 W BASELINE, MESA, AZ"/>
        <s v="Iron Pine Outpost 110 :  1133 N ELLSWORTH RD, MESA, AZ"/>
        <s v="Iron Pine Outpost 155 :  9925 E BASELINE, MESA, AZ"/>
        <s v="Iron Pine Outpost 51 :  1122 N HIGLEY RD, MESA, AZ"/>
        <s v="Iron Pine Outpost 73 :  2864 N POWER RD, MESA, AZ"/>
        <s v="Rusty Cart Grocers 10 :  1342 E MAIN ST, MESA, AZ"/>
        <s v="Rusty Cart Grocers 123 :  822 S ALMA SCHOOL RD, MESA, AZ"/>
        <s v="Rusty Cart Grocers 2 :  339 E BROWN RD, MESA, AZ"/>
        <s v="Rusty Cart Grocers 25 :  450 E SOUTHERN AVE, MESA, AZ"/>
        <s v="Bluebell Bazaar 2700085 :  1154 W 8TH ST, MESA, AZ"/>
        <s v="Bluebell Bazaar 2700103 :  801 S COUNTRY CLUB DR, MESA, AZ"/>
        <s v="Bluebell Bazaar 2700401 :  11 E MCKELLIPS RD, MESA, AZ"/>
        <s v="Bluebell Bazaar 2700433 :  2709 W GUADALUPE RD, MESA, AZ"/>
        <s v="Bluebell Bazaar 2700849 :  9615 E UNIVERSITY DR, MESA, AZ"/>
        <s v="Bluebell Bazaar 2701149 :  1955 W UNIVERSITY DR, MESA, AZ"/>
        <s v="Bluebell Bazaar 2701202 :  2005 N BUSH HWY, MESA, AZ"/>
        <s v="Bluebell Bazaar 2701250 :  330 E BROADWAY RD, MESA, AZ"/>
        <s v="Bluebell Bazaar 2701343 :  1550 N COUNTRY CLUB DR, MESA, AZ"/>
        <s v="Bluebell Bazaar 2701479 :  809 E SOUTHERN AVE, MESA, AZ"/>
        <s v="Bluebell Bazaar 2701574 :  2012 W SOUTHERN AVE, MESA, AZ"/>
        <s v="Bluebell Bazaar 2701671 :  2815 E UNIVERSITY DR, MESA, AZ"/>
        <s v="Bluebell Bazaar 2701994 :  310 N MESA DR, MESA, AZ"/>
        <s v="Bluebell Bazaar 2701996 :  3550 E MAIN ST, MESA, AZ"/>
        <s v="Bluebell Bazaar 2703365 :  1959 S GREENFIELD RD, MESA, AZ"/>
        <s v="Bluebell Bazaar 2703381 :  1202 N POWER RD, MESA, AZ"/>
        <s v="Bluebell Bazaar 2703463 :  9228 E GUADALUPE RD, MESA, AZ"/>
        <s v="Bluebell Bazaar 2703476 :  415 N STAPLEY DR, MESA, AZ"/>
        <s v="Bluebell Bazaar 2705284 :  410 N CTR, MESA, AZ"/>
        <s v="Bluebell Bazaar 2705320 :  4420 E SOUTHERN AVE, MESA, AZ"/>
        <s v="Bluebell Bazaar 2705401 :  417 S DOBSON RD, MESA, AZ"/>
        <s v="Bluebell Bazaar 2706287 :  4425 E MAIN ST, MESA, AZ"/>
        <s v="Bluebell Bazaar 2706346 :  1810 S COUNTRY CLUB DR, MESA, AZ"/>
        <s v="Bluebell Bazaar 2706356 :  1203 E SOUTHERN AVE, MESA, AZ"/>
        <s v="Bluebell Bazaar 2706357 :  1850 S STAPLEY DR, MESA, AZ"/>
        <s v="Bluebell Bazaar 2706361 :  2760 E BASELINE RD, MESA, AZ"/>
        <s v="Bluebell Bazaar 2706459 :  1557 S VAL VISTA DR, MESA, AZ"/>
        <s v="Bluebell Bazaar 2706461 :  2808 S DOBSON RD, MESA, AZ"/>
        <s v="Bluebell Bazaar 2706641 :  4353 S POWER RD, MESA, AZ"/>
        <s v="Bluebell Bazaar 2706642 :  425 S CRISMON RD, MESA, AZ"/>
        <s v="Bluebell Bazaar 2706649 :  1953 E SOUTHERN AVE, MESA, AZ"/>
        <s v="Bluebell Bazaar 2706656 :  2011 E MCKELLIPS RD, MESA, AZ"/>
        <s v="Bluebell Bazaar 2706660 :  2005 W BROADWAY RD, MESA, AZ"/>
        <s v="Bluebell Bazaar 2706661 :  7546 E BASELINE RD, MESA, AZ"/>
        <s v="Bluebell Bazaar 2708512 :  6005 E MCKELLIPS RD, MESA, AZ"/>
        <s v="Bluebell Bazaar 2708749 :  1145 W MAIN ST, MESA, AZ"/>
        <s v="Bluebell Bazaar 2709153 :  1210 S HIGLEY RD, MESA, AZ"/>
        <s v="Bluebell Bazaar 2709173 :  1817 W BASELINE RD, MESA, AZ"/>
        <s v="Bluebell Bazaar 2709179 :  1203 S POWER RD, MESA, AZ"/>
        <s v="Bluebell Bazaar 2709191 :  1153 SIGNAL BUTTE RD, MESA, AZ"/>
        <s v="Bluebell Bazaar 2709538 :  9230 E UNIVERSITY DR, MESA, AZ"/>
        <s v="Bluebell Bazaar 2709557 :  824 W BROADWAY RD, MESA, AZ"/>
        <s v="Bluebell Bazaar 2741603 :  5205 E MCKELLIPS RD, MESA, AZ"/>
        <s v="Bluebell Bazaar 2741615 :  2754 N POWER RD, MESA, AZ"/>
        <s v="Bluebell Bazaar 2741621 :  5158 E UNIVERSITY DR, MESA, AZ"/>
        <s v="Bluebell Bazaar 2741630 :  401 S ELLSWORTH RD, MESA, AZ"/>
        <s v="Bluebell Bazaar 2741676 :  809 N DOBSON RD, MESA, AZ"/>
        <s v="Bluebell Bazaar 2741707 :  2011 S ELLSWORTH RD, MESA, AZ"/>
        <s v="Mossy Hollow Market 113 :  1245 W MAIN ST, MESA, AZ"/>
        <s v="Mossy Hollow Market 115 :  435 S ELLSWORTH, MESA, AZ"/>
        <s v="Mossy Hollow Market 123 :  2727 E BRDWAY, MESA, AZ"/>
        <s v="Mossy Hollow Market 23 :  5941 E MCKELLIPS RD, MESA, AZ"/>
        <s v="Mossy Hollow Market 55 :  1915 S POWER RD, MESA, AZ"/>
        <s v="Mossy Hollow Market 611 :  4440 E MAIN ST, MESA, AZ"/>
        <s v="Mossy Hollow Market 62 :  554 W BASELINE RD, MESA, AZ"/>
        <s v="Mossy Hollow Market 622 :  1935 N STAPLEY DR, MESA, AZ"/>
        <s v="Mossy Hollow Market 686 :  2724 S SIGNAL BUTTE RD, MESA, AZ"/>
        <s v="Haven Hearth Goods 1637 :  3622 E SOUTHERN AVE, MESA, AZ"/>
        <s v="Haven Hearth Goods 1717 :  1902 W MAIN ST, MESA, AZ"/>
        <s v="Haven Hearth Goods 247 :  1225 W GUADALUPE RD, MESA, AZ"/>
        <s v="Haven Hearth Goods 2644 :  1855 N POWER RD, MESA, AZ"/>
        <s v="Haven Hearth Goods 2922 :  4316 S SIGNAL BUTTE RD, MESA, AZ"/>
        <s v="Glowstone Supplies 43049 :  7266 S ELLSWORTH RD, MESA, AZ"/>
        <s v="Jellybean Junction 1959 :  5110 S POWER RD, MESA, AZ"/>
        <s v="Maplewood Mercantile 1386 :  2151 N POWER RD, MESA, AZ"/>
        <s v="Maplewood Mercantile 1429 :  1230 S LONGMORE AVE, MESA, AZ"/>
        <s v="Maplewood Mercantile 251 :  1135 S GILBERT RD, MESA, AZ"/>
        <s v="Maplewood Mercantile 639 :  1525 S POWER RD, MESA, AZ"/>
        <s v="Pebble &amp; Pine Pharmacy 11182 :  1130 W SOUTHERN AVE, MESA, AZ"/>
        <s v="Pebble &amp; Pine Pharmacy 12335 :  10825 E BASELINE RD, MESA, AZ"/>
        <s v="Pebble &amp; Pine Pharmacy 2771 :  1305 S GREENFIELD RD, MESA, AZ"/>
        <s v="Pebble &amp; Pine Pharmacy 3215 :  1935 N POWER RD, MESA, AZ"/>
        <s v="Pebble &amp; Pine Pharmacy 3591 :  2811 E BROADWAY RD, MESA, AZ"/>
        <s v="Pebble &amp; Pine Pharmacy 3670 :  1159 E SOUTHERN AVE, MESA, AZ"/>
        <s v="Pebble &amp; Pine Pharmacy 3728 :  7059 E BASELINE RD, MESA, AZ"/>
        <s v="Pebble &amp; Pine Pharmacy 3767 :  2737 E MCKELLIPS RD, MESA, AZ"/>
        <s v="Pebble &amp; Pine Pharmacy 4435 :  4420 E BROWN RD, MESA, AZ"/>
        <s v="Pebble &amp; Pine Pharmacy 5039 :  746 W UNIVERSITY DR, MESA, AZ"/>
        <s v="Pebble &amp; Pine Pharmacy 5392 :  420 S SOSSAMAN RD, MESA, AZ"/>
        <s v="Pebble &amp; Pine Pharmacy 5701 :  1158 S CRISMON RD, MESA, AZ"/>
        <s v="Pebble &amp; Pine Pharmacy 6026 :  3624 N POWER RD, MESA, AZ"/>
        <s v="Pebble &amp; Pine Pharmacy 6177 :  1135 N MESA DR, MESA, AZ"/>
        <s v="Pebble &amp; Pine Pharmacy 6582 :  9230 E MAIN ST, MESA, AZ"/>
        <s v="Pebble &amp; Pine Pharmacy 6784 :  2024 W MAIN ST, MESA, AZ"/>
        <s v="Pebble &amp; Pine Pharmacy 7558 :  9233 E GUADALUPE RD, MESA, AZ"/>
        <s v="Pebble &amp; Pine Pharmacy 7828 :  6002 E MAIN ST, MESA, AZ"/>
        <s v="Pebble &amp; Pine Pharmacy 9202 :  1142 W GUADALUPE RD, MESA, AZ"/>
        <s v="Mr Fantastic's Emporium 26638 :  6720 W OLIVE AVE, PEORIA, AZ"/>
        <s v="Driftwood Market 1971 :  8950 W BELL RD, PEORIA, AZ"/>
        <s v="Driftwood Market 991 :  8240 W DEER VALLEY RD, PEORIA, AZ"/>
        <s v="Cloudline Provisions 83862 :  8271 W THUNDERBIRD RD, PEORIA, AZ"/>
        <s v="Iron Pine Outpost 102 :  20351 N LAKE PLEASANT RD, PEORIA, AZ"/>
        <s v="Bluebell Bazaar 2701054 :  18610 N 107TH AVE, PEORIA, AZ"/>
        <s v="Bluebell Bazaar 2701065 :  9049 W PEORIA AVE, PEORIA, AZ"/>
        <s v="Bluebell Bazaar 2701646 :  7510 W PEORIA AVE, PEORIA, AZ"/>
        <s v="Bluebell Bazaar 2701785 :  7460 W CACTUS RD, PEORIA, AZ"/>
        <s v="Bluebell Bazaar 2703367 :  8327 W THUNDERBIRD RD, PEORIA, AZ"/>
        <s v="Bluebell Bazaar 2703392 :  8277 W OLIVE AVE, PEORIA, AZ"/>
        <s v="Bluebell Bazaar 2705544 :  8326 W UNION HILLS DR, PEORIA, AZ"/>
        <s v="Bluebell Bazaar 2705573 :  8319 W BELL RD, PEORIA, AZ"/>
        <s v="Bluebell Bazaar 2705914 :  8325 W DEER VALLEY RD, PEORIA, AZ"/>
        <s v="Bluebell Bazaar 2706468 :  9476 W OLIVE AVE, PEORIA, AZ"/>
        <s v="Bluebell Bazaar 2706672 :  23336 N LAKE PLEASANT PKWY, PEORIA, AZ"/>
        <s v="Bluebell Bazaar 2709155 :  8720 W BELL RD, PEORIA, AZ"/>
        <s v="Bluebell Bazaar 2709176 :  6735 W PEORIA AVE, PEORIA, AZ"/>
        <s v="Bluebell Bazaar 2741631 :  8270 W CACTUS RD, PEORIA, AZ"/>
        <s v="Bluebell Bazaar 2741683 :  28460 N VISTANCIA BLVD, PEORIA, AZ"/>
        <s v="Mossy Hollow Market 114 :  9245 W UNION HLS, PEORIA, AZ"/>
        <s v="Mossy Hollow Market 45 :  7455 W CACTUS RD, PEORIA, AZ"/>
        <s v="Mossy Hollow Market 56 :  9043 W OLIVE AVE, PEORIA, AZ"/>
        <s v="Mossy Hollow Market 657 :  25401 N LAKE PLEASANT PKWY, PEORIA, AZ"/>
        <s v="Mossy Hollow Market 683 :  11701 W LONE MOUNTAIN PKWY, PEORIA, AZ"/>
        <s v="Mossy Hollow Market 74 :  8375 W DEER VALLEY RD, PEORIA, AZ"/>
        <s v="Sunny Pebble Co. 801 :  8369 W BELL RD, PEORIA, AZ"/>
        <s v="Haven Hearth Goods 1662 :  10641 W OLIVE AVE, PEORIA, AZ"/>
        <s v="Haven Hearth Goods 1841 :  12320 N 83RD AVE, PEORIA, AZ"/>
        <s v="Haven Hearth Goods 2799 :  2845 N VISTANCIA BLVD, PEORIA, AZ"/>
        <s v="Haven Hearth Goods 72 :  8010 W HAPPY VALLEY RD, PEORIA, AZ"/>
        <s v="Jellybean Junction 2227 :  24890 N LAKE PLEASANT PKWY, PEORIA, AZ"/>
        <s v="Maplewood Mercantile 825 :  8055 W BELL RD, PEORIA, AZ"/>
        <s v="Pebble &amp; Pine Pharmacy 10241 :  28516 N EL MIRAGE RD, PEORIA, AZ"/>
        <s v="Pebble &amp; Pine Pharmacy 3048 :  9050 W UNION HILLS DR, PEORIA, AZ"/>
        <s v="Pebble &amp; Pine Pharmacy 3427 :  7448 W THUNDERBIRD RD, PEORIA, AZ"/>
        <s v="Pebble &amp; Pine Pharmacy 4742 :  8310 W DEER VALLEY RD, PEORIA, AZ"/>
        <s v="Pebble &amp; Pine Pharmacy 5222 :  9040 W PEORIA AVE, PEORIA, AZ"/>
        <s v="Pebble &amp; Pine Pharmacy 5353 :  20266 N LAKE PLEASANT RD, PEORIA, AZ"/>
        <s v="Mr Fantastic's Emporium 13026 :  4511 N 24TH ST, PHOENIX, AZ"/>
        <s v="Mr Fantastic's Emporium 16082 :  4831 N 75TH AVE, PHOENIX, AZ"/>
        <s v="Mr Fantastic's Emporium 16398 :  2424 W GREENWAY RD, PHOENIX, AZ"/>
        <s v="Mr Fantastic's Emporium 18117 :  2651 W GLENDALE AVE, PHOENIX, AZ"/>
        <s v="Mr Fantastic's Emporium 19158 :  5901 W MCDOWELL RD, PHOENIX, AZ"/>
        <s v="Mr Fantastic's Emporium 19650 :  4748 E MCDOWELL RD, PHOENIX, AZ"/>
        <s v="Mr Fantastic's Emporium 20212 :  1950 E INDIAN SCHOOL RD, PHOENIX, AZ"/>
        <s v="Mr Fantastic's Emporium 20416 :  3306 W BELL RD, PHOENIX, AZ"/>
        <s v="Mr Fantastic's Emporium 20433 :  12033 N 28TH DR, PHOENIX, AZ"/>
        <s v="Mr Fantastic's Emporium 20622 :  646 W INDIAN SCHOOL RD, PHOENIX, AZ"/>
        <s v="Mr Fantastic's Emporium 21040 :  5135 E THOMAS RD, PHOENIX, AZ"/>
        <s v="Mr Fantastic's Emporium 22886 :  3912 E CAMELBACK, PHOENIX, AZ"/>
        <s v="Mr Fantastic's Emporium 23215 :  3948 E THOMAS, PHOENIX, AZ"/>
        <s v="Mr Fantastic's Emporium 24169 :  850 E BELL, PHOENIX, AZ"/>
        <s v="Mr Fantastic's Emporium 26085 :  1850 W GLENDALE, PHOENIX, AZ"/>
        <s v="Mr Fantastic's Emporium 26086 :  3201 E SHEA BLVD, PHOENIX, AZ"/>
        <s v="Mr Fantastic's Emporium 26123 :  5850 W THOMAS RD, PHOENIX, AZ"/>
        <s v="Mr Fantastic's Emporium 27401 :  4748 E VAN BUREN, PHOENIX, AZ"/>
        <s v="Mr Fantastic's Emporium 27518 :  4840 N 67TH AVE, PHOENIX, AZ"/>
        <s v="Mr Fantastic's Emporium 32319 :  19848 N 27TH AVE, PHOENIX, AZ"/>
        <s v="Mr Fantastic's Emporium 32824 :  9910 W INDIAN SCHOOL RD, PHOENIX, AZ"/>
        <s v="Mr Fantastic's Emporium 42313 :  1818 S 7TH ST, PHOENIX, AZ"/>
        <s v="Snap &amp; Go 159 :  4430 E CAMELBACK RD, PHOENIX, AZ"/>
        <s v="Snap &amp; Go 64 :  5017 N CENTRAL AVE, PHOENIX, AZ"/>
        <s v="Driftwood Market 25 :  21001 N TATUM BLVD, PHOENIX, AZ"/>
        <s v="Driftwood Market 2952 :  8035 N 19TH AVE, PHOENIX, AZ"/>
        <s v="Driftwood Market 2985 :  18411 N CAVE CREEK RD, PHOENIX, AZ"/>
        <s v="Driftwood Market 4 :  3130 W CAREFREE HWY, PHOENIX, AZ"/>
        <s v="Cloudline Provisions 42974 :  1601 N 43RD AVE, PHOENIX, AZ"/>
        <s v="Cloudline Provisions 82533 :  7849 N 43RD AVE, PHOENIX, AZ"/>
        <s v="Cloudline Provisions 82562 :  1601 N 27TH AVE, PHOENIX, AZ"/>
        <s v="Cloudline Provisions 82733 :  1201 E NORTHERN AVE, PHOENIX, AZ"/>
        <s v="Cloudline Provisions 82745 :  935 N 43RD AVE, PHOENIX, AZ"/>
        <s v="Cloudline Provisions 83853 :  12222 N 32ND ST, PHOENIX, AZ"/>
        <s v="Cloudline Provisions 83857 :  5101 W THOMAS RD, PHOENIX, AZ"/>
        <s v="Iron Pine Outpost 11 :  4855 E WARNER RD, PHOENIX, AZ"/>
        <s v="Iron Pine Outpost 113 :  731 E UNION HILLS DR, PHOENIX, AZ"/>
        <s v="Iron Pine Outpost 15 :  10631 N 32ND ST, PHOENIX, AZ"/>
        <s v="Iron Pine Outpost 158 :  5555 N 7TH ST # 130, PHOENIX, AZ"/>
        <s v="Rusty Cart Grocers 103 :  4239 W MCDOWELL RD, PHOENIX, AZ"/>
        <s v="Rusty Cart Grocers 104 :  3202 E GREENWAY RD, PHOENIX, AZ"/>
        <s v="Rusty Cart Grocers 105 :  3514 W GLENDALE AVE, PHOENIX, AZ"/>
        <s v="Rusty Cart Grocers 107 :  7227 S CENTRAL AVE, PHOENIX, AZ"/>
        <s v="Rusty Cart Grocers 12 :  2124 E MCDOWELL RD, PHOENIX, AZ"/>
        <s v="Rusty Cart Grocers 132 :  2709 W VAN BUREN ST, PHOENIX, AZ"/>
        <s v="Rusty Cart Grocers 135 :  5114 W MCDOWELL RD, PHOENIX, AZ"/>
        <s v="Rusty Cart Grocers 140 :  6544 W THOMAS RD STE 33, PHOENIX, AZ"/>
        <s v="Rusty Cart Grocers 143 :  4430 E MCDOWELL RD, PHOENIX, AZ"/>
        <s v="Rusty Cart Grocers 148 :  3205 E MCDOWELL RD, PHOENIX, AZ"/>
        <s v="Rusty Cart Grocers 149 :  6025 N 27TH AVE, PHOENIX, AZ"/>
        <s v="Rusty Cart Grocers 152 :  4727 E SOUTHERN AVE, PHOENIX, AZ"/>
        <s v="Rusty Cart Grocers 154 :  9020 W THOMAS RD, PHOENIX, AZ"/>
        <s v="Rusty Cart Grocers 162 :  845 W SOUTHERN AVE, PHOENIX, AZ"/>
        <s v="Rusty Cart Grocers 94 :  3442 W VAN BUREN ST, PHOENIX, AZ"/>
        <s v="Rusty Cart Grocers 95 :  1940 W INDIAN SCHOOL RD, PHOENIX, AZ"/>
        <s v="Bluebell Bazaar 1854 :  1002 N 35TH AVE, PHOENIX, AZ"/>
        <s v="Bluebell Bazaar 2700014 :  1001 N 16TH ST, PHOENIX, AZ"/>
        <s v="Bluebell Bazaar 2700052 :  8617 N 27TH AVE, PHOENIX, AZ"/>
        <s v="Bluebell Bazaar 2700074 :  6322 N 12TH ST, PHOENIX, AZ"/>
        <s v="Bluebell Bazaar 2700114 :  614 W ROOSEVELT, PHOENIX, AZ"/>
        <s v="Bluebell Bazaar 2700598 :  5050 W THUNDERBIRD RD, PHOENIX, AZ"/>
        <s v="Bluebell Bazaar 2700693 :  5850 S 19TH AVE, PHOENIX, AZ"/>
        <s v="Bluebell Bazaar 2700720 :  2359 E BEARDSLEY RD, PHOENIX, AZ"/>
        <s v="Bluebell Bazaar 2701200 :  2702 W GLENDALE AVE, PHOENIX, AZ"/>
        <s v="Bluebell Bazaar 2701216 :  3955 E BROADWAY, PHOENIX, AZ"/>
        <s v="Bluebell Bazaar 2701344 :  1002 N 32ND ST, PHOENIX, AZ"/>
        <s v="Bluebell Bazaar 2701345 :  3101 W NORTHERN AVE, PHOENIX, AZ"/>
        <s v="Bluebell Bazaar 2701347 :  4502 N 19TH AVE, PHOENIX, AZ"/>
        <s v="Bluebell Bazaar 2701541 :  701 E BETHANY HOME RD, PHOENIX, AZ"/>
        <s v="Bluebell Bazaar 2701566 :  3502 W PEORIA AVE, PHOENIX, AZ"/>
        <s v="Bluebell Bazaar 2701569 :  699 E BUCKEYE RD, PHOENIX, AZ"/>
        <s v="Bluebell Bazaar 2701570 :  4401 S 7TH AVE, PHOENIX, AZ"/>
        <s v="Bluebell Bazaar 2701584 :  2640 W VAN BUREN, PHOENIX, AZ"/>
        <s v="Bluebell Bazaar 2701603 :  1501 W MCDOWELL RD, PHOENIX, AZ"/>
        <s v="Bluebell Bazaar 2701618 :  6002 N 7TH AVE, PHOENIX, AZ"/>
        <s v="Bluebell Bazaar 2701619 :  2401 E INDIAN SCHOOL RD, PHOENIX, AZ"/>
        <s v="Bluebell Bazaar 2701620 :  3554 E INDIAN SCHOOL RD, PHOENIX, AZ"/>
        <s v="Bluebell Bazaar 2701622 :  3404 N 19TH AVE, PHOENIX, AZ"/>
        <s v="Bluebell Bazaar 2701637 :  2402 E SOUTHERN AVE, PHOENIX, AZ"/>
        <s v="Bluebell Bazaar 2701662 :  4402 E OSBORN RD, PHOENIX, AZ"/>
        <s v="Bluebell Bazaar 2701667 :  2850 N 7TH ST, PHOENIX, AZ"/>
        <s v="Bluebell Bazaar 2701673 :  1910 W DEER VALLEY RD, PHOENIX, AZ"/>
        <s v="Bluebell Bazaar 2701739 :  7440 S 7TH AVE, PHOENIX, AZ"/>
        <s v="Bluebell Bazaar 2701741 :  5141 N CENTRAL AVE, PHOENIX, AZ"/>
        <s v="Bluebell Bazaar 2701752 :  4343 E CAMELBACK RD, PHOENIX, AZ"/>
        <s v="Bluebell Bazaar 2701781 :  1540 E BROADWAY RD, PHOENIX, AZ"/>
        <s v="Bluebell Bazaar 2701795 :  1732 W VAN BUREN, PHOENIX, AZ"/>
        <s v="Bluebell Bazaar 2701843 :  10 E BUCKEYE RD, PHOENIX, AZ"/>
        <s v="Bluebell Bazaar 2701850 :  630 E BROADWAY, PHOENIX, AZ"/>
        <s v="Bluebell Bazaar 2701855 :  15400 N 7TH ST, PHOENIX, AZ"/>
        <s v="Bluebell Bazaar 2701859 :  702 W MCDOWELL RD, PHOENIX, AZ"/>
        <s v="Bluebell Bazaar 2701918 :  3151 E BROADWAY RD, PHOENIX, AZ"/>
        <s v="Bluebell Bazaar 2701921 :  3149 E VAN BUREN, PHOENIX, AZ"/>
        <s v="Bluebell Bazaar 2701929 :  4808 E BELL RD, PHOENIX, AZ"/>
        <s v="Bluebell Bazaar 2701938 :  2439 W UNION HILLS DR, PHOENIX, AZ"/>
        <s v="Bluebell Bazaar 2701950 :  9040 S CENTRAL AVE, PHOENIX, AZ"/>
        <s v="Bluebell Bazaar 2701968 :  4303 S 19TH AVE, PHOENIX, AZ"/>
        <s v="Bluebell Bazaar 2701974 :  2402 E MCDOWELL RD, PHOENIX, AZ"/>
        <s v="Bluebell Bazaar 2701998 :  1834 W GRANT ST, PHOENIX, AZ"/>
        <s v="Bluebell Bazaar 2702817 :  2120 N 35TH AVE, PHOENIX, AZ"/>
        <s v="Bluebell Bazaar 2702835 :  3402 N 35TH AVE, PHOENIX, AZ"/>
        <s v="Bluebell Bazaar 2702872 :  602 N 1ST AVE, PHOENIX, AZ"/>
        <s v="Bluebell Bazaar 2702873 :  3930 E SOUTHERN AVE, PHOENIX, AZ"/>
        <s v="Bluebell Bazaar 2702885 :  3618 W BUCKEYE RD, PHOENIX, AZ"/>
        <s v="Bluebell Bazaar 2702889 :  1342 W THOMAS RD, PHOENIX, AZ"/>
        <s v="Bluebell Bazaar 2702890 :  3543 E OAK ST, PHOENIX, AZ"/>
        <s v="Bluebell Bazaar 2702891 :  5146 E MCDOWELL RD, PHOENIX, AZ"/>
        <s v="Bluebell Bazaar 2703393 :  301 N 43RD AVE, PHOENIX, AZ"/>
        <s v="Bluebell Bazaar 2703396 :  3011 E BELL RD, PHOENIX, AZ"/>
        <s v="Bluebell Bazaar 2703399 :  1122 E INDIAN SCHOOL RD, PHOENIX, AZ"/>
        <s v="Bluebell Bazaar 2703403 :  1850 W HAPPY VALLEY RD, PHOENIX, AZ"/>
        <s v="Bluebell Bazaar 2703405 :  2120 W NORTHERN AVE, PHOENIX, AZ"/>
        <s v="Bluebell Bazaar 2703425 :  3950 E BASELINE RD, PHOENIX, AZ"/>
        <s v="Bluebell Bazaar 2703447 :  975 N 7TH ST, PHOENIX, AZ"/>
        <s v="Bluebell Bazaar 2703459 :  2650 W CAMELBACK RD, PHOENIX, AZ"/>
        <s v="Bluebell Bazaar 2703461 :  2840 N 75TH AVE, PHOENIX, AZ"/>
        <s v="Bluebell Bazaar 2703480 :  4810 E WARNER RD, PHOENIX, AZ"/>
        <s v="Bluebell Bazaar 2703481 :  675 W UNION HILLS DR, PHOENIX, AZ"/>
        <s v="Bluebell Bazaar 2703487 :  1875 W GREENWAY RD, PHOENIX, AZ"/>
        <s v="Bluebell Bazaar 2703734 :  3443 W DUNLAP, PHOENIX, AZ"/>
        <s v="Bluebell Bazaar 2703735 :  4301 W CACTUS RD, PHOENIX, AZ"/>
        <s v="Bluebell Bazaar 2703740 :  8955 N 19TH AVE, PHOENIX, AZ"/>
        <s v="Bluebell Bazaar 2703743 :  5350 N 27TH AVE, PHOENIX, AZ"/>
        <s v="Bluebell Bazaar 2703744 :  630 E MISSOURI, PHOENIX, AZ"/>
        <s v="Bluebell Bazaar 2703746 :  12201 N CAVE CREEK RD, PHOENIX, AZ"/>
        <s v="Bluebell Bazaar 2704272 :  3502 W UNION HILLS DR, PHOENIX, AZ"/>
        <s v="Bluebell Bazaar 2705023 :  1523 E MCDOWELL, PHOENIX, AZ"/>
        <s v="Bluebell Bazaar 2705069 :  4301 W THOMAS RD, PHOENIX, AZ"/>
        <s v="Bluebell Bazaar 2705194 :  12042 N 32ND ST, PHOENIX, AZ"/>
        <s v="Bluebell Bazaar 2705282 :  5060 E WARNER RD, PHOENIX, AZ"/>
        <s v="Bluebell Bazaar 2705283 :  3201 E CHANDLER BLVD, PHOENIX, AZ"/>
        <s v="Bluebell Bazaar 2705287 :  4801 E ELLIOT RD, PHOENIX, AZ"/>
        <s v="Bluebell Bazaar 2705295 :  29816 N TATUM BLVD, PHOENIX, AZ"/>
        <s v="Bluebell Bazaar 2705298 :  1250 E CHANDLER BLVD, PHOENIX, AZ"/>
        <s v="Bluebell Bazaar 2705303 :  26290 N TATUM BLVD, PHOENIX, AZ"/>
        <s v="Bluebell Bazaar 2705308 :  3435 W DEER VALLEY RD, PHOENIX, AZ"/>
        <s v="Bluebell Bazaar 2705325 :  20202 N 7TH AVE, PHOENIX, AZ"/>
        <s v="Bluebell Bazaar 2705405 :  2515 W GLENDALE AVE, PHOENIX, AZ"/>
        <s v="Bluebell Bazaar 2705407 :  4259 W MCDOWELL RD, PHOENIX, AZ"/>
        <s v="Bluebell Bazaar 2705408 :  4403 E VAN BUREN ST, PHOENIX, AZ"/>
        <s v="Bluebell Bazaar 2705409 :  8249 W INDIAN SCHOOL RD, PHOENIX, AZ"/>
        <s v="Bluebell Bazaar 2705545 :  18422 N TATUM BLVD, PHOENIX, AZ"/>
        <s v="Bluebell Bazaar 2705547 :  625 W BELL RD, PHOENIX, AZ"/>
        <s v="Bluebell Bazaar 2705549 :  4939 E RAY RD, PHOENIX, AZ"/>
        <s v="Bluebell Bazaar 2705578 :  9875 W CAMELBACK RD, PHOENIX, AZ"/>
        <s v="Bluebell Bazaar 2705795 :  6710 W BUCKEYE RD, PHOENIX, AZ"/>
        <s v="Bluebell Bazaar 2705954 :  4815 E CAREFREE HWY, PHOENIX, AZ"/>
        <s v="Bluebell Bazaar 2706358 :  8248 W THOMAS RD, PHOENIX, AZ"/>
        <s v="Bluebell Bazaar 2706359 :  309 E OSBORN RD, PHOENIX, AZ"/>
        <s v="Bluebell Bazaar 2706360 :  4410 E RAY RD, PHOENIX, AZ"/>
        <s v="Bluebell Bazaar 2706362 :  4950 E CHANDLER BLVD, PHOENIX, AZ"/>
        <s v="Bluebell Bazaar 2706458 :  1609 N 91ST AVE, PHOENIX, AZ"/>
        <s v="Bluebell Bazaar 2706640 :  620 E CAREFREE HWY, PHOENIX, AZ"/>
        <s v="Bluebell Bazaar 2706643 :  19830 N 7TH ST, PHOENIX, AZ"/>
        <s v="Bluebell Bazaar 2706644 :  1850 W UNION HILLS DR, PHOENIX, AZ"/>
        <s v="Bluebell Bazaar 2706647 :  3449 W GREENWAY RD, PHOENIX, AZ"/>
        <s v="Bluebell Bazaar 2706648 :  2311 W DEER VALLEY RD, PHOENIX, AZ"/>
        <s v="Bluebell Bazaar 2706654 :  15412 N 32ND ST, PHOENIX, AZ"/>
        <s v="Bluebell Bazaar 2706662 :  1146 N 35TH AVE, PHOENIX, AZ"/>
        <s v="Bluebell Bazaar 2708518 :  1901 W CACTUS, PHOENIX, AZ"/>
        <s v="Bluebell Bazaar 2708553 :  1605 E BELL RD, PHOENIX, AZ"/>
        <s v="Bluebell Bazaar 2708555 :  4005 E UNION HLS, PHOENIX, AZ"/>
        <s v="Bluebell Bazaar 2708556 :  2702 W DEER VALLEY RD, PHOENIX, AZ"/>
        <s v="Bluebell Bazaar 2708596 :  1602 E WASHINGTON, PHOENIX, AZ"/>
        <s v="Bluebell Bazaar 2708597 :  4849 N 83RD AVE, PHOENIX, AZ"/>
        <s v="Bluebell Bazaar 2708598 :  15410 N 40TH ST, PHOENIX, AZ"/>
        <s v="Bluebell Bazaar 2708599 :  1601 N 67TH AVE, PHOENIX, AZ"/>
        <s v="Bluebell Bazaar 2708600 :  13802 N 40TH ST, PHOENIX, AZ"/>
        <s v="Bluebell Bazaar 2708651 :  5849 N 35TH AVE, PHOENIX, AZ"/>
        <s v="Bluebell Bazaar 2708652 :  1502 W INDIAN SCHOOL RD, PHOENIX, AZ"/>
        <s v="Bluebell Bazaar 2708689 :  2708 W BUCKEYE RD, PHOENIX, AZ"/>
        <s v="Bluebell Bazaar 2708692 :  2524 W THUNDERBIRD, PHOENIX, AZ"/>
        <s v="Bluebell Bazaar 2708696 :  7424 W MCDOWELL RD, PHOENIX, AZ"/>
        <s v="Bluebell Bazaar 2708747 :  3196 E UNION HILLS DR, PHOENIX, AZ"/>
        <s v="Bluebell Bazaar 2708771 :  1601 E INDIAN SCHOOL RD, PHOENIX, AZ"/>
        <s v="Bluebell Bazaar 2708776 :  1544 E SOUTHERN AVE, PHOENIX, AZ"/>
        <s v="Bluebell Bazaar 2708827 :  5850 W INDIAN SCHOOL RD, PHOENIX, AZ"/>
        <s v="Bluebell Bazaar 2708829 :  2041 W VAN BUREN, PHOENIX, AZ"/>
        <s v="Bluebell Bazaar 2708833 :  6649 W THOMAS RD, PHOENIX, AZ"/>
        <s v="Bluebell Bazaar 2708841 :  966 E VAN BUREN, PHOENIX, AZ"/>
        <s v="Bluebell Bazaar 2708870 :  3501 W LOWER BUCKEYE RD, PHOENIX, AZ"/>
        <s v="Bluebell Bazaar 2708875 :  3402 N 16TH ST, PHOENIX, AZ"/>
        <s v="Bluebell Bazaar 2709151 :  13801 N TATUM, PHOENIX, AZ"/>
        <s v="Bluebell Bazaar 2709152 :  5105 E ELLIOT RD, PHOENIX, AZ"/>
        <s v="Bluebell Bazaar 2709154 :  10712 W INDIAN SCHOOL, PHOENIX, AZ"/>
        <s v="Bluebell Bazaar 2709164 :  4001 E CHANDLER BLVD, PHOENIX, AZ"/>
        <s v="Bluebell Bazaar 2709166 :  3441 W UNION HILLS DR, PHOENIX, AZ"/>
        <s v="Bluebell Bazaar 2709168 :  4801 E THOMAS RD, PHOENIX, AZ"/>
        <s v="Bluebell Bazaar 2709184 :  15262 N TATUM BLVD, PHOENIX, AZ"/>
        <s v="Bluebell Bazaar 2709190 :  4930 N 91ST AVE, PHOENIX, AZ"/>
        <s v="Bluebell Bazaar 2709193 :  3140 E BROADWAY RD, PHOENIX, AZ"/>
        <s v="Bluebell Bazaar 2709523 :  9418 N 7TH ST, PHOENIX, AZ"/>
        <s v="Bluebell Bazaar 2709541 :  2775 S 51ST AVE, PHOENIX, AZ"/>
        <s v="Bluebell Bazaar 2709556 :  5150 W LOWER BUCKEYE RD, PHOENIX, AZ"/>
        <s v="Bluebell Bazaar 2709580 :  2440 W BETHANY HOME RD, PHOENIX, AZ"/>
        <s v="Bluebell Bazaar 2741612 :  5850 W MCDOWELL RD, PHOENIX, AZ"/>
        <s v="Bluebell Bazaar 2741622 :  2350 E BASELINE RD, PHOENIX, AZ"/>
        <s v="Bluebell Bazaar 2741628 :  1111 N 67TH AVE, PHOENIX, AZ"/>
        <s v="Bluebell Bazaar 2741635 :  3980 E MCDOWELL RD, PHOENIX, AZ"/>
        <s v="Bluebell Bazaar 2741639 :  2575 W SONORAN DESERT DR, PHOENIX, AZ"/>
        <s v="Bluebell Bazaar 2741652 :  5049 W BUCKEYE, PHOENIX, AZ"/>
        <s v="Bluebell Bazaar 4 :  4252 S 48TH ST, PHOENIX, AZ"/>
        <s v="Mossy Hollow Market 12 :  18420 N 19TH AVE, PHOENIX, AZ"/>
        <s v="Mossy Hollow Market 121 :  4025 E THUNDERBIRD RD, PHOENIX, AZ"/>
        <s v="Mossy Hollow Market 126 :  6601 W INDIAN SCHOOL RD, PHOENIX, AZ"/>
        <s v="Mossy Hollow Market 127 :  4204 W CACTUS RD, PHOENIX, AZ"/>
        <s v="Mossy Hollow Market 128 :  744 W CAMELBACK RD, PHOENIX, AZ"/>
        <s v="Mossy Hollow Market 129 :  4724 N 20TH ST, PHOENIX, AZ"/>
        <s v="Mossy Hollow Market 135 :  4505 E THOMAS RD, PHOENIX, AZ"/>
        <s v="Mossy Hollow Market 2 :  3036 E THOMAS, PHOENIX, AZ"/>
        <s v="Mossy Hollow Market 27 :  3616 E RAY RD, PHOENIX, AZ"/>
        <s v="Mossy Hollow Market 40 :  3421 W THUNDERBIRD, PHOENIX, AZ"/>
        <s v="Mossy Hollow Market 46 :  520 E BASELINE, PHOENIX, AZ"/>
        <s v="Mossy Hollow Market 609 :  850 E HATCHER RD, PHOENIX, AZ"/>
        <s v="Mossy Hollow Market 612 :  4707 E SHEA BLVD, PHOENIX, AZ"/>
        <s v="Mossy Hollow Market 617 :  2727 W BELL RD, PHOENIX, AZ"/>
        <s v="Mossy Hollow Market 618 :  3246 E BELL RD, PHOENIX, AZ"/>
        <s v="Mossy Hollow Market 619 :  8325 W INDIAN SCHOOL RD, PHOENIX, AZ"/>
        <s v="Mossy Hollow Market 623 :  1815 W GLENDALE AVE, PHOENIX, AZ"/>
        <s v="Mossy Hollow Market 628 :  3949 E CHANDLER BLVD, PHOENIX, AZ"/>
        <s v="Mossy Hollow Market 641 :  3511 W PEORIA AVE, PHOENIX, AZ"/>
        <s v="Mossy Hollow Market 694 :  2800 W DOVE VLY, PHOENIX, AZ"/>
        <s v="Mossy Hollow Market 698 :  1311 E BELL RD, PHOENIX, AZ"/>
        <s v="Mossy Hollow Market 78 :  39508 N DAISY MOUNTAIN DR, PHOENIX, AZ"/>
        <s v="Mossy Hollow Market 79 :  2626 S 83RD AVE, PHOENIX, AZ"/>
        <s v="Mossy Hollow Market 81 :  2250 E BASELINE RD, PHOENIX, AZ"/>
        <s v="Mossy Hollow Market 88 :  100 E JEFFERSON ST, PHOENIX, AZ"/>
        <s v="Mossy Hollow Market 96 :  26300 N NORTERRA PKWY, PHOENIX, AZ"/>
        <s v="Copper Creek Goods 610 :  4230 W MCDOWELL RD, PHOENIX, AZ"/>
        <s v="Sunny Pebble Co. 802 :  2501 W HAPPY VALLEY RD, PHOENIX, AZ"/>
        <s v="Sunny Pebble Co. 804 :  21001 N TATUM BLVD STE 84, PHOENIX, AZ"/>
        <s v="Sunny Pebble Co. 808 :  12010 N TATUM BLVD, PHOENIX, AZ"/>
        <s v="Sunny Pebble Co. 809 :  1954 E HIGHLAND AVE, PHOENIX, AZ"/>
        <s v="Timberline Market 611 :  6700 W LATHAM ST, PHOENIX, AZ"/>
        <s v="Haven Hearth Goods 1201 :  4005 E CHANDLER BLVD, PHOENIX, AZ"/>
        <s v="Haven Hearth Goods 1515 :  810 E GLENDALE AVE, PHOENIX, AZ"/>
        <s v="Haven Hearth Goods 1591 :  6202 S 16TH ST, PHOENIX, AZ"/>
        <s v="Haven Hearth Goods 1654 :  4811 N 83RD AVE, PHOENIX, AZ"/>
        <s v="Haven Hearth Goods 174 :  520 W OSBORN RD, PHOENIX, AZ"/>
        <s v="Haven Hearth Goods 1979 :  13440 N 7TH ST, PHOENIX, AZ"/>
        <s v="Haven Hearth Goods 1980 :  1334 E CHANDLER BLVD, PHOENIX, AZ"/>
        <s v="Haven Hearth Goods 2042 :  3132 E CAMELBACK RD, PHOENIX, AZ"/>
        <s v="Haven Hearth Goods 2097 :  4747 E GREENWAY RD, PHOENIX, AZ"/>
        <s v="Haven Hearth Goods 240 :  3450 W BELL RD, PHOENIX, AZ"/>
        <s v="Haven Hearth Goods 2651 :  340 E MCDOWELL RD, PHOENIX, AZ"/>
        <s v="Haven Hearth Goods 2716 :  4750 E INDIAN SCHOOL RD, PHOENIX, AZ"/>
        <s v="Haven Hearth Goods 413 :  550 E BELL RD, PHOENIX, AZ"/>
        <s v="Haven Hearth Goods 752 :  4747 E ELLIOT RD, PHOENIX, AZ"/>
        <s v="Jellybean Junction 2236 :  16806 N 7TH ST, PHOENIX, AZ"/>
        <s v="Jellybean Junction 2354 :  5715 N 19TH AVE, PHOENIX, AZ"/>
        <s v="Bramble &amp; Co. 3261 :  1625 E CAMELBACK RD, PHOENIX, AZ"/>
        <s v="Foxtail Grocers 851 :  7409 W VIRGINIA AVE, PHOENIX, AZ"/>
        <s v="Maplewood Mercantile 1141 :  2727 W AGUA FRIA FWY, PHOENIX, AZ"/>
        <s v="Maplewood Mercantile 1360 :  21001 N TATUM BLVD STE 20, PHOENIX, AZ"/>
        <s v="Maplewood Mercantile 1905 :  2140 E BASELINE RD, PHOENIX, AZ"/>
        <s v="Maplewood Mercantile 233 :  12602 N PARADISE VLG, PHOENIX, AZ"/>
        <s v="Maplewood Mercantile 909 :  4734 E RAY RD, PHOENIX, AZ"/>
        <s v="Maplewood Mercantile 950 :  4515 E THOMAS RD, PHOENIX, AZ"/>
        <s v="Pebble &amp; Pine Pharmacy 10111 :  3434 W SOUTHERN AVE, PHOENIX, AZ"/>
        <s v="Pebble &amp; Pine Pharmacy 1272 :  5101 W INDIAN SCHOOL RD, PHOENIX, AZ"/>
        <s v="Pebble &amp; Pine Pharmacy 12739 :  15450 N TATUM BLVD, PHOENIX, AZ"/>
        <s v="Pebble &amp; Pine Pharmacy 13870 :  4875 E ELLIOT RD, PHOENIX, AZ"/>
        <s v="Pebble &amp; Pine Pharmacy 16082 :  10602 N 32ND ST, PHOENIX, AZ"/>
        <s v="Pebble &amp; Pine Pharmacy 2079 :  3131 E THUNDERBIRD RD, PHOENIX, AZ"/>
        <s v="Pebble &amp; Pine Pharmacy 2851 :  7000 N 16TH ST, PHOENIX, AZ"/>
        <s v="Pebble &amp; Pine Pharmacy 3087 :  5625 E THOMAS RD, PHOENIX, AZ"/>
        <s v="Pebble &amp; Pine Pharmacy 3132 :  2415 E UNION HILLS DR, PHOENIX, AZ"/>
        <s v="Pebble &amp; Pine Pharmacy 3191 :  10865 N TATUM BLVD, PHOENIX, AZ"/>
        <s v="Pebble &amp; Pine Pharmacy 3464 :  3402 N CENTRAL AVE, PHOENIX, AZ"/>
        <s v="Pebble &amp; Pine Pharmacy 3477 :  204 E BELL RD, PHOENIX, AZ"/>
        <s v="Pebble &amp; Pine Pharmacy 3593 :  2610 W THUNDERBIRD RD, PHOENIX, AZ"/>
        <s v="Pebble &amp; Pine Pharmacy 3769 :  1616 E THOMAS RD, PHOENIX, AZ"/>
        <s v="Pebble &amp; Pine Pharmacy 3789 :  3605 E THOMAS RD, PHOENIX, AZ"/>
        <s v="Pebble &amp; Pine Pharmacy 4046 :  3960 E CHANDLER BLVD, PHOENIX, AZ"/>
        <s v="Pebble &amp; Pine Pharmacy 4139 :  3450 W DUNLAP AVE, PHOENIX, AZ"/>
        <s v="Pebble &amp; Pine Pharmacy 4422 :  3945 E SOUTHERN AVE, PHOENIX, AZ"/>
        <s v="Pebble &amp; Pine Pharmacy 4508 :  3431 W UNION HILLS DR, PHOENIX, AZ"/>
        <s v="Pebble &amp; Pine Pharmacy 4722 :  4111 N 24TH ST, PHOENIX, AZ"/>
        <s v="Pebble &amp; Pine Pharmacy 4762 :  2435 E GREENWAY PKWY, PHOENIX, AZ"/>
        <s v="Pebble &amp; Pine Pharmacy 4909 :  2921 N 83RD AVE, PHOENIX, AZ"/>
        <s v="Pebble &amp; Pine Pharmacy 4951 :  4006 E BELL RD, PHOENIX, AZ"/>
        <s v="Pebble &amp; Pine Pharmacy 5504 :  4249 W GLENDALE AVE, PHOENIX, AZ"/>
        <s v="Pebble &amp; Pine Pharmacy 5505 :  3502 W CAMELBACK RD, PHOENIX, AZ"/>
        <s v="Pebble &amp; Pine Pharmacy 5569 :  1315 E CHANDLER BLVD, PHOENIX, AZ"/>
        <s v="Pebble &amp; Pine Pharmacy 5668 :  8301 W CAMELBACK RD, PHOENIX, AZ"/>
        <s v="Pebble &amp; Pine Pharmacy 5893 :  705 E MCDOWELL RD, PHOENIX, AZ"/>
        <s v="Pebble &amp; Pine Pharmacy 5937 :  4315 W MCDOWELL RD, PHOENIX, AZ"/>
        <s v="Pebble &amp; Pine Pharmacy 5938 :  4134 N 44TH ST, PHOENIX, AZ"/>
        <s v="Pebble &amp; Pine Pharmacy 6021 :  1620 N 59TH AVE, PHOENIX, AZ"/>
        <s v="Pebble &amp; Pine Pharmacy 6063 :  1825 W BETHANY HOME RD, PHOENIX, AZ"/>
        <s v="Pebble &amp; Pine Pharmacy 6095 :  9045 W INDIAN SCHOOL RD, PHOENIX, AZ"/>
        <s v="Pebble &amp; Pine Pharmacy 6400 :  8030 N 19TH AVE, PHOENIX, AZ"/>
        <s v="Pebble &amp; Pine Pharmacy 6527 :  710 E CAMELBACK RD, PHOENIX, AZ"/>
        <s v="Pebble &amp; Pine Pharmacy 6535 :  2420 E BASELINE RD, PHOENIX, AZ"/>
        <s v="Pebble &amp; Pine Pharmacy 6599 :  13227 N 7TH ST, PHOENIX, AZ"/>
        <s v="Pebble &amp; Pine Pharmacy 6697 :  7606 S 7TH ST, PHOENIX, AZ"/>
        <s v="Pebble &amp; Pine Pharmacy 6872 :  2930 N 67TH AVE, PHOENIX, AZ"/>
        <s v="Pebble &amp; Pine Pharmacy 7018 :  6838 N 7TH ST, PHOENIX, AZ"/>
        <s v="Pebble &amp; Pine Pharmacy 7375 :  1840 W SOUTHERN AVE, PHOENIX, AZ"/>
        <s v="Pebble &amp; Pine Pharmacy 7663 :  8280 W LOWER BUCKEYE RD, PHOENIX, AZ"/>
        <s v="Pebble &amp; Pine Pharmacy 809 :  8911 N 7TH ST, PHOENIX, AZ"/>
        <s v="Pebble &amp; Pine Pharmacy 9057 :  18433 N 19TH AVE, PHOENIX, AZ"/>
        <s v="Pebble &amp; Pine Pharmacy 9261 :  4710 E ROSE GARDEN LN, PHOENIX, AZ"/>
        <s v="Pebble &amp; Pine Pharmacy 9472 :  2707 W CAREFREE HWY, PHOENIX, AZ"/>
        <s v="Iron Pine Outpost 46 :  23760 S POWER RD, QUEEN CREEK, AZ"/>
        <s v="Bluebell Bazaar 2705285 :  23447 S POWER RD, QUEEN CREEK, AZ"/>
        <s v="Bluebell Bazaar 2705918 :  320 HUNT HWY, QUEEN CREEK, AZ"/>
        <s v="Bluebell Bazaar 2708593 :  21895 S ELLSWORTH RD, QUEEN CREEK, AZ"/>
        <s v="Bluebell Bazaar 2709549 :  18501 E RIGGS RD, QUEEN CREEK, AZ"/>
        <s v="Bluebell Bazaar 2709560 :  23024 E RIGGS RD, QUEEN CREEK, AZ"/>
        <s v="Bluebell Bazaar 2741610 :  35850 N GARY RD, QUEEN CREEK, AZ"/>
        <s v="Mossy Hollow Market 656 :  22265 E QUEEN CREEK RD, QUEEN CREEK, AZ"/>
        <s v="Mossy Hollow Market 693 :  25105 S ELLSWORTH RD, QUEEN CREEK, AZ"/>
        <s v="Haven Hearth Goods 1819 :  18495 E QUEEN CREEK RD, QUEEN CREEK, AZ"/>
        <s v="Jellybean Junction 2365 :  21398 S ELLSWORTH LOOP RD, QUEEN CREEK, AZ"/>
        <s v="Pebble &amp; Pine Pharmacy 11116 :  21212 E OCOTILLO RD, QUEEN CREEK, AZ"/>
        <s v="Pebble &amp; Pine Pharmacy 9840 :  3111 W HUNT HWY, QUEEN CREEK, AZ"/>
        <s v="Bluebell Bazaar 2703388 :  4295 W HUNT HWY, SAN TAN VALLEY, AZ"/>
        <s v="Mr Fantastic's Emporium 25845 :  8402 E MCDOWELL RD, SCOTTSDALE, AZ"/>
        <s v="Mr Fantastic's Emporium 26411 :  8410 E MCDONALD, SCOTTSDALE, AZ"/>
        <s v="Snap &amp; Go 118 :  15031 N THOMPSON PEAK PKWY, SCOTTSDALE, AZ"/>
        <s v="Snap &amp; Go 173 :  18271 N PIMA RD, SCOTTSDALE, AZ"/>
        <s v="Snap &amp; Go 63 :  7141 E LINCOLN DR, SCOTTSDALE, AZ"/>
        <s v="Snap &amp; Go 75 :  23251 N PIMA RD, SCOTTSDALE, AZ"/>
        <s v="Snap &amp; Go 90 :  31311 N SCOTTSDALE RD, SCOTTSDALE, AZ"/>
        <s v="Driftwood Market 197 :  11475 E VIA LINDA, SCOTTSDALE, AZ"/>
        <s v="Driftwood Market 2955 :  2785 N SCOTTSDALE RD, SCOTTSDALE, AZ"/>
        <s v="Driftwood Market 966 :  6965 N HAYDEN RD, SCOTTSDALE, AZ"/>
        <s v="Iron Pine Outpost 16 :  8423 E MCDONALD DR, SCOTTSDALE, AZ"/>
        <s v="Iron Pine Outpost 7 :  8035 E INDIAN SCHOOL RD, SCOTTSDALE, AZ"/>
        <s v="Iron Pine Outpost 99 :  10111 E BELL RD, SCOTTSDALE, AZ"/>
        <s v="Bluebell Bazaar 2700079 :  3050 N 68TH ST, SCOTTSDALE, AZ"/>
        <s v="Bluebell Bazaar 2700127 :  4440 N MILLER RD, SCOTTSDALE, AZ"/>
        <s v="Bluebell Bazaar 2700248 :  6901 E INDIAN SCHOOL RD, SCOTTSDALE, AZ"/>
        <s v="Bluebell Bazaar 2701613 :  8001 E THOMAS RD, SCOTTSDALE, AZ"/>
        <s v="Bluebell Bazaar 2701728 :  6744 E MCDOWELL RD, SCOTTSDALE, AZ"/>
        <s v="Bluebell Bazaar 2701797 :  7602 E MCKELLIPS, SCOTTSDALE, AZ"/>
        <s v="Bluebell Bazaar 2703745 :  3410 N HAYDEN RD, SCOTTSDALE, AZ"/>
        <s v="Bluebell Bazaar 2705027 :  7140 E SHEA BLVD, SCOTTSDALE, AZ"/>
        <s v="Bluebell Bazaar 2705296 :  13880 N FRANK LLOYD WRIGHT, SCOTTSDALE, AZ"/>
        <s v="Bluebell Bazaar 2705410 :  8890 E SHEA BLVD, SCOTTSDALE, AZ"/>
        <s v="Bluebell Bazaar 2705915 :  20721 N SCOTTSDALE RD, SCOTTSDALE, AZ"/>
        <s v="Bluebell Bazaar 2706347 :  8202 E MCDOWELL RD, SCOTTSDALE, AZ"/>
        <s v="Bluebell Bazaar 2706652 :  10989 E DYNAMITE BLVD, SCOTTSDALE, AZ"/>
        <s v="Bluebell Bazaar 2708557 :  8001 E MCDOWELL RD, SCOTTSDALE, AZ"/>
        <s v="Bluebell Bazaar 2709167 :  9709 N HAYDEN RD, SCOTTSDALE, AZ"/>
        <s v="Bluebell Bazaar 2709169 :  4101 N HAYDEN RD, SCOTTSDALE, AZ"/>
        <s v="Bluebell Bazaar 2709170 :  10200 N SCOTTSDALE RD, SCOTTSDALE, AZ"/>
        <s v="Bluebell Bazaar 2709174 :  10050 E MOUNTAIN VIEW RD, SCOTTSDALE, AZ"/>
        <s v="Bluebell Bazaar 2709529 :  5601 E BELL RD, SCOTTSDALE, AZ"/>
        <s v="Bluebell Bazaar 2741711 :  2865 N SCOTTSDALE RD, SCOTTSDALE, AZ"/>
        <s v="Mossy Hollow Market 120 :  6321 E GREENWAY, SCOTTSDALE, AZ"/>
        <s v="Mossy Hollow Market 125 :  10450 N 90TH ST, SCOTTSDALE, AZ"/>
        <s v="Mossy Hollow Market 25 :  7628 A E INDIAN SCHOOL RD, SCOTTSDALE, AZ"/>
        <s v="Mossy Hollow Market 5 :  7770 E MCDOWELL, SCOTTSDALE, AZ"/>
        <s v="Mossy Hollow Market 54 :  4842 E BELL RD, SCOTTSDALE, AZ"/>
        <s v="Mossy Hollow Market 621 :  8900 E VIA LINDA, SCOTTSDALE, AZ"/>
        <s v="Mossy Hollow Market 673 :  20427 N HAYDEN RD, SCOTTSDALE, AZ"/>
        <s v="Sunny Pebble Co. 805 :  16610 N SCOTTSDALE RD, SCOTTSDALE, AZ"/>
        <s v="Sunny Pebble Co. 806 :  15515 N SCOTTSDALE RD, SCOTTSDALE, AZ"/>
        <s v="Sunny Pebble Co. 807 :  14717 N NORTHSIGHT BLVD, SCOTTSDALE, AZ"/>
        <s v="Haven Hearth Goods 1253 :  23565 N SCOTTSDALE RD, SCOTTSDALE, AZ"/>
        <s v="Haven Hearth Goods 1491 :  7920 E CHAPARRAL RD, SCOTTSDALE, AZ"/>
        <s v="Haven Hearth Goods 1549 :  14696 N FRANK LLOYD WRIGHT B, SCOTTSDALE, AZ"/>
        <s v="Haven Hearth Goods 1663 :  20901 N PIMA RD, SCOTTSDALE, AZ"/>
        <s v="Haven Hearth Goods 1750 :  6501 E GREENWAY PKWY BLDG 4, SCOTTSDALE, AZ"/>
        <s v="Haven Hearth Goods 1849 :  32551 N SCOTTSDALE RD, SCOTTSDALE, AZ"/>
        <s v="Haven Hearth Goods 2032 :  10773 N SCOTTSDALE RD, SCOTTSDALE, AZ"/>
        <s v="Maplewood Mercantile 1327 :  32351 N SCOTTSDALE RD, SCOTTSDALE, AZ"/>
        <s v="Maplewood Mercantile 363 :  9000 E TALKING STICK WAY, SCOTTSDALE, AZ"/>
        <s v="Maplewood Mercantile 936 :  15444 N FRANK LLOYD WRIGHT, SCOTTSDALE, AZ"/>
        <s v="Pebble &amp; Pine Pharmacy 13758 :  6200 N SCOTTSDALE RD, SCOTTSDALE, AZ"/>
        <s v="Pebble &amp; Pine Pharmacy 1950 :  10135 E VIA LINDA, SCOTTSDALE, AZ"/>
        <s v="Pebble &amp; Pine Pharmacy 2599 :  7337 N VIA PASEO DEL SUR, SCOTTSDALE, AZ"/>
        <s v="Pebble &amp; Pine Pharmacy 3163 :  3420 N SCOTTSDALE RD, SCOTTSDALE, AZ"/>
        <s v="Pebble &amp; Pine Pharmacy 3177 :  7011 E SHEA BLVD, SCOTTSDALE, AZ"/>
        <s v="Pebble &amp; Pine Pharmacy 3602 :  8816 E PINNACLE PEAK RD, SCOTTSDALE, AZ"/>
        <s v="Pebble &amp; Pine Pharmacy 3766 :  34402 N SCOTTSDALE RD, SCOTTSDALE, AZ"/>
        <s v="Pebble &amp; Pine Pharmacy 4138 :  7923 E MCDOWELL RD, SCOTTSDALE, AZ"/>
        <s v="Pebble &amp; Pine Pharmacy 4506 :  8015 E INDIAN SCHOOL RD, SCOTTSDALE, AZ"/>
        <s v="Pebble &amp; Pine Pharmacy 4507 :  15025 N THOMPSON PEAK PKWY, SCOTTSDALE, AZ"/>
        <s v="Pebble &amp; Pine Pharmacy 5453 :  6501 E GREENWAY PKWY, SCOTTSDALE, AZ"/>
        <s v="Pebble &amp; Pine Pharmacy 5890 :  11250 E VIA LINDA, SCOTTSDALE, AZ"/>
        <s v="Pebble &amp; Pine Pharmacy 6534 :  20631 N SCOTTSDALE RD, SCOTTSDALE, AZ"/>
        <s v="Pebble &amp; Pine Pharmacy 6729 :  10929 E DYNAMITE BLVD, SCOTTSDALE, AZ"/>
        <s v="Pebble &amp; Pine Pharmacy 9262 :  8469 E MCDONALD DR, SCOTTSDALE, AZ"/>
        <s v="Cloudline Provisions 82718 :  10303 W GRAND AVE, SUN CITY, AZ"/>
        <s v="Bluebell Bazaar 2709165 :  9848 W BELL RD, SUN CITY, AZ"/>
        <s v="Mossy Hollow Market 122 :  10660 NW GRAND AVE, SUN CITY, AZ"/>
        <s v="Haven Hearth Goods 236 :  10926 W BELL RD, SUN CITY, AZ"/>
        <s v="Pebble &amp; Pine Pharmacy 5568 :  10707 W PEORIA AVE, SUN CITY, AZ"/>
        <s v="Pebble &amp; Pine Pharmacy 813 :  15442 N 99TH AVE, SUN CITY, AZ"/>
        <s v="Iron Pine Outpost 128 :  13940 W MEEKER BLVD, SUN CITY WEST, AZ"/>
        <s v="Mossy Hollow Market 86 :  19403 N RH JOHNSON BLVD, SUN CITY WEST, AZ"/>
        <s v="Haven Hearth Goods 2054 :  13503 CM DEL SOL, SUN CITY WEST, AZ"/>
        <s v="Pebble &amp; Pine Pharmacy 6128 :  19003 N R H JOHNSON BLVD, SUN CITY WEST, AZ"/>
        <s v="Iron Pine Outpost 43 :  10325 E RIGGS RD, SUN LAKES, AZ"/>
        <s v="Pebble &amp; Pine Pharmacy 3669 :  10324 E RIGGS RD, SUN LAKES, AZ"/>
        <s v="Mr Fantastic's Emporium 42300 :  13130 W BELL RD, SURPRISE, AZ"/>
        <s v="Driftwood Market 977 :  14551 W GRAND AVE, SURPRISE, AZ"/>
        <s v="Iron Pine Outpost 137 :  15367 W WADDELL RD, SURPRISE, AZ"/>
        <s v="Bluebell Bazaar 2701184 :  12707 W GRAND AVE, SURPRISE, AZ"/>
        <s v="Bluebell Bazaar 2703395 :  16247 W BELL RD, SURPRISE, AZ"/>
        <s v="Bluebell Bazaar 2706285 :  11339 W BELL RD, SURPRISE, AZ"/>
        <s v="Bluebell Bazaar 2709576 :  16934 W WADDELL RD, SURPRISE, AZ"/>
        <s v="Bluebell Bazaar 2741641 :  13908 W BELL RD, SURPRISE, AZ"/>
        <s v="Bluebell Bazaar 2741712 :  14559 W GRAND AVE, SURPRISE, AZ"/>
        <s v="Bluebell Bazaar 2741713 :  16794 W BELL RD, SURPRISE, AZ"/>
        <s v="Mossy Hollow Market 61 :  15510 W BELL RD, SURPRISE, AZ"/>
        <s v="Mossy Hollow Market 674 :  13982 W WADDELL RD, SURPRISE, AZ"/>
        <s v="Mossy Hollow Market 678 :  16400 N PAT TILLMAN BLVD, SURPRISE, AZ"/>
        <s v="Mossy Hollow Market 680 :  15215 N COTTON LN, SURPRISE, AZ"/>
        <s v="Haven Hearth Goods 1997 :  17049 W BELL RD, SURPRISE, AZ"/>
        <s v="Haven Hearth Goods 2699 :  13828 W WADDELL RD, SURPRISE, AZ"/>
        <s v="Haven Hearth Goods 48 :  17230 W PEORIA AVE, SURPRISE, AZ"/>
        <s v="Maplewood Mercantile 1335 :  13731 W BELL RD, SURPRISE, AZ"/>
        <s v="Maplewood Mercantile 2915 :  14101 N PRASADA PKWY, SURPRISE, AZ"/>
        <s v="Pebble &amp; Pine Pharmacy 12087 :  13723 N LITCHFIELD RD, SURPRISE, AZ"/>
        <s v="Pebble &amp; Pine Pharmacy 4620 :  15490 W BELL RD, SURPRISE, AZ"/>
        <s v="Pebble &amp; Pine Pharmacy 4791 :  14285 W GRAND AVE, SURPRISE, AZ"/>
        <s v="Pebble &amp; Pine Pharmacy 6806 :  17088 W BELL RD, SURPRISE, AZ"/>
        <s v="Pebble &amp; Pine Pharmacy 7933 :  15514 W WADDELL RD, SURPRISE, AZ"/>
        <s v="Mr Fantastic's Emporium 13017 :  1006 S MCCLINTOCK DR, TEMPE, AZ"/>
        <s v="Mr Fantastic's Emporium 26096 :  5125 S MILL AVE, TEMPE, AZ"/>
        <s v="Mr Fantastic's Emporium 32265 :  485 W WARNER RD, TEMPE, AZ"/>
        <s v="Cloudline Provisions 82527 :  980 W UNIVERSITY DR, TEMPE, AZ"/>
        <s v="Iron Pine Outpost 48 :  1761 E WARNER RD, TEMPE, AZ"/>
        <s v="Rusty Cart Grocers 157 :  725 W BASELINE RD, TEMPE, AZ"/>
        <s v="Rusty Cart Grocers 41 :  1845 N SCOTTSDALE RD, TEMPE, AZ"/>
        <s v="Bluebell Bazaar 2700787 :  939 W BASELINE RD, TEMPE, AZ"/>
        <s v="Bluebell Bazaar 2701346 :  1330 W UNIVERSITY DR, TEMPE, AZ"/>
        <s v="Bluebell Bazaar 2701502 :  1323 W SOUTHERN AVE, TEMPE, AZ"/>
        <s v="Bluebell Bazaar 2701503 :  905 E GUADALUPE RD, TEMPE, AZ"/>
        <s v="Bluebell Bazaar 2701572 :  904 W BROADWAY RD, TEMPE, AZ"/>
        <s v="Bluebell Bazaar 2701621 :  1406 W BROADWAY RD, TEMPE, AZ"/>
        <s v="Bluebell Bazaar 2701636 :  15 W SOUTHERN AVE, TEMPE, AZ"/>
        <s v="Bluebell Bazaar 2702844 :  119 W UNIVERSITY DR, TEMPE, AZ"/>
        <s v="Bluebell Bazaar 2703379 :  507 W BROADWAY RD, TEMPE, AZ"/>
        <s v="Bluebell Bazaar 2703398 :  5240 S RURAL RD, TEMPE, AZ"/>
        <s v="Bluebell Bazaar 2703747 :  2730 N SCOTTSDALE RD, TEMPE, AZ"/>
        <s v="Bluebell Bazaar 2705290 :  1501 W WARNER RD, TEMPE, AZ"/>
        <s v="Bluebell Bazaar 2705300 :  7530 S PRIEST DR, TEMPE, AZ"/>
        <s v="Bluebell Bazaar 2706348 :  995 W ELLIOT RD, TEMPE, AZ"/>
        <s v="Bluebell Bazaar 2706460 :  2174 E UNIVERSITY DR, TEMPE, AZ"/>
        <s v="Bluebell Bazaar 2706663 :  6349 S MCCLINTOCK DR, TEMPE, AZ"/>
        <s v="Bluebell Bazaar 2708591 :  505 W GUADALUPE RD, TEMPE, AZ"/>
        <s v="Bluebell Bazaar 2708592 :  2196 E APACHE BLVD, TEMPE, AZ"/>
        <s v="Bluebell Bazaar 2708774 :  1802 E UNIVERSITY DR, TEMPE, AZ"/>
        <s v="Bluebell Bazaar 2709172 :  1435 W BASELINE RD, TEMPE, AZ"/>
        <s v="Bluebell Bazaar 2709537 :  1900 N SCOTTSDALE RD, TEMPE, AZ"/>
        <s v="Bluebell Bazaar 2741653 :  7550 S RURAL RD, TEMPE, AZ"/>
        <s v="Mossy Hollow Market 101 :  3232 E MILL AVE, TEMPE, AZ"/>
        <s v="Mossy Hollow Market 124 :  3255 S RURAL RD, TEMPE, AZ"/>
        <s v="Mossy Hollow Market 22 :  1835 E GUADALUPE, TEMPE, AZ"/>
        <s v="Mossy Hollow Market 43 :  2700 W BASELINE, TEMPE, AZ"/>
        <s v="Mossy Hollow Market 607 :  5100 S MCCLINTOCK DRI, TEMPE, AZ"/>
        <s v="Mossy Hollow Market 627 :  9900 S RURAL RD, TEMPE, AZ"/>
        <s v="Sunny Pebble Co. 810 :  2096 E RIO SALADO PKWY, TEMPE, AZ"/>
        <s v="Haven Hearth Goods 1487 :  926 E BROADWAY RD, TEMPE, AZ"/>
        <s v="Haven Hearth Goods 1535 :  1515 E ELLIOT RD, TEMPE, AZ"/>
        <s v="Maplewood Mercantile 2176 :  1800 E RIO SALADO PKWY, TEMPE, AZ"/>
        <s v="Maplewood Mercantile 319 :  1818 E BASELINE RD, TEMPE, AZ"/>
        <s v="Pebble &amp; Pine Pharmacy 11610 :  2000 S MILL AVE, TEMPE, AZ"/>
        <s v="Pebble &amp; Pine Pharmacy 1197 :  1745 E SOUTHERN AVE, TEMPE, AZ"/>
        <s v="Pebble &amp; Pine Pharmacy 2398 :  925 W BASELINE RD, TEMPE, AZ"/>
        <s v="Pebble &amp; Pine Pharmacy 3768 :  6404 S MCCLINTOCK DR, TEMPE, AZ"/>
        <s v="Pebble &amp; Pine Pharmacy 4376 :  1825 E WARNER RD, TEMPE, AZ"/>
        <s v="Bluebell Bazaar 2701130 :  11450 W SOUTHERN, TOLLESON, AZ"/>
        <s v="Bluebell Bazaar 2705189 :  298 N 83RD AVE, TOLLESON, AZ"/>
        <s v="Bluebell Bazaar 2708558 :  8303 W MCDOWELL RD, TOLLESON, AZ"/>
        <s v="Bluebell Bazaar 2708872 :  9110 W VAN BUREN, TOLLESON, AZ"/>
        <s v="Bluebell Bazaar 2741675 :  1025 N 99TH, TOLLESON, AZ"/>
        <s v="Crimson Ridge Depot 659 :  8313 ROOSEVELT ST, TOLLESON, AZ"/>
        <s v="Maplewood Mercantile 2149 :  9830 W LOWER BUCKEYE RD, TOLLESON, AZ"/>
        <s v="Timberline Market 1180 :  41112 W INDIAN SCHOOL RD, TONOPAH, AZ"/>
        <s v="Iron Pine Outpost 55 :  275 N TEGNER # 17, WICKENBURG, AZ"/>
        <s v="Bluebell Bazaar 2701286 :  104 E WICKENBURG WAY, WICKENBURG, AZ"/>
        <s v="Haven Hearth Goods 1584 :  1999 W WICKENBURG WAY, WICKENBURG, AZ"/>
        <s v="Mr Fantastic's Emporium 17596 :  10722 E ALAMEDA, AURORA, CO"/>
        <s v="Mr Fantastic's Emporium 21494 :  3005 S PEORIA, AURORA, CO"/>
        <s v="Mr Fantastic's Emporium 23154 :  13790 E QUINCY, AURORA, CO"/>
        <s v="Mr Fantastic's Emporium 25718 :  2220 S PEORIA, AURORA, CO"/>
        <s v="Mr Fantastic's Emporium 25740 :  18883 E HAMPDEN, AURORA, CO"/>
        <s v="Mr Fantastic's Emporium 26574 :  13190 E MISSISSIPPI AVE, AURORA, CO"/>
        <s v="Mr Fantastic's Emporium 26682 :  14593 E MISSISSIPPI, AURORA, CO"/>
        <s v="Mr Fantastic's Emporium 27213 :  16601 E SMOKEY HL, AURORA, CO"/>
        <s v="Mr Fantastic's Emporium 33044 :  14250 E ILIFF AVE, AURORA, CO"/>
        <s v="Mr Fantastic's Emporium 34131 :  19390 E QUINCY AVE, AURORA, CO"/>
        <s v="Mr Fantastic's Emporium 34181 :  21405 E QUINCY, AURORA, CO"/>
        <s v="Mr Fantastic's Emporium 34441 :  13697 E ILIFF AVE, AURORA, CO"/>
        <s v="Mr Fantastic's Emporium 34675 :  1910 S HAVANA ST, AURORA, CO"/>
        <s v="Mr Fantastic's Emporium 36956 :  18351 E COLFAX AVE, AURORA, CO"/>
        <s v="Mr Fantastic's Emporium 37198 :  2093 S CATHAY WAY, AURORA, CO"/>
        <s v="Mr Fantastic's Emporium 39528 :  16310 E QUINCY AVE, AURORA, CO"/>
        <s v="Mr Fantastic's Emporium 39622 :  15296 E HAMPDEN AVE, AURORA, CO"/>
        <s v="Mr Fantastic's Emporium 39729 :  2299 S HAVANA ST, AURORA, CO"/>
        <s v="Mr Fantastic's Emporium 39732 :  13690 E ALAMEDA, AURORA, CO"/>
        <s v="Mr Fantastic's Emporium 39768 :  12085 E COLFAX AVE, AURORA, CO"/>
        <s v="Mr Fantastic's Emporium 42018 :  200 N GUN CLUB RD, AURORA, CO"/>
        <s v="Bluebell Bazaar 2709852 :  15291 E HAMPDEN AVE, AURORA, CO"/>
        <s v="Bluebell Bazaar 2709853 :  15593 E ILIFF AVE, AURORA, CO"/>
        <s v="Bluebell Bazaar 2709864 :  298 S POTOMAC ST, AURORA, CO"/>
        <s v="Bluebell Bazaar 2709872 :  4200 S PARKER RD, AURORA, CO"/>
        <s v="Bluebell Bazaar 2740696 :  2190 S PEORIA ST, AURORA, CO"/>
        <s v="Bluebell Bazaar 2741128 :  2601 S TOWER RD, AURORA, CO"/>
        <s v="Bluebell Bazaar 2741136 :  2121 S CHAMBERS RD, AURORA, CO"/>
        <s v="Bluebell Bazaar 2741140 :  291 S SABLE BLVD, AURORA, CO"/>
        <s v="Bluebell Bazaar 2744052 :  3504 S TOWER RD, AURORA, CO"/>
        <s v="Wildroot Foods 10 :  15250 E MISSISSIPPI, AURORA, CO"/>
        <s v="Wildroot Foods 128 :  18211 E HAMPDEN AVE, AURORA, CO"/>
        <s v="Wildroot Foods 139 :  3050 S PEORIA ST, AURORA, CO"/>
        <s v="Wildroot Foods 30 :  1155 S HAVANA, AURORA, CO"/>
        <s v="Wildroot Foods 49 :  17000 E ILIFF, AURORA, CO"/>
        <s v="Wildroot Foods 69 :  4271 S BUCKLEY RD, AURORA, CO"/>
        <s v="Rocket Barrel 8923 :  21500 E QUINCY AVE, AURORA, CO"/>
        <s v="Haven Hearth Goods 137 :  12200 E MISSISSIPPI AVE, AURORA, CO"/>
        <s v="Haven Hearth Goods 1928 :  18730 E HAMPDEN AVE, AURORA, CO"/>
        <s v="Haven Hearth Goods 2612 :  1677 S HAVANA, AURORA, CO"/>
        <s v="Jellybean Junction 1471 :  14200 E ELLSWORTH AVE, AURORA, CO"/>
        <s v="Maplewood Mercantile 1413 :  1400 S HAVANA ST, AURORA, CO"/>
        <s v="Maplewood Mercantile 256 :  16910 E QUINCY AVE, AURORA, CO"/>
        <s v="Pebble &amp; Pine Pharmacy 10175 :  12011 E ILIFF AVE, AURORA, CO"/>
        <s v="Pebble &amp; Pine Pharmacy 12024 :  15320 E HAMPDEN AVE, AURORA, CO"/>
        <s v="Pebble &amp; Pine Pharmacy 4307 :  12051 E MISSISSIPPI AVE, AURORA, CO"/>
        <s v="Pebble &amp; Pine Pharmacy 4470 :  20051 E SMOKY HILL RD, AURORA, CO"/>
        <s v="Pebble &amp; Pine Pharmacy 4610 :  18461 E HAMPDEN AVE, AURORA, CO"/>
        <s v="Pebble &amp; Pine Pharmacy 6513 :  15301 E ILIFF AVE, AURORA, CO"/>
        <s v="Pebble &amp; Pine Pharmacy 6986 :  10601 E ALAMEDA AVE, AURORA, CO"/>
        <s v="Pebble &amp; Pine Pharmacy 7021 :  18620 E ILIFF AVE, AURORA, CO"/>
        <s v="Mr Fantastic's Emporium 39591 :  9355 E DRY CREEK RD, CENTENNIAL, CO"/>
        <s v="Bluebell Bazaar 2709845 :  10553 E BRIARWOOD AVE, CENTENNIAL, CO"/>
        <s v="Bluebell Bazaar 2709878 :  7425 E ARAPAHOE RD, CENTENNIAL, CO"/>
        <s v="Bluebell Bazaar 2709879 :  7550 S UNIVERSITY BLVD, CENTENNIAL, CO"/>
        <s v="Bluebell Bazaar 2741109 :  6857 S BROADWAY, CENTENNIAL, CO"/>
        <s v="Bluebell Bazaar 2741166 :  18565 E SMOKY HILL RD, CENTENNIAL, CO"/>
        <s v="Bluebell Bazaar 2744127 :  5171 E ARAPAHOE RD, CENTENNIAL, CO"/>
        <s v="Wildroot Foods 16 :  19711 E SMOKY HILL RD, CENTENNIAL, CO"/>
        <s v="Wildroot Foods 38 :  5050 E ARAPAHOE RD, CENTENNIAL, CO"/>
        <s v="Wildroot Foods 47 :  7575 S UNIVERSITY, CENTENNIAL, CO"/>
        <s v="Wildroot Foods 63 :  8200 S HOLLY, CENTENNIAL, CO"/>
        <s v="Rocket Barrel 8769 :  11005 E BRIARWOOD AVE, CENTENNIAL, CO"/>
        <s v="Haven Hearth Goods 8 :  7375 ARAPAHOE RD, CENTENNIAL, CO"/>
        <s v="Pebble &amp; Pine Pharmacy 10455 :  2281 E ARAPAHOE RD, CENTENNIAL, CO"/>
        <s v="Pebble &amp; Pine Pharmacy 10704 :  8959 E DRY CREEK RD, CENTENNIAL, CO"/>
        <s v="Pebble &amp; Pine Pharmacy 13148 :  16950 E SMOKY HILL RD, CENTENNIAL, CO"/>
        <s v="Mr Fantastic's Emporium 13196 :  1277 E HAMPDEN, ENGLEWOOD, CO"/>
        <s v="Mr Fantastic's Emporium 13206 :  3900 S BROADWAY, ENGLEWOOD, CO"/>
        <s v="Mr Fantastic's Emporium 22533 :  4601 S BROADWAY, ENGLEWOOD, CO"/>
        <s v="Mr Fantastic's Emporium 29508 :  3131 S BROADWAY, ENGLEWOOD, CO"/>
        <s v="Mr Fantastic's Emporium 34057 :  11802 E OSWEGO ST, ENGLEWOOD, CO"/>
        <s v="Mr Fantastic's Emporium 35604 :  3391 W HAMPDEN AVE, ENGLEWOOD, CO"/>
        <s v="Mr Fantastic's Emporium 39034 :  4601 S SANTA FE, ENGLEWOOD, CO"/>
        <s v="Mr Fantastic's Emporium 39532 :  15550 E BRONCOS PKWY, ENGLEWOOD, CO"/>
        <s v="Bluebell Bazaar 2709876 :  5095 S FEDERAL BLVD, ENGLEWOOD, CO"/>
        <s v="Bluebell Bazaar 2709898 :  2200 W EVANS, ENGLEWOOD, CO"/>
        <s v="Bluebell Bazaar 2740691 :  2010 W EVANS AVE, ENGLEWOOD, CO"/>
        <s v="Bluebell Bazaar 2744098 :  4596 S BROADWAY, ENGLEWOOD, CO"/>
        <s v="Bluebell Bazaar 2744100 :  8263 S QUEBEC ST, ENGLEWOOD, CO"/>
        <s v="Penny’s Pantry 750803 :  490 W HAMPDEN AVE, ENGLEWOOD, CO"/>
        <s v="Wildroot Foods 109 :  5050 S FEDERAL BLVD, ENGLEWOOD, CO"/>
        <s v="Wildroot Foods 111 :  3495 S UNIVERSITY BLVD, ENGLEWOOD, CO"/>
        <s v="Wildroot Foods 65 :  101 ENGLEWOOD PKWY, ENGLEWOOD, CO"/>
        <s v="Haven Hearth Goods 17 :  201 E JEFFERSON AVE, ENGLEWOOD, CO"/>
        <s v="Pebble &amp; Pine Pharmacy 12423 :  123 E BELLEVIEW AVE, ENGLEWOOD, CO"/>
        <s v="Pebble &amp; Pine Pharmacy 3091 :  8151 S QUEBEC ST, ENGLEWOOD, CO"/>
        <s v="Pebble &amp; Pine Pharmacy 3298 :  3080 S BROADWAY, ENGLEWOOD, CO"/>
        <s v="Mr Fantastic's Emporium 21242 :  6515 S DAYTON, GREENWOOD VILLAGE, CO"/>
        <s v="Mr Fantastic's Emporium 35622 :  6630 S YOSEMITE ST, GREENWOOD VILLAGE, CO"/>
        <s v="Mr Fantastic's Emporium 39847 :  9171 E ARAPAHOE RD, GREENWOOD VILLAGE, CO"/>
        <s v="Bluebell Bazaar 2709880 :  7701 E ORCHARD RD, GREENWOOD VILLAGE, CO"/>
        <s v="Bluebell Bazaar 2744099 :  7296 E BELLEVIEW AVE, GREENWOOD VILLAGE, CO"/>
        <s v="Wildroot Foods 100 :  4910 S YOSEMITE, GREENWOOD VILLAGE, CO"/>
        <s v="Wildroot Foods 96 :  6000 S HOLLY, GREENWOOD VILLAGE, CO"/>
        <s v="Maplewood Mercantile 147 :  6767 S CLINTON ST, GREENWOOD VILLAGE, CO"/>
        <s v="Mr Fantastic's Emporium 39317 :  3520 TOWN CENTER DR, HIGHLANDS RANCH, CO"/>
        <s v="Bluebell Bazaar 2709886 :  9275 S BROADWAY, HIGHLANDS RANCH, CO"/>
        <s v="Bluebell Bazaar 2741159 :  34 CENTENNIAL BLVD, HIGHLANDS RANCH, CO"/>
        <s v="Wildroot Foods 8 :  2205 W WILDCAT RESERVE PARK, HIGHLANDS RANCH, CO"/>
        <s v="Haven Hearth Goods 1480 :  9255 S BROADWAY, HIGHLANDS RANCH, CO"/>
        <s v="Jellybean Junction 2716 :  1265 SGT JON STILES DR, HIGHLANDS RANCH, CO"/>
        <s v="Pebble &amp; Pine Pharmacy 4952 :  9141 S BROADWAY, HIGHLANDS RANCH, CO"/>
        <s v="Mr Fantastic's Emporium 20182 :  1499 W LITTLETON BLVD, LITTLETON, CO"/>
        <s v="Mr Fantastic's Emporium 27033 :  5595 S BROADWAY, LITTLETON, CO"/>
        <s v="Mr Fantastic's Emporium 34486 :  3099 W MINERAL AVE, LITTLETON, CO"/>
        <s v="Mr Fantastic's Emporium 37560 :  5898 S BROADWAY, LITTLETON, CO"/>
        <s v="Mr Fantastic's Emporium 39733 :  9010 PARK MEADOWS DR, LITTLETON, CO"/>
        <s v="Mr Fantastic's Emporium 39834 :  7505 E PARKWAY DR, LITTLETON, CO"/>
        <s v="Bluebell Bazaar 2744123 :  1599 W LITTLETON BLVD, LITTLETON, CO"/>
        <s v="Wildroot Foods 122 :  7901 S BRDWAY ST, LITTLETON, CO"/>
        <s v="Wildroot Foods 131 :  100 LITTLETON BLVD, LITTLETON, CO"/>
        <s v="Rocket Barrel 8922 :  181 W LITTLETON BLVD, LITTLETON, CO"/>
        <s v="Haven Hearth Goods 2791 :  181 W MINERAL AVE, LITTLETON, CO"/>
        <s v="Pebble &amp; Pine Pharmacy 17807 :  100 E MINERAL DR, LITTLETON, CO"/>
        <s v="Mr Fantastic's Emporium 33042 :  8750 S YOSEMITE ST, LONE TREE, CO"/>
        <s v="Haven Hearth Goods 1548 :  9229 E LINCOLN AVE, LONE TREE, CO"/>
        <s v="Jellybean Junction 2023 :  10001 COMMONS ST, LONE TREE, CO"/>
        <s v="Mr Fantastic's Emporium 19015 :  4096 S FEDERAL BLVD, SHERIDAN, CO"/>
        <s v="Mr Fantastic's Emporium 35598 :  3495 S FEDERAL BLVD, SHERIDAN, CO"/>
        <s v="Jellybean Junction 2261 :  3650 RIVERPOINT PKWY, SHERIDAN, CO"/>
        <m/>
      </sharedItems>
    </cacheField>
    <cacheField name="Dollar Sales" numFmtId="0">
      <sharedItems containsString="0" containsBlank="1" containsNumber="1" minValue="591.73" maxValue="327853.78999999998"/>
    </cacheField>
    <cacheField name="County" numFmtId="0">
      <sharedItems containsBlank="1" count="5">
        <s v="SACRAMENTO"/>
        <s v="SUMMIT"/>
        <s v="MARICOPA"/>
        <s v="ARAPAHOE"/>
        <m/>
      </sharedItems>
    </cacheField>
    <cacheField name="Latitude" numFmtId="0">
      <sharedItems containsBlank="1" containsMixedTypes="1" containsNumber="1" minValue="32.930386839999997" maxValue="39.74038899" count="1188">
        <n v="38.714034730000002"/>
        <n v="38.706619850000003"/>
        <n v="38.71203311"/>
        <n v="38.713129029999997"/>
        <n v="38.617530909999999"/>
        <n v="38.6601"/>
        <n v="38.61598772"/>
        <n v="38.639195710000003"/>
        <n v="38.63798276"/>
        <n v="38.650142279999997"/>
        <n v="38.597314789999999"/>
        <n v="38.637231800000002"/>
        <n v="38.638042640000002"/>
        <n v="38.615941800000002"/>
        <n v="38.70756471"/>
        <n v="38.691407650000002"/>
        <n v="38.687832999999998"/>
        <n v="38.678498329999996"/>
        <n v="38.678062869999998"/>
        <n v="38.675997070000001"/>
        <n v="38.679059270000003"/>
        <n v="38.664865540000001"/>
        <n v="38.664147100000001"/>
        <n v="38.692966509999998"/>
        <n v="38.708533039999999"/>
        <n v="38.678477110000003"/>
        <n v="38.671858810000003"/>
        <n v="38.677500000000002"/>
        <n v="38.706910000000001"/>
        <n v="38.677340000000001"/>
        <n v="38.425863870000001"/>
        <n v="38.409238989999999"/>
        <n v="38.437862869999996"/>
        <n v="38.45452942"/>
        <s v="N/A"/>
        <n v="38.428660000000001"/>
        <n v="38.43779"/>
        <n v="38.380915369999997"/>
        <n v="38.43823098"/>
        <n v="38.390783839999997"/>
        <n v="38.408842919999998"/>
        <n v="38.422992270000002"/>
        <n v="38.450649239999997"/>
        <n v="38.409227129999998"/>
        <n v="38.408472869999997"/>
        <n v="38.42341425"/>
        <n v="38.42501"/>
        <n v="38.423673360000002"/>
        <n v="38.42366123"/>
        <n v="38.423400229999999"/>
        <n v="38.423280099999999"/>
        <n v="38.452518980000001"/>
        <n v="38.664092869999998"/>
        <n v="38.645088610000002"/>
        <n v="38.654029999999999"/>
        <n v="38.66374287"/>
        <n v="38.664233950000003"/>
        <n v="38.665099259999998"/>
        <n v="38.65687483"/>
        <n v="38.674182870000003"/>
        <n v="38.654675730000001"/>
        <n v="38.670999479999999"/>
        <n v="38.689776770000002"/>
        <n v="38.673445299999997"/>
        <n v="38.650968749999997"/>
        <n v="38.670947320000003"/>
        <n v="38.670631020000002"/>
        <n v="38.65874797"/>
        <n v="38.253288830000002"/>
        <n v="38.289918540000002"/>
        <n v="38.24907529"/>
        <n v="38.29094216"/>
        <n v="38.253267119999997"/>
        <n v="38.615452329999997"/>
        <n v="38.618716710000001"/>
        <n v="38.625669139999999"/>
        <n v="38.662469999999999"/>
        <n v="38.654130000000002"/>
        <n v="38.69052713"/>
        <n v="38.690102869999997"/>
        <n v="38.651260000000001"/>
        <n v="38.694687129999998"/>
        <n v="38.702751540000001"/>
        <n v="38.687989999999999"/>
        <n v="38.660893350000002"/>
        <n v="38.703189999999999"/>
        <n v="38.691310000000001"/>
        <n v="38.691400629999997"/>
        <n v="38.677987340000001"/>
        <n v="38.672687400000001"/>
        <n v="38.678362870000001"/>
        <n v="38.583558709999998"/>
        <n v="38.604497369999997"/>
        <n v="38.585360520000002"/>
        <n v="38.55796522"/>
        <n v="38.590055139999997"/>
        <n v="38.593646739999997"/>
        <n v="38.632067499999998"/>
        <n v="38.556929619999998"/>
        <n v="38.625880389999999"/>
        <n v="38.594642870000001"/>
        <n v="38.594545359999998"/>
        <n v="38.596242660000001"/>
        <n v="38.55582854"/>
        <n v="38.492138240000003"/>
        <n v="38.683720270000002"/>
        <n v="38.689579999999999"/>
        <n v="38.516048400000003"/>
        <n v="38.468642869999996"/>
        <n v="38.556351569999997"/>
        <n v="38.546887130000002"/>
        <n v="38.595832870000002"/>
        <n v="38.561852500000001"/>
        <n v="38.481907130000003"/>
        <n v="38.614879999999999"/>
        <n v="38.661245440000002"/>
        <n v="38.627629310000003"/>
        <n v="38.547113590000002"/>
        <n v="38.474447130000001"/>
        <n v="38.66974708"/>
        <n v="38.525592949999997"/>
        <n v="38.668637990000001"/>
        <n v="38.620002659999997"/>
        <n v="38.704243499999997"/>
        <n v="38.693420000000003"/>
        <n v="38.578970060000003"/>
        <n v="38.625410000000002"/>
        <n v="38.554121000000002"/>
        <n v="38.589260000000003"/>
        <n v="38.524967119999999"/>
        <n v="38.580850230000003"/>
        <n v="38.496588699999997"/>
        <n v="38.526433259999997"/>
        <n v="38.561592220000001"/>
        <n v="38.588740000000001"/>
        <n v="38.495952870000004"/>
        <n v="38.64489425"/>
        <n v="38.614237129999999"/>
        <n v="38.448039999999999"/>
        <n v="38.559566840000002"/>
        <n v="38.598806670000002"/>
        <n v="38.636275599999998"/>
        <n v="38.617494690000001"/>
        <n v="38.510332869999999"/>
        <n v="38.496216580000002"/>
        <n v="38.51396321"/>
        <n v="38.543689479999998"/>
        <n v="38.46615843"/>
        <n v="38.496277130000003"/>
        <n v="38.52516713"/>
        <n v="38.613510159999997"/>
        <n v="38.510172869999998"/>
        <n v="38.640502499999997"/>
        <n v="38.525072870000002"/>
        <n v="38.56409515"/>
        <n v="38.629640000000002"/>
        <n v="38.654727010000002"/>
        <n v="38.676893659999998"/>
        <n v="38.474042879999999"/>
        <n v="38.573357870000002"/>
        <n v="38.481482870000001"/>
        <n v="38.597123199999999"/>
        <n v="38.574302869999997"/>
        <n v="38.547904389999999"/>
        <n v="38.495877129999997"/>
        <n v="38.660772899999998"/>
        <n v="38.496342980000001"/>
        <n v="38.605699999999999"/>
        <n v="38.525203189999999"/>
        <n v="38.595382870000002"/>
        <n v="38.495791230000002"/>
        <n v="38.48652225"/>
        <n v="38.642822870000003"/>
        <n v="38.524799870000002"/>
        <n v="38.704593029999998"/>
        <n v="38.588611999999998"/>
        <n v="38.495942890000002"/>
        <n v="38.628700690000002"/>
        <n v="38.49585287"/>
        <n v="38.627212569999998"/>
        <n v="38.643329999999999"/>
        <n v="38.527221009999998"/>
        <n v="38.455533619999997"/>
        <n v="38.53253093"/>
        <n v="38.61760005"/>
        <n v="38.547295179999999"/>
        <n v="38.5737971"/>
        <n v="38.657340920000003"/>
        <n v="38.547397099999998"/>
        <n v="38.495554749999997"/>
        <n v="38.644642560000001"/>
        <n v="38.61774484"/>
        <n v="38.656127130000002"/>
        <n v="38.566815839999997"/>
        <n v="38.45349401"/>
        <n v="38.595634279999999"/>
        <n v="38.572594209999998"/>
        <n v="38.572213699999999"/>
        <n v="38.685657329999998"/>
        <n v="38.567735499999998"/>
        <n v="38.656117119999998"/>
        <n v="38.54097582"/>
        <n v="38.558313200000001"/>
        <n v="38.547403099999997"/>
        <n v="38.574467759999997"/>
        <n v="38.613108150000002"/>
        <n v="38.595822869999999"/>
        <n v="38.577752879999998"/>
        <n v="38.457446779999998"/>
        <n v="38.639957129999999"/>
        <n v="38.548497130000001"/>
        <n v="38.563022789999998"/>
        <n v="38.661107129999998"/>
        <n v="38.600403999999997"/>
        <n v="38.655917119999998"/>
        <n v="38.509352560000004"/>
        <n v="38.524907130000003"/>
        <n v="38.595412899999999"/>
        <n v="38.47453608"/>
        <n v="38.548052689999999"/>
        <n v="38.704067129999999"/>
        <n v="38.596357130000001"/>
        <n v="38.562482490000001"/>
        <n v="38.496462860000001"/>
        <n v="39.494226849999997"/>
        <n v="39.470930000000003"/>
        <n v="39.630274810000003"/>
        <n v="39.630003590000001"/>
        <n v="39.498649999999998"/>
        <n v="39.589377900000002"/>
        <n v="39.57537859"/>
        <n v="39.589341900000001"/>
        <n v="39.628949900000002"/>
        <n v="39.629022210000002"/>
        <n v="39.627207370000001"/>
        <n v="39.636927909999997"/>
        <n v="33.842823709999998"/>
        <n v="33.865234460000003"/>
        <n v="33.87088619"/>
        <n v="33.866203939999998"/>
        <n v="33.859399779999997"/>
        <n v="33.431132329999997"/>
        <n v="33.449143329999998"/>
        <n v="33.435342869999999"/>
        <n v="33.429109009999998"/>
        <n v="33.420412880000001"/>
        <n v="33.449702870000003"/>
        <n v="33.46416833"/>
        <n v="33.463254999999997"/>
        <n v="33.46396"/>
        <n v="33.493512870000004"/>
        <n v="33.435292869999998"/>
        <n v="33.45646"/>
        <n v="33.49345297"/>
        <n v="33.450293090000002"/>
        <n v="33.46460501"/>
        <n v="33.496037129999998"/>
        <n v="33.372046679999997"/>
        <n v="33.455350000000003"/>
        <n v="33.442078299999999"/>
        <n v="33.434909470000001"/>
        <n v="33.49381984"/>
        <n v="33.430144759999997"/>
        <n v="33.391882870000003"/>
        <n v="33.435422869999996"/>
        <n v="33.821057009999997"/>
        <n v="33.831825879999997"/>
        <n v="33.83228261"/>
        <n v="33.752731050000001"/>
        <n v="33.798992869999999"/>
        <n v="33.756968039999997"/>
        <n v="33.754565550000002"/>
        <n v="33.316725759999997"/>
        <n v="33.334912869999997"/>
        <n v="33.319662899999997"/>
        <n v="33.218992870000001"/>
        <n v="33.320227129999999"/>
        <n v="33.261339999999997"/>
        <n v="33.280688650000002"/>
        <n v="33.232678370000002"/>
        <n v="33.234681029999997"/>
        <n v="33.320785000000001"/>
        <n v="33.295299999999997"/>
        <n v="33.306226219999999"/>
        <n v="33.262610000000002"/>
        <n v="33.349518889999999"/>
        <n v="33.350904249999999"/>
        <n v="33.262532499999999"/>
        <n v="33.305467129999997"/>
        <n v="33.276809999999998"/>
        <n v="33.211469999999998"/>
        <n v="33.319652869999999"/>
        <n v="33.305092870000003"/>
        <n v="33.328121179999997"/>
        <n v="33.306428889999999"/>
        <n v="33.306222869999999"/>
        <n v="33.320105720000001"/>
        <n v="33.305587129999999"/>
        <n v="33.305787100000003"/>
        <n v="33.335352329999999"/>
        <n v="33.3198279"/>
        <n v="33.261232870000001"/>
        <n v="33.298957790000003"/>
        <n v="33.29150138"/>
        <n v="33.219002889999999"/>
        <n v="33.349519809999997"/>
        <n v="33.320794509999999"/>
        <n v="33.218532889999999"/>
        <n v="33.226059999999997"/>
        <n v="33.275660000000002"/>
        <n v="33.28064002"/>
        <n v="33.234349450000003"/>
        <n v="33.305842869999999"/>
        <n v="33.32094712"/>
        <n v="33.297526920000003"/>
        <n v="33.251049760000001"/>
        <n v="33.319660880000001"/>
        <n v="33.305782870000002"/>
        <n v="33.305232869999998"/>
        <n v="33.30620287"/>
        <n v="33.334499999999998"/>
        <n v="33.21901287"/>
        <n v="33.320432889999999"/>
        <n v="33.276954140000001"/>
        <n v="33.247632869999997"/>
        <n v="33.618708720000001"/>
        <n v="33.609205000000003"/>
        <n v="33.623017930000003"/>
        <n v="33.594642120000003"/>
        <n v="33.60845132"/>
        <n v="33.57373252"/>
        <n v="33.570894619999997"/>
        <n v="33.579725660000001"/>
        <n v="33.609862010000001"/>
        <n v="33.574844050000003"/>
        <n v="33.610172679999998"/>
        <n v="32.944202490000002"/>
        <n v="32.943702049999999"/>
        <n v="32.930386839999997"/>
        <n v="33.370843020000002"/>
        <n v="33.349733989999997"/>
        <n v="33.336099750000002"/>
        <n v="33.335385549999998"/>
        <n v="33.364497129999997"/>
        <n v="33.34807361"/>
        <n v="33.359648569999997"/>
        <n v="33.321403889999999"/>
        <n v="33.295390449999999"/>
        <n v="33.333353289999998"/>
        <n v="33.283329639999998"/>
        <n v="33.379462099999998"/>
        <n v="33.292771430000002"/>
        <n v="33.335709999999999"/>
        <n v="33.363169999999997"/>
        <n v="33.335791960000002"/>
        <n v="33.307137130000001"/>
        <n v="33.335174070000001"/>
        <n v="33.378952890000001"/>
        <n v="33.378712870000001"/>
        <n v="33.349534550000001"/>
        <n v="33.277857130000001"/>
        <n v="33.364526769999998"/>
        <n v="33.238979999999998"/>
        <n v="33.378962870000002"/>
        <n v="33.335162869999998"/>
        <n v="33.376719979999997"/>
        <n v="33.378782870000002"/>
        <n v="33.337380000000003"/>
        <n v="33.306629999999998"/>
        <n v="33.232536670000002"/>
        <n v="33.30622726"/>
        <n v="33.292296729999997"/>
        <n v="33.27761769"/>
        <n v="33.298442880000003"/>
        <n v="33.348432000000003"/>
        <n v="33.379072870000002"/>
        <n v="33.27873889"/>
        <n v="33.33544294"/>
        <n v="33.233961299999997"/>
        <n v="33.336309999999997"/>
        <n v="33.364572870000003"/>
        <n v="33.37882287"/>
        <n v="33.335439170000001"/>
        <n v="33.307416250000003"/>
        <n v="33.364402990000002"/>
        <n v="33.364647130000002"/>
        <n v="33.266587010000002"/>
        <n v="33.30574"/>
        <n v="33.27748287"/>
        <n v="33.567365389999999"/>
        <n v="33.665866360000003"/>
        <n v="33.596467130000001"/>
        <n v="33.525402739999997"/>
        <n v="33.536199340000003"/>
        <n v="33.54175231"/>
        <n v="33.581735590000001"/>
        <n v="33.536739650000001"/>
        <n v="33.523922890000001"/>
        <n v="33.638906720000001"/>
        <n v="33.56755252"/>
        <n v="33.509757100000002"/>
        <n v="33.538252989999997"/>
        <n v="33.567352870000001"/>
        <n v="33.536551879999998"/>
        <n v="33.712001829999998"/>
        <n v="33.710803749999997"/>
        <n v="33.537103999999999"/>
        <n v="33.668859230000002"/>
        <n v="33.567647129999997"/>
        <n v="33.596176110000002"/>
        <n v="33.668598430000003"/>
        <n v="33.550892869999998"/>
        <n v="33.624923099999997"/>
        <n v="33.532179999999997"/>
        <n v="33.52379371"/>
        <n v="33.524023509999999"/>
        <n v="33.531739999999999"/>
        <n v="33.567685509999997"/>
        <n v="33.639072900000002"/>
        <n v="33.610552869999999"/>
        <n v="33.669020830000001"/>
        <n v="33.638210479999998"/>
        <n v="33.711992870000003"/>
        <n v="33.668623429999997"/>
        <n v="33.697479999999999"/>
        <n v="33.551809830000003"/>
        <n v="33.580792219999999"/>
        <n v="33.524160000000002"/>
        <n v="33.653040390000001"/>
        <n v="33.638841829999997"/>
        <n v="33.610592869999998"/>
        <n v="33.581702870000001"/>
        <n v="33.552922870000003"/>
        <n v="33.684019999999997"/>
        <n v="33.682898369999997"/>
        <n v="33.537482869999998"/>
        <n v="33.654352869999997"/>
        <n v="33.567227199999998"/>
        <n v="33.596477129999997"/>
        <n v="33.712447130000001"/>
        <n v="33.460270000000001"/>
        <n v="33.449994940000003"/>
        <n v="33.4645364"/>
        <n v="33.435707020000002"/>
        <n v="33.485596780000002"/>
        <n v="33.451485630000001"/>
        <n v="33.356885910000003"/>
        <n v="33.437478280000001"/>
        <n v="33.463279999999997"/>
        <n v="33.465520380000001"/>
        <n v="33.357477320000001"/>
        <n v="33.450560000000003"/>
        <n v="33.485151879999997"/>
        <n v="33.378042870000002"/>
        <n v="33.377877130000002"/>
        <n v="33.377767079999998"/>
        <n v="33.377757019999997"/>
        <n v="33.377352870000003"/>
        <n v="33.377349959999997"/>
        <n v="33.493457130000003"/>
        <n v="33.509450000000001"/>
        <n v="33.49344713"/>
        <n v="33.508386639999998"/>
        <n v="33.507986289999998"/>
        <n v="33.044355609999997"/>
        <n v="33.072008959999998"/>
        <n v="33.072809679999999"/>
        <n v="33.378967129999999"/>
        <n v="33.40023635"/>
        <n v="33.415597130000002"/>
        <n v="33.407694919999997"/>
        <n v="33.400129999999997"/>
        <n v="33.381781830000001"/>
        <n v="33.378892870000001"/>
        <n v="33.423679999999997"/>
        <n v="33.46528473"/>
        <n v="33.409861130000003"/>
        <n v="33.378352880000001"/>
        <n v="33.435935749999999"/>
        <n v="33.378833129999997"/>
        <n v="33.43618"/>
        <n v="33.468080579999999"/>
        <n v="33.415386349999999"/>
        <n v="33.399551719999998"/>
        <n v="33.435295529999998"/>
        <n v="33.393537129999999"/>
        <n v="33.429561790000001"/>
        <n v="33.400559999999999"/>
        <n v="33.451332870000002"/>
        <n v="33.363682869999998"/>
        <n v="33.42222288"/>
        <n v="33.421982870000001"/>
        <n v="33.451839999999997"/>
        <n v="33.40794167"/>
        <n v="33.44359"/>
        <n v="33.393202870000003"/>
        <n v="33.393267129999998"/>
        <n v="33.422552869999997"/>
        <n v="33.421999999999997"/>
        <n v="33.415707130000001"/>
        <n v="33.380090000000003"/>
        <n v="33.437583609999997"/>
        <n v="33.364858779999999"/>
        <n v="33.42294235"/>
        <n v="33.43591"/>
        <n v="33.393927130000002"/>
        <n v="33.407350000000001"/>
        <n v="33.415272870000003"/>
        <n v="33.382137899999996"/>
        <n v="33.381111330000003"/>
        <n v="33.379197009999999"/>
        <n v="33.38850403"/>
        <n v="33.363309170000001"/>
        <n v="33.336816849999998"/>
        <n v="33.406232500000002"/>
        <n v="33.393422289999997"/>
        <n v="33.451622870000001"/>
        <n v="33.40738855"/>
        <n v="33.37941713"/>
        <n v="33.451722869999998"/>
        <n v="33.414694840000003"/>
        <n v="33.393500000000003"/>
        <n v="33.378382870000003"/>
        <n v="33.393848689999999"/>
        <n v="33.394751329999998"/>
        <n v="33.422490109999998"/>
        <n v="33.407885630000003"/>
        <n v="33.451712870000001"/>
        <n v="33.465730000000001"/>
        <n v="33.422943779999997"/>
        <n v="33.406759999999998"/>
        <n v="33.429902749999997"/>
        <n v="33.378495479999998"/>
        <n v="33.414665499999998"/>
        <n v="33.406344920000002"/>
        <n v="33.397219999999997"/>
        <n v="33.3810626"/>
        <n v="33.415697129999998"/>
        <n v="33.37897856"/>
        <n v="33.450705579999997"/>
        <n v="33.365484160000001"/>
        <n v="33.393837130000001"/>
        <n v="33.415117129999999"/>
        <n v="33.36409287"/>
        <n v="33.450444879999999"/>
        <n v="33.336859910000001"/>
        <n v="33.321440000000003"/>
        <n v="33.32347"/>
        <n v="33.453802889999999"/>
        <n v="33.392308190000001"/>
        <n v="33.394390000000001"/>
        <n v="33.38895333"/>
        <n v="33.393309109999997"/>
        <n v="33.391964999999999"/>
        <n v="33.451196080000003"/>
        <n v="33.40801287"/>
        <n v="33.393212869999999"/>
        <n v="33.37922287"/>
        <n v="33.45166287"/>
        <n v="33.437419400000003"/>
        <n v="33.422397119999999"/>
        <n v="33.407276670000002"/>
        <n v="33.39436619"/>
        <n v="33.481375"/>
        <n v="33.436117609999997"/>
        <n v="33.415507079999998"/>
        <n v="33.415097060000001"/>
        <n v="33.364453009999998"/>
        <n v="33.415807129999997"/>
        <n v="33.364377130000001"/>
        <n v="33.567284819999998"/>
        <n v="33.638317129999997"/>
        <n v="33.681727850000001"/>
        <n v="33.609783020000002"/>
        <n v="33.66854"/>
        <n v="33.570979999999999"/>
        <n v="33.580704310000002"/>
        <n v="33.581522280000002"/>
        <n v="33.596007120000003"/>
        <n v="33.609780890000003"/>
        <n v="33.566342980000002"/>
        <n v="33.652857130000001"/>
        <n v="33.637902869999998"/>
        <n v="33.681432870000002"/>
        <n v="33.566194009999997"/>
        <n v="33.695537229999999"/>
        <n v="33.63832713"/>
        <n v="33.581482870000002"/>
        <n v="33.595628769999998"/>
        <n v="33.760553700000003"/>
        <n v="33.655500000000004"/>
        <n v="33.595744160000002"/>
        <n v="33.566167020000002"/>
        <n v="33.714479529999998"/>
        <n v="33.637922889999999"/>
        <n v="33.565494489999999"/>
        <n v="33.59657129"/>
        <n v="33.779179999999997"/>
        <n v="33.709591519999996"/>
        <n v="33.637912870000001"/>
        <n v="33.741312280000002"/>
        <n v="33.652777129999997"/>
        <n v="33.610537119999996"/>
        <n v="33.681707129999999"/>
        <n v="33.580985939999998"/>
        <n v="33.667724999999997"/>
        <n v="33.50221947"/>
        <n v="33.507442859999998"/>
        <n v="33.625435699999997"/>
        <n v="33.538432870000001"/>
        <n v="33.46583287"/>
        <n v="33.465867129999999"/>
        <n v="33.494964490000001"/>
        <n v="33.639865530000002"/>
        <n v="33.595849999999999"/>
        <n v="33.495007129999998"/>
        <n v="33.47991287"/>
        <n v="33.510077129999999"/>
        <n v="33.480562910000003"/>
        <n v="33.640530589999997"/>
        <n v="33.538765869999999"/>
        <n v="33.58232297"/>
        <n v="33.480657129999997"/>
        <n v="33.451247129999999"/>
        <n v="33.508606579999999"/>
        <n v="33.666805050000001"/>
        <n v="33.493906729999999"/>
        <n v="33.509537129999998"/>
        <n v="33.509827219999998"/>
        <n v="33.677403120000001"/>
        <n v="33.554724849999999"/>
        <n v="33.653559999999999"/>
        <n v="33.79853713"/>
        <n v="33.465948099999999"/>
        <n v="33.5512856"/>
        <n v="33.465940000000003"/>
        <n v="33.552903059999998"/>
        <n v="33.458999259999999"/>
        <n v="33.59767909"/>
        <n v="33.480342870000001"/>
        <n v="33.331230120000001"/>
        <n v="33.654715469999999"/>
        <n v="33.582864479999998"/>
        <n v="33.518193330000003"/>
        <n v="33.465813369999999"/>
        <n v="33.626537130000003"/>
        <n v="33.53865012"/>
        <n v="33.380948330000002"/>
        <n v="33.465958739999998"/>
        <n v="33.450966260000001"/>
        <n v="33.466107129999997"/>
        <n v="33.480497130000003"/>
        <n v="33.465917130000001"/>
        <n v="33.465602869999998"/>
        <n v="33.524721990000003"/>
        <n v="33.392602920000002"/>
        <n v="33.47983851"/>
        <n v="33.39207287"/>
        <n v="33.451541409999997"/>
        <n v="33.495167129999999"/>
        <n v="33.458689290000002"/>
        <n v="33.458712980000001"/>
        <n v="33.56286489"/>
        <n v="33.530180000000001"/>
        <n v="33.458954949999999"/>
        <n v="33.631770000000003"/>
        <n v="33.393378630000001"/>
        <n v="33.669418899999997"/>
        <n v="33.538707129999999"/>
        <n v="33.407133119999997"/>
        <n v="33.458884150000003"/>
        <n v="33.552942870000003"/>
        <n v="33.502375600000001"/>
        <n v="33.523602869999998"/>
        <n v="33.582166209999997"/>
        <n v="33.436702879999999"/>
        <n v="33.406697360000003"/>
        <n v="33.451217110000002"/>
        <n v="33.465712869999997"/>
        <n v="33.523950910000003"/>
        <n v="33.494692880000002"/>
        <n v="33.495302129999999"/>
        <n v="33.487923330000001"/>
        <n v="33.393338290000003"/>
        <n v="33.487749860000001"/>
        <n v="33.479649989999999"/>
        <n v="33.683969699999999"/>
        <n v="33.37856395"/>
        <n v="33.512177940000001"/>
        <n v="33.50934049"/>
        <n v="33.40690713"/>
        <n v="33.451435590000003"/>
        <n v="33.436960450000001"/>
        <n v="33.40683713"/>
        <n v="33.625817359999999"/>
        <n v="33.465961980000003"/>
        <n v="33.40689287"/>
        <n v="33.451182869999997"/>
        <n v="33.640785039999997"/>
        <n v="33.654493989999999"/>
        <n v="33.364199470000003"/>
        <n v="33.407616670000003"/>
        <n v="33.46592613"/>
        <n v="33.441486529999999"/>
        <n v="33.470751999999997"/>
        <n v="33.487696409999998"/>
        <n v="33.456050040000001"/>
        <n v="33.39275713"/>
        <n v="33.437035389999998"/>
        <n v="33.480597789999997"/>
        <n v="33.472982870000003"/>
        <n v="33.465777129999999"/>
        <n v="33.451361630000001"/>
        <n v="33.640352870000001"/>
        <n v="33.49485713"/>
        <n v="33.713037129999996"/>
        <n v="33.553237129999999"/>
        <n v="33.378269160000002"/>
        <n v="33.458393809999997"/>
        <n v="33.509605260000001"/>
        <n v="33.479741590000003"/>
        <n v="33.331129920000002"/>
        <n v="33.654511210000003"/>
        <n v="33.625402870000002"/>
        <n v="33.567413219999999"/>
        <n v="33.596202349999999"/>
        <n v="33.566974000000002"/>
        <n v="33.515778330000003"/>
        <n v="33.516627130000003"/>
        <n v="33.597674779999998"/>
        <n v="33.654807759999997"/>
        <n v="33.465612870000001"/>
        <n v="33.480342989999997"/>
        <n v="33.596475169999998"/>
        <n v="33.33400031"/>
        <n v="33.30499287"/>
        <n v="33.348753119999998"/>
        <n v="33.454039999999999"/>
        <n v="33.306468549999998"/>
        <n v="33.723684179999999"/>
        <n v="33.683722869999997"/>
        <n v="33.669222859999998"/>
        <n v="33.538402869999999"/>
        <n v="33.465812870000001"/>
        <n v="33.451052599999997"/>
        <n v="33.494152870000001"/>
        <n v="33.653595250000002"/>
        <n v="33.640002870000004"/>
        <n v="33.319642870000003"/>
        <n v="33.508145030000001"/>
        <n v="33.437347129999999"/>
        <n v="33.798067039999999"/>
        <n v="33.480031940000003"/>
        <n v="33.487362869999998"/>
        <n v="33.320563309999997"/>
        <n v="33.305491549999999"/>
        <n v="33.465355000000002"/>
        <n v="33.799297469999999"/>
        <n v="33.668166569999997"/>
        <n v="33.654853770000003"/>
        <n v="33.62514023"/>
        <n v="33.683582870000002"/>
        <n v="33.626514"/>
        <n v="33.460899859999998"/>
        <n v="33.596395749999999"/>
        <n v="33.640172870000001"/>
        <n v="33.691009999999999"/>
        <n v="33.683967129999999"/>
        <n v="33.44849713"/>
        <n v="33.508330000000001"/>
        <n v="33.62659489"/>
        <n v="33.465850000000003"/>
        <n v="33.611939999999997"/>
        <n v="33.523221829999997"/>
        <n v="33.495087130000002"/>
        <n v="33.436946120000002"/>
        <n v="33.611091649999999"/>
        <n v="33.465887129999999"/>
        <n v="33.655246570000003"/>
        <n v="33.494512880000002"/>
        <n v="33.392857720000002"/>
        <n v="33.451092869999997"/>
        <n v="33.480122870000002"/>
        <n v="33.451487110000002"/>
        <n v="33.422332879999999"/>
        <n v="33.487535000000001"/>
        <n v="33.611530000000002"/>
        <n v="33.348789799999999"/>
        <n v="33.493757090000003"/>
        <n v="33.30497287"/>
        <n v="33.654523820000001"/>
        <n v="33.479952879999999"/>
        <n v="33.625639999999997"/>
        <n v="33.507723480000003"/>
        <n v="33.407167129999998"/>
        <n v="33.571936669999999"/>
        <n v="33.422398479999998"/>
        <n v="33.52431713"/>
        <n v="33.466100699999998"/>
        <n v="33.377987130000001"/>
        <n v="33.459496000000001"/>
        <n v="33.465827130000001"/>
        <n v="33.769507130000001"/>
        <n v="33.436632869999997"/>
        <n v="33.406437279999999"/>
        <n v="33.653891860000002"/>
        <n v="33.611712869999998"/>
        <n v="33.494692870000002"/>
        <n v="33.59648713"/>
        <n v="33.509576799999998"/>
        <n v="33.506529999999998"/>
        <n v="33.47999986"/>
        <n v="33.480587130000004"/>
        <n v="33.315625750000002"/>
        <n v="33.61062287"/>
        <n v="33.571508979999997"/>
        <n v="33.582472869999997"/>
        <n v="33.639619830000001"/>
        <n v="33.640817130000002"/>
        <n v="33.494132870000001"/>
        <n v="33.538480020000002"/>
        <n v="33.581742869999999"/>
        <n v="33.761740000000003"/>
        <n v="33.640142869999998"/>
        <n v="33.843196839999997"/>
        <n v="33.424076229999997"/>
        <n v="33.377977129999998"/>
        <n v="33.44727657"/>
        <n v="33.723233270000001"/>
        <n v="33.46609213"/>
        <n v="33.712682870000002"/>
        <n v="33.595567459999998"/>
        <n v="33.505814190000002"/>
        <n v="33.460247129999999"/>
        <n v="33.538407130000003"/>
        <n v="33.389626100000001"/>
        <n v="33.507719999999999"/>
        <n v="33.487727100000001"/>
        <n v="33.609888980000001"/>
        <n v="33.306009520000003"/>
        <n v="33.510177050000003"/>
        <n v="33.625902869999997"/>
        <n v="33.639817129999997"/>
        <n v="33.49476713"/>
        <n v="33.640507130000003"/>
        <n v="33.348746069999997"/>
        <n v="33.637824000000002"/>
        <n v="33.520878609999997"/>
        <n v="33.509092870000003"/>
        <n v="33.476407930000001"/>
        <n v="33.667840069999997"/>
        <n v="33.625790000000002"/>
        <n v="33.320057130000002"/>
        <n v="33.479995520000003"/>
        <n v="33.39228713"/>
        <n v="33.494732880000001"/>
        <n v="33.626706839999997"/>
        <n v="33.348759680000001"/>
        <n v="33.582532819999997"/>
        <n v="33.611395379999998"/>
        <n v="33.538924049999999"/>
        <n v="33.479884830000003"/>
        <n v="33.654912879999998"/>
        <n v="33.58466"/>
        <n v="33.487523770000003"/>
        <n v="33.640487129999997"/>
        <n v="33.611117129999997"/>
        <n v="33.480347129999998"/>
        <n v="33.480312869999999"/>
        <n v="33.305427080000001"/>
        <n v="33.567687890000002"/>
        <n v="33.392482870000002"/>
        <n v="33.654522870000001"/>
        <n v="33.49524985"/>
        <n v="33.631326090000002"/>
        <n v="33.480717210000002"/>
        <n v="33.64091337"/>
        <n v="33.538255820000003"/>
        <n v="33.50958713"/>
        <n v="33.305541499999997"/>
        <n v="33.508642870000003"/>
        <n v="33.465586340000002"/>
        <n v="33.496124350000002"/>
        <n v="33.466155710000002"/>
        <n v="33.523959990000002"/>
        <n v="33.494102869999999"/>
        <n v="33.554631430000001"/>
        <n v="33.509367130000001"/>
        <n v="33.378003370000002"/>
        <n v="33.605893430000002"/>
        <n v="33.376860540000003"/>
        <n v="33.481180000000002"/>
        <n v="33.537443070000002"/>
        <n v="33.392397129999999"/>
        <n v="33.423127129999997"/>
        <n v="33.566877140000003"/>
        <n v="33.653111520000003"/>
        <n v="33.676937129999999"/>
        <n v="33.798202869999997"/>
        <n v="33.232881380000002"/>
        <n v="33.235921040000001"/>
        <n v="33.161616109999997"/>
        <n v="33.248991670000002"/>
        <n v="33.219862849999998"/>
        <n v="33.170279999999998"/>
        <n v="33.262909270000002"/>
        <n v="33.220426779999997"/>
        <n v="33.266103129999998"/>
        <n v="33.254221919999999"/>
        <n v="33.248837109999997"/>
        <n v="33.190119879999997"/>
        <n v="33.198924069999997"/>
        <n v="33.466048729999997"/>
        <n v="33.524037130000004"/>
        <n v="33.62236953"/>
        <n v="33.650384410000001"/>
        <n v="33.53121402"/>
        <n v="33.696934980000002"/>
        <n v="33.768769120000002"/>
        <n v="33.589524730000001"/>
        <n v="33.478928889999999"/>
        <n v="33.53779548"/>
        <n v="33.523762869999999"/>
        <n v="33.494655479999999"/>
        <n v="33.639862870000002"/>
        <n v="33.48290429"/>
        <n v="33.501456879999999"/>
        <n v="33.494612869999997"/>
        <n v="33.480262869999997"/>
        <n v="33.4658236"/>
        <n v="33.451397129999997"/>
        <n v="33.488141329999998"/>
        <n v="33.582357129999998"/>
        <n v="33.612079870000002"/>
        <n v="33.582742400000001"/>
        <n v="33.675730000000001"/>
        <n v="33.46604713"/>
        <n v="33.742331030000003"/>
        <n v="33.465572889999997"/>
        <n v="33.574369560000001"/>
        <n v="33.496131990000002"/>
        <n v="33.57846"/>
        <n v="33.574128639999998"/>
        <n v="33.640252869999998"/>
        <n v="33.479845130000001"/>
        <n v="33.62573287"/>
        <n v="33.58057659"/>
        <n v="33.494520000000001"/>
        <n v="33.466005180000003"/>
        <n v="33.640769089999999"/>
        <n v="33.568957109999999"/>
        <n v="33.670571520000003"/>
        <n v="33.637310550000002"/>
        <n v="33.628576700000004"/>
        <n v="33.61947"/>
        <n v="33.70064343"/>
        <n v="33.509547130000001"/>
        <n v="33.620164699999997"/>
        <n v="33.6742287"/>
        <n v="33.625666279999997"/>
        <n v="33.780722679999997"/>
        <n v="33.584150000000001"/>
        <n v="33.779634469999998"/>
        <n v="33.538626090000001"/>
        <n v="33.626686800000002"/>
        <n v="33.528799999999997"/>
        <n v="33.574418309999999"/>
        <n v="33.542743260000002"/>
        <n v="33.488180610000001"/>
        <n v="33.581932870000003"/>
        <n v="33.69883677"/>
        <n v="33.797506429999999"/>
        <n v="33.46557902"/>
        <n v="33.494648069999997"/>
        <n v="33.622111160000003"/>
        <n v="33.587505370000002"/>
        <n v="33.674366880000001"/>
        <n v="33.74260752"/>
        <n v="33.599925429999999"/>
        <n v="33.638261069999999"/>
        <n v="33.602538299999999"/>
        <n v="33.638227129999997"/>
        <n v="33.579903620000003"/>
        <n v="33.623302899999999"/>
        <n v="33.660553540000002"/>
        <n v="33.660228590000003"/>
        <n v="33.674419999999998"/>
        <n v="33.657090289999999"/>
        <n v="33.21809288"/>
        <n v="33.218439070000002"/>
        <n v="33.656891309999999"/>
        <n v="33.609439170000002"/>
        <n v="33.625068679999998"/>
        <n v="33.638583130000001"/>
        <n v="33.638462869999998"/>
        <n v="33.638844769999999"/>
        <n v="33.657081750000003"/>
        <n v="33.639037129999998"/>
        <n v="33.638922010000002"/>
        <n v="33.609330730000003"/>
        <n v="33.71123"/>
        <n v="33.622655000000002"/>
        <n v="33.638642869999998"/>
        <n v="33.609297089999998"/>
        <n v="33.580831910000001"/>
        <n v="33.638432870000003"/>
        <n v="33.609047109999999"/>
        <n v="33.638907119999999"/>
        <n v="33.65285883"/>
        <n v="33.639067130000001"/>
        <n v="33.609757129999998"/>
        <n v="33.417978339999998"/>
        <n v="33.378855139999999"/>
        <n v="33.334472869999999"/>
        <n v="33.422033020000001"/>
        <n v="33.334492869999998"/>
        <n v="33.378072869999997"/>
        <n v="33.449449999999999"/>
        <n v="33.378092870000003"/>
        <n v="33.422057129999999"/>
        <n v="33.39272287"/>
        <n v="33.36362287"/>
        <n v="33.407525679999999"/>
        <n v="33.407627130000002"/>
        <n v="33.392724289999997"/>
        <n v="33.421782870000001"/>
        <n v="33.407231240000002"/>
        <n v="33.377851900000003"/>
        <n v="33.457856669999998"/>
        <n v="33.334402869999998"/>
        <n v="33.35007581"/>
        <n v="33.348942870000002"/>
        <n v="33.422237129999999"/>
        <n v="33.364262740000001"/>
        <n v="33.363524310000003"/>
        <n v="33.415024709999997"/>
        <n v="33.422107130000001"/>
        <n v="33.378052869999998"/>
        <n v="33.450143679999996"/>
        <n v="33.34986"/>
        <n v="33.39427311"/>
        <n v="33.393859999999997"/>
        <n v="33.363626349999997"/>
        <n v="33.37832658"/>
        <n v="33.378976180000002"/>
        <n v="33.32203174"/>
        <n v="33.429567130000002"/>
        <n v="33.407697130000003"/>
        <n v="33.348912890000001"/>
        <n v="33.429467000000002"/>
        <n v="33.37856713"/>
        <n v="33.407266739999997"/>
        <n v="33.39281287"/>
        <n v="33.378082880000001"/>
        <n v="33.363030000000002"/>
        <n v="33.334498089999997"/>
        <n v="33.391878779999999"/>
        <n v="33.451790000000003"/>
        <n v="33.465187890000003"/>
        <n v="33.450517130000001"/>
        <n v="33.459022079999997"/>
        <n v="33.458972869999997"/>
        <n v="33.421381119999999"/>
        <n v="33.493827539999998"/>
        <n v="33.970965929999998"/>
        <n v="33.969038599999998"/>
        <n v="33.96209288"/>
        <n v="39.710858209999998"/>
        <n v="39.658467129999998"/>
        <n v="39.638352869999999"/>
        <n v="39.65818033"/>
        <n v="39.653217130000002"/>
        <n v="39.696386910000001"/>
        <n v="39.696807130000003"/>
        <n v="39.623420000000003"/>
        <n v="39.67462287"/>
        <n v="39.638422050000003"/>
        <n v="39.638637129999999"/>
        <n v="39.675106980000002"/>
        <n v="39.681828879999998"/>
        <n v="39.74038899"/>
        <n v="39.678812469999997"/>
        <n v="39.638279259999997"/>
        <n v="39.65286287"/>
        <n v="39.674979999999998"/>
        <n v="39.71095287"/>
        <n v="39.740344999999998"/>
        <n v="39.720019999999998"/>
        <n v="39.653287130000002"/>
        <n v="39.674755930000003"/>
        <n v="39.711669999999998"/>
        <n v="39.639847510000003"/>
        <n v="39.676744620000001"/>
        <n v="39.66900674"/>
        <n v="39.677715560000003"/>
        <n v="39.71161343"/>
        <n v="39.65243736"/>
        <n v="39.696392869999997"/>
        <n v="39.65325713"/>
        <n v="39.66088165"/>
        <n v="39.695517019999997"/>
        <n v="39.673433289999998"/>
        <n v="39.638864740000002"/>
        <n v="39.638252870000002"/>
        <n v="39.69640467"/>
        <n v="39.652812869999998"/>
        <n v="39.685992079999998"/>
        <n v="39.716442870000002"/>
        <n v="39.69190511"/>
        <n v="39.638272870000002"/>
        <n v="39.674977130000002"/>
        <n v="39.652872870000003"/>
        <n v="39.69680554"/>
        <n v="39.61187864"/>
        <n v="39.653247100000002"/>
        <n v="39.675017130000001"/>
        <n v="39.711262820000002"/>
        <n v="39.677044070000001"/>
        <n v="39.580737130000003"/>
        <n v="39.593307129999999"/>
        <n v="39.595243879999998"/>
        <n v="39.57894125"/>
        <n v="39.592372689999998"/>
        <n v="39.617978280000003"/>
        <n v="39.59530221"/>
        <n v="39.614219579999997"/>
        <n v="39.594965160000001"/>
        <n v="39.57908647"/>
        <n v="39.56776"/>
        <n v="39.593018559999997"/>
        <n v="39.595247129999997"/>
        <n v="39.595317129999998"/>
        <n v="39.580747129999999"/>
        <n v="39.625489819999999"/>
        <n v="39.65326271"/>
        <n v="39.645820000000001"/>
        <n v="39.633121109999998"/>
        <n v="39.659897100000002"/>
        <n v="39.537777390000002"/>
        <n v="39.653459239999997"/>
        <n v="39.632325020000003"/>
        <n v="39.575475879999999"/>
        <n v="39.624534189999999"/>
        <n v="39.678532869999998"/>
        <n v="39.678512900000001"/>
        <n v="39.63315016"/>
        <n v="39.566554770000003"/>
        <n v="39.653032869999997"/>
        <n v="39.62639085"/>
        <n v="39.653571139999997"/>
        <n v="39.655127059999998"/>
        <n v="39.65137713"/>
        <n v="39.62426713"/>
        <n v="39.568416360000001"/>
        <n v="39.661096059999998"/>
        <n v="39.59843326"/>
        <n v="39.596130000000002"/>
        <n v="39.595287130000003"/>
        <n v="39.609787130000001"/>
        <n v="39.623697139999997"/>
        <n v="39.626109999999997"/>
        <n v="39.607936670000001"/>
        <n v="39.593575829999999"/>
        <n v="39.547552969999998"/>
        <n v="39.546909640000003"/>
        <n v="39.56210239"/>
        <n v="39.534996640000003"/>
        <n v="39.547558510000002"/>
        <n v="39.54837697"/>
        <n v="39.550528929999999"/>
        <n v="39.613427129999998"/>
        <n v="39.615104440000003"/>
        <n v="39.580240770000003"/>
        <n v="39.609608510000001"/>
        <n v="39.556133039999999"/>
        <n v="39.565466890000003"/>
        <n v="39.580590000000001"/>
        <n v="39.613032869999998"/>
        <n v="39.613407129999999"/>
        <n v="39.573687130000003"/>
        <n v="39.573262489999998"/>
        <n v="39.557389610000001"/>
        <n v="39.53651713"/>
        <n v="39.5351979"/>
        <n v="39.642375999999999"/>
        <n v="39.653390000000002"/>
        <n v="39.649484639999997"/>
        <m/>
      </sharedItems>
    </cacheField>
    <cacheField name="Longitude" numFmtId="0">
      <sharedItems containsBlank="1" containsMixedTypes="1" containsNumber="1" minValue="-121.59066559999999" maxValue="-104.7157917" count="1196">
        <n v="-121.3647156"/>
        <n v="-121.3827888"/>
        <n v="-121.3645223"/>
        <n v="-121.3631465"/>
        <n v="-121.3451551"/>
        <n v="-121.3272144"/>
        <n v="-121.3287804"/>
        <n v="-121.3282104"/>
        <n v="-121.32824340000001"/>
        <n v="-121.32755950000001"/>
        <n v="-121.3443094"/>
        <n v="-121.3277444"/>
        <n v="-121.3277197"/>
        <n v="-121.328819"/>
        <n v="-121.31474660000001"/>
        <n v="-121.2713543"/>
        <n v="-121.30772949999999"/>
        <n v="-121.3211115"/>
        <n v="-121.2847385"/>
        <n v="-121.29264619999999"/>
        <n v="-121.3211105"/>
        <n v="-121.2921149"/>
        <n v="-121.2719936"/>
        <n v="-121.27137500000001"/>
        <n v="-121.3126326"/>
        <n v="-121.2944428"/>
        <n v="-121.2717596"/>
        <n v="-121.3101443"/>
        <n v="-121.2720157"/>
        <n v="-121.2718057"/>
        <n v="-121.48081809999999"/>
        <n v="-121.390356"/>
        <n v="-121.408338"/>
        <n v="-121.4057723"/>
        <s v="N/A"/>
        <n v="-121.44399"/>
        <n v="-121.29986"/>
        <n v="-121.35420000000001"/>
        <n v="-121.3964849"/>
        <n v="-121.4173246"/>
        <n v="-121.3894653"/>
        <n v="-121.44614489999999"/>
        <n v="-121.37144410000001"/>
        <n v="-121.35177"/>
        <n v="-121.44862000000001"/>
        <n v="-121.4474731"/>
        <n v="-121.37184499999999"/>
        <n v="-121.4160347"/>
        <n v="-121.41862570000001"/>
        <n v="-121.37185460000001"/>
        <n v="-121.44822310000001"/>
        <n v="-121.3719451"/>
        <n v="-121.24388999999999"/>
        <n v="-121.271725"/>
        <n v="-121.2919144"/>
        <n v="-121.22684"/>
        <n v="-121.2233925"/>
        <n v="-121.30839229999999"/>
        <n v="-121.1826097"/>
        <n v="-121.16909"/>
        <n v="-121.122927"/>
        <n v="-121.1591195"/>
        <n v="-121.1236239"/>
        <n v="-121.1651146"/>
        <n v="-121.1646999"/>
        <n v="-121.1519902"/>
        <n v="-121.16512969999999"/>
        <n v="-121.12943129999999"/>
        <n v="-121.2950408"/>
        <n v="-121.3104361"/>
        <n v="-121.3045705"/>
        <n v="-121.3070163"/>
        <n v="-121.2971019"/>
        <n v="-121.2688112"/>
        <n v="-121.26776529999999"/>
        <n v="-121.2625843"/>
        <n v="-121.40212"/>
        <n v="-121.3826744"/>
        <n v="-121.38279"/>
        <n v="-121.39346999999999"/>
        <n v="-121.38319559999999"/>
        <n v="-121.3648"/>
        <n v="-121.3830857"/>
        <n v="-121.3831357"/>
        <n v="-121.3646962"/>
        <n v="-121.38259429999999"/>
        <n v="-121.38312569999999"/>
        <n v="-121.2552597"/>
        <n v="-121.20310859999999"/>
        <n v="-121.2018894"/>
        <n v="-121.2351575"/>
        <n v="-121.3087292"/>
        <n v="-121.2721477"/>
        <n v="-121.26503510000001"/>
        <n v="-121.2431838"/>
        <n v="-121.2652047"/>
        <n v="-121.2881402"/>
        <n v="-121.21928339999999"/>
        <n v="-121.2431273"/>
        <n v="-121.2626029"/>
        <n v="-121.2921645"/>
        <n v="-121.2842335"/>
        <n v="-121.2889285"/>
        <n v="-121.2431254"/>
        <n v="-121.0995242"/>
        <n v="-121.45741200000001"/>
        <n v="-121.45581"/>
        <n v="-121.5144485"/>
        <n v="-121.4261869"/>
        <n v="-121.4103951"/>
        <n v="-121.43805500000001"/>
        <n v="-121.40233000000001"/>
        <n v="-121.3358546"/>
        <n v="-121.39024000000001"/>
        <n v="-121.51416"/>
        <n v="-121.3461069"/>
        <n v="-121.38269699999999"/>
        <n v="-121.35777299999999"/>
        <n v="-121.43603400000001"/>
        <n v="-121.36132360000001"/>
        <n v="-121.3909903"/>
        <n v="-121.3362731"/>
        <n v="-121.4189715"/>
        <n v="-121.3285097"/>
        <n v="-121.3639257"/>
        <n v="-121.4879365"/>
        <n v="-121.38473999999999"/>
        <n v="-121.42748949999999"/>
        <n v="-121.4156354"/>
        <n v="-121.4831125"/>
        <n v="-121.4961356"/>
        <n v="-121.42905159999999"/>
        <n v="-121.37050600000001"/>
        <n v="-121.35867949999999"/>
        <n v="-121.4012546"/>
        <n v="-121.39064"/>
        <n v="-121.4755704"/>
        <n v="-121.5290557"/>
        <n v="-121.49518999999999"/>
        <n v="-121.48542689999999"/>
        <n v="-121.3832755"/>
        <n v="-121.3832226"/>
        <n v="-121.36568130000001"/>
        <n v="-121.40944500000001"/>
        <n v="-121.4080026"/>
        <n v="-121.5009443"/>
        <n v="-121.3345118"/>
        <n v="-121.49042559999999"/>
        <n v="-121.45445770000001"/>
        <n v="-121.44304889999999"/>
        <n v="-121.5302946"/>
        <n v="-121.46405"/>
        <n v="-121.4567344"/>
        <n v="-121.37132"/>
        <n v="-121.4911065"/>
        <n v="-121.4758255"/>
        <n v="-121.4782742"/>
        <n v="-121.59066559999999"/>
        <n v="-121.4260476"/>
        <n v="-121.46796689999999"/>
        <n v="-121.40868"/>
        <n v="-121.42122449999999"/>
        <n v="-121.3829934"/>
        <n v="-121.4276515"/>
        <n v="-121.50373999999999"/>
        <n v="-121.3551538"/>
        <n v="-121.4403047"/>
        <n v="-121.44364"/>
        <n v="-121.4320653"/>
        <n v="-121.36366"/>
        <n v="-121.509114"/>
        <n v="-121.53654040000001"/>
        <n v="-121.53292519999999"/>
        <n v="-121.4624104"/>
        <n v="-121.3274457"/>
        <n v="-121.39049319999999"/>
        <n v="-121.4315423"/>
        <n v="-121.4619416"/>
        <n v="-121.4981635"/>
        <n v="-121.52281000000001"/>
        <n v="-121.40745"/>
        <n v="-121.44380580000001"/>
        <n v="-121.4159081"/>
        <n v="-121.4948509"/>
        <n v="-121.3819032"/>
        <n v="-121.39421230000001"/>
        <n v="-121.4165089"/>
        <n v="-121.51179260000001"/>
        <n v="-121.3608838"/>
        <n v="-121.4111338"/>
        <n v="-121.522854"/>
        <n v="-121.4570726"/>
        <n v="-121.3656826"/>
        <n v="-121.52325"/>
        <n v="-121.4434712"/>
        <n v="-121.3714524"/>
        <n v="-121.3862136"/>
        <n v="-121.4138375"/>
        <n v="-121.4653014"/>
        <n v="-121.340234"/>
        <n v="-121.4854504"/>
        <n v="-121.5243426"/>
        <n v="-121.4822911"/>
        <n v="-121.4104313"/>
        <n v="-121.4381368"/>
        <n v="-121.3606078"/>
        <n v="-121.4039054"/>
        <n v="-121.51671090000001"/>
        <n v="-121.40142"/>
        <n v="-121.4833467"/>
        <n v="-121.4142775"/>
        <n v="-121.49963"/>
        <n v="-121.4265072"/>
        <n v="-121.4983428"/>
        <n v="-121.34919840000001"/>
        <n v="-121.40171549999999"/>
        <n v="-121.5414127"/>
        <n v="-121.5426842"/>
        <n v="-121.495825"/>
        <n v="-121.3659038"/>
        <n v="-121.4508709"/>
        <n v="-121.4545068"/>
        <n v="-121.3630433"/>
        <n v="-121.41522999999999"/>
        <n v="-121.49495469999999"/>
        <n v="-121.4825048"/>
        <n v="-106.0454625"/>
        <n v="-106.01689"/>
        <n v="-106.0565874"/>
        <n v="-106.05772109999999"/>
        <n v="-106.16679000000001"/>
        <n v="-106.095412"/>
        <n v="-106.106754"/>
        <n v="-106.0954067"/>
        <n v="-106.0712363"/>
        <n v="-106.0691815"/>
        <n v="-106.0710155"/>
        <n v="-106.0765165"/>
        <n v="-112.13825540000001"/>
        <n v="-112.1352919"/>
        <n v="-112.14929739999999"/>
        <n v="-112.13784769999999"/>
        <n v="-112.1115203"/>
        <n v="-112.34574259999999"/>
        <n v="-112.3412644"/>
        <n v="-112.29768"/>
        <n v="-112.3492852"/>
        <n v="-112.3242723"/>
        <n v="-112.34923999999999"/>
        <n v="-112.3406856"/>
        <n v="-112.3063456"/>
        <n v="-112.2883885"/>
        <n v="-112.30505530000001"/>
        <n v="-112.27278440000001"/>
        <n v="-112.29121859999999"/>
        <n v="-112.3408538"/>
        <n v="-112.2904714"/>
        <n v="-112.51260910000001"/>
        <n v="-112.5741103"/>
        <n v="-112.47864559999999"/>
        <n v="-112.5561806"/>
        <n v="-112.55656430000001"/>
        <n v="-112.48117240000001"/>
        <n v="-112.5910643"/>
        <n v="-112.5904125"/>
        <n v="-112.55564099999999"/>
        <n v="-111.9239862"/>
        <n v="-111.93444460000001"/>
        <n v="-111.9470711"/>
        <n v="-111.9921712"/>
        <n v="-111.97714000000001"/>
        <n v="-111.9901232"/>
        <n v="-111.9880809"/>
        <n v="-111.8417196"/>
        <n v="-111.8769295"/>
        <n v="-111.9655836"/>
        <n v="-111.79132"/>
        <n v="-111.91258670000001"/>
        <n v="-111.858296"/>
        <n v="-111.80665"/>
        <n v="-111.8415139"/>
        <n v="-111.7896339"/>
        <n v="-111.8414559"/>
        <n v="-111.8417541"/>
        <n v="-111.86587419999999"/>
        <n v="-111.789744"/>
        <n v="-111.8419042"/>
        <n v="-111.87623840000001"/>
        <n v="-111.8238479"/>
        <n v="-111.96173"/>
        <n v="-111.841346"/>
        <n v="-111.86835000000001"/>
        <n v="-111.96241999999999"/>
        <n v="-111.9684883"/>
        <n v="-111.85893590000001"/>
        <n v="-111.822531"/>
        <n v="-111.7912094"/>
        <n v="-111.92791889999999"/>
        <n v="-111.912969"/>
        <n v="-111.8762368"/>
        <n v="-111.8768445"/>
        <n v="-111.9108366"/>
        <n v="-111.89054"/>
        <n v="-111.84133439999999"/>
        <n v="-111.8067301"/>
        <n v="-111.7907372"/>
        <n v="-111.858575"/>
        <n v="-111.8755982"/>
        <n v="-111.8251673"/>
        <n v="-111.79922000000001"/>
        <n v="-111.858904"/>
        <n v="-111.9626062"/>
        <n v="-111.8589643"/>
        <n v="-111.8617788"/>
        <n v="-111.8226226"/>
        <n v="-111.89929909999999"/>
        <n v="-111.840996"/>
        <n v="-111.9449575"/>
        <n v="-111.8758875"/>
        <n v="-111.92744949999999"/>
        <n v="-111.8072258"/>
        <n v="-111.8761959"/>
        <n v="-111.7888425"/>
        <n v="-111.84089729999999"/>
        <n v="-111.8583802"/>
        <n v="-111.82485939999999"/>
        <n v="-112.3253832"/>
        <n v="-112.3417053"/>
        <n v="-112.34189569999999"/>
        <n v="-112.3238779"/>
        <n v="-111.7200369"/>
        <n v="-111.7138569"/>
        <n v="-111.7120388"/>
        <n v="-111.7603233"/>
        <n v="-111.7293275"/>
        <n v="-111.7171218"/>
        <n v="-111.7257312"/>
        <n v="-112.7310217"/>
        <n v="-112.7336621"/>
        <n v="-112.6743283"/>
        <n v="-111.7897421"/>
        <n v="-111.8068758"/>
        <n v="-111.75539019999999"/>
        <n v="-111.77166560000001"/>
        <n v="-111.80651140000001"/>
        <n v="-111.72113589999999"/>
        <n v="-111.7895858"/>
        <n v="-111.75646759999999"/>
        <n v="-111.7552859"/>
        <n v="-111.7214913"/>
        <n v="-111.6865179"/>
        <n v="-111.7220015"/>
        <n v="-111.78941589999999"/>
        <n v="-111.73874000000001"/>
        <n v="-111.8416658"/>
        <n v="-111.7741848"/>
        <n v="-111.7210006"/>
        <n v="-111.8059282"/>
        <n v="-111.754277"/>
        <n v="-111.8075544"/>
        <n v="-111.7554258"/>
        <n v="-111.7546057"/>
        <n v="-111.7556726"/>
        <n v="-111.72681"/>
        <n v="-111.751463"/>
        <n v="-111.80804000000001"/>
        <n v="-111.7220619"/>
        <n v="-111.7917521"/>
        <n v="-111.7559041"/>
        <n v="-111.73753000000001"/>
        <n v="-111.72075390000001"/>
        <n v="-111.78822839999999"/>
        <n v="-111.719397"/>
        <n v="-111.78938599999999"/>
        <n v="-111.7458247"/>
        <n v="-111.75591420000001"/>
        <n v="-111.72332"/>
        <n v="-111.789396"/>
        <n v="-111.75766470000001"/>
        <n v="-111.7197843"/>
        <n v="-111.8067659"/>
        <n v="-111.7570784"/>
        <n v="-111.7826238"/>
        <n v="-111.755388"/>
        <n v="-111.7726859"/>
        <n v="-111.7220179"/>
        <n v="-111.79146"/>
        <n v="-111.6860968"/>
        <n v="-111.72091589999999"/>
        <n v="-111.71978"/>
        <n v="-112.186842"/>
        <n v="-112.20324479999999"/>
        <n v="-112.16744"/>
        <n v="-112.1864345"/>
        <n v="-112.2203169"/>
        <n v="-112.1894515"/>
        <n v="-112.1679355"/>
        <n v="-112.3570181"/>
        <n v="-112.1869473"/>
        <n v="-112.18654220000001"/>
        <n v="-112.16046350000001"/>
        <n v="-112.1857634"/>
        <n v="-112.1516632"/>
        <n v="-112.1703725"/>
        <n v="-112.33932590000001"/>
        <n v="-112.13519479999999"/>
        <n v="-112.2029651"/>
        <n v="-112.23783450000001"/>
        <n v="-112.18648520000001"/>
        <n v="-112.1853078"/>
        <n v="-112.1856823"/>
        <n v="-112.2027659"/>
        <n v="-112.29017"/>
        <n v="-112.2022303"/>
        <n v="-112.30898999999999"/>
        <n v="-112.1531718"/>
        <n v="-112.2033706"/>
        <n v="-112.17795"/>
        <n v="-112.1698731"/>
        <n v="-112.15286639999999"/>
        <n v="-112.1836117"/>
        <n v="-112.18700459999999"/>
        <n v="-112.1990417"/>
        <n v="-112.20144999999999"/>
        <n v="-112.2027665"/>
        <n v="-112.176"/>
        <n v="-112.26039830000001"/>
        <n v="-112.1516846"/>
        <n v="-112.2033145"/>
        <n v="-112.20277369999999"/>
        <n v="-112.1669526"/>
        <n v="-112.17664000000001"/>
        <n v="-112.18592"/>
        <n v="-112.16928420000001"/>
        <n v="-112.2032548"/>
        <n v="-112.13492479999999"/>
        <n v="-112.2390647"/>
        <n v="-112.1663846"/>
        <n v="-112.202704"/>
        <n v="-112.1537235"/>
        <n v="-112.20104000000001"/>
        <n v="-112.35838440000001"/>
        <n v="-112.3579713"/>
        <n v="-112.3942823"/>
        <n v="-112.4100917"/>
        <n v="-112.3641865"/>
        <n v="-112.3927183"/>
        <n v="-112.426788"/>
        <n v="-112.4266363"/>
        <n v="-112.3578156"/>
        <n v="-112.392714"/>
        <n v="-112.42576099999999"/>
        <n v="-112.3922556"/>
        <n v="-112.3622469"/>
        <n v="-111.964555"/>
        <n v="-112.1348"/>
        <n v="-112.1692146"/>
        <n v="-112.16977660000001"/>
        <n v="-112.166695"/>
        <n v="-112.16862190000001"/>
        <n v="-112.33861"/>
        <n v="-112.34064549999999"/>
        <n v="-112.33984"/>
        <n v="-112.3546699"/>
        <n v="-112.33981180000001"/>
        <n v="-112.047697"/>
        <n v="-112.0447011"/>
        <n v="-112.0443023"/>
        <n v="-111.8490467"/>
        <n v="-111.8568166"/>
        <n v="-111.78791"/>
        <n v="-111.7880358"/>
        <n v="-111.8744157"/>
        <n v="-111.7542035"/>
        <n v="-111.6345671"/>
        <n v="-111.7534557"/>
        <n v="-111.68371569999999"/>
        <n v="-111.6842857"/>
        <n v="-111.8760175"/>
        <n v="-111.6323664"/>
        <n v="-111.62085980000001"/>
        <n v="-111.71917430000001"/>
        <n v="-111.6841852"/>
        <n v="-111.8028786"/>
        <n v="-111.8571689"/>
        <n v="-111.82423780000001"/>
        <n v="-111.82153"/>
        <n v="-111.8559175"/>
        <n v="-111.8398857"/>
        <n v="-111.8308356"/>
        <n v="-111.89227"/>
        <n v="-111.62321780000001"/>
        <n v="-111.873795"/>
        <n v="-111.6838556"/>
        <n v="-111.8234659"/>
        <n v="-111.83997429999999"/>
        <n v="-111.81399709999999"/>
        <n v="-111.8752394"/>
        <n v="-111.77065690000001"/>
        <n v="-111.8230343"/>
        <n v="-111.7546024"/>
        <n v="-111.7394358"/>
        <n v="-111.6845343"/>
        <n v="-111.63529629999999"/>
        <n v="-111.8051057"/>
        <n v="-111.84935"/>
        <n v="-111.73592499999999"/>
        <n v="-111.8742757"/>
        <n v="-111.7359663"/>
        <n v="-111.8403404"/>
        <n v="-111.8049438"/>
        <n v="-111.8070469"/>
        <n v="-111.7719132"/>
        <n v="-111.7536108"/>
        <n v="-111.87673270000001"/>
        <n v="-111.6870029"/>
        <n v="-111.6151957"/>
        <n v="-111.7897202"/>
        <n v="-111.7873608"/>
        <n v="-111.87502600000001"/>
        <n v="-111.667835"/>
        <n v="-111.7013857"/>
        <n v="-111.85626430000001"/>
        <n v="-111.7195742"/>
        <n v="-111.87361"/>
        <n v="-111.6844569"/>
        <n v="-111.5978631"/>
        <n v="-111.6320972"/>
        <n v="-111.84909829999999"/>
        <n v="-111.71826"/>
        <n v="-111.6842044"/>
        <n v="-111.72047739999999"/>
        <n v="-111.63254569999999"/>
        <n v="-111.87399240000001"/>
        <n v="-111.6359559"/>
        <n v="-111.85790540000001"/>
        <n v="-111.63255580000001"/>
        <n v="-111.78758999999999"/>
        <n v="-111.70267579999999"/>
        <n v="-111.68741780000001"/>
        <n v="-111.7345533"/>
        <n v="-111.8435771"/>
        <n v="-111.80473569999999"/>
        <n v="-111.6013952"/>
        <n v="-111.75241080000001"/>
        <n v="-111.8719588"/>
        <n v="-111.85988999999999"/>
        <n v="-111.6838656"/>
        <n v="-111.6010127"/>
        <n v="-111.63463"/>
        <n v="-111.6871641"/>
        <n v="-111.6838407"/>
        <n v="-111.86389699999999"/>
        <n v="-111.78804580000001"/>
        <n v="-111.6845058"/>
        <n v="-111.856013"/>
        <n v="-111.60057999999999"/>
        <n v="-111.73638579999999"/>
        <n v="-111.6838657"/>
        <n v="-111.7704067"/>
        <n v="-111.80627"/>
        <n v="-111.6816986"/>
        <n v="-111.77243"/>
        <n v="-111.7349292"/>
        <n v="-111.8477321"/>
        <n v="-111.6676243"/>
        <n v="-111.6155619"/>
        <n v="-111.68414439999999"/>
        <n v="-111.82249590000001"/>
        <n v="-111.63135459999999"/>
        <n v="-111.8751053"/>
        <n v="-111.6352875"/>
        <n v="-111.7017086"/>
        <n v="-111.85822"/>
        <n v="-112.2033321"/>
        <n v="-112.2518"/>
        <n v="-112.2364316"/>
        <n v="-112.23754219999999"/>
        <n v="-112.2797152"/>
        <n v="-112.24777"/>
        <n v="-112.2544402"/>
        <n v="-112.2204662"/>
        <n v="-112.21952229999999"/>
        <n v="-112.2377791"/>
        <n v="-112.2374834"/>
        <n v="-112.23822"/>
        <n v="-112.23506500000001"/>
        <n v="-112.23832"/>
        <n v="-112.2631342"/>
        <n v="-112.2759337"/>
        <n v="-112.2467589"/>
        <n v="-112.20366110000001"/>
        <n v="-112.2371606"/>
        <n v="-112.3385749"/>
        <n v="-112.24764999999999"/>
        <n v="-112.219297"/>
        <n v="-112.25339080000001"/>
        <n v="-112.2708492"/>
        <n v="-112.239408"/>
        <n v="-112.2409631"/>
        <n v="-112.2879921"/>
        <n v="-112.2379284"/>
        <n v="-112.30379000000001"/>
        <n v="-112.272823"/>
        <n v="-112.23074"/>
        <n v="-112.3230334"/>
        <n v="-112.25416"/>
        <n v="-112.2193224"/>
        <n v="-112.23860999999999"/>
        <n v="-112.2539945"/>
        <n v="-112.2801948"/>
        <n v="-112.0300455"/>
        <n v="-112.22029550000001"/>
        <n v="-112.1123283"/>
        <n v="-112.1157633"/>
        <n v="-112.18653999999999"/>
        <n v="-111.9791455"/>
        <n v="-112.0400004"/>
        <n v="-112.13003380000001"/>
        <n v="-112.1199354"/>
        <n v="-112.0826667"/>
        <n v="-111.9704636"/>
        <n v="-111.99722180000001"/>
        <n v="-111.9966002"/>
        <n v="-112.0621373"/>
        <n v="-112.09838190000001"/>
        <n v="-112.01307370000001"/>
        <n v="-112.18638"/>
        <n v="-111.97928829999999"/>
        <n v="-112.20332449999999"/>
        <n v="-112.1175085"/>
        <n v="-112.2729126"/>
        <n v="-111.98384"/>
        <n v="-112.07357930000001"/>
        <n v="-111.97711889999999"/>
        <n v="-112.0994954"/>
        <n v="-112.0306853"/>
        <n v="-112.1271601"/>
        <n v="-112.1516256"/>
        <n v="-112.151353"/>
        <n v="-112.1169656"/>
        <n v="-112.0565714"/>
        <n v="-112.15168250000001"/>
        <n v="-112.0134185"/>
        <n v="-112.16898"/>
        <n v="-111.9789603"/>
        <n v="-112.0633524"/>
        <n v="-112.01292429999999"/>
        <n v="-112.0648255"/>
        <n v="-112.1506613"/>
        <n v="-112.0132564"/>
        <n v="-112.1348184"/>
        <n v="-112.0730958"/>
        <n v="-112.03544840000001"/>
        <n v="-112.11794829999999"/>
        <n v="-112.16952999999999"/>
        <n v="-112.20049469999999"/>
        <n v="-111.9863613"/>
        <n v="-112.01269000000001"/>
        <n v="-112.1167255"/>
        <n v="-111.9792253"/>
        <n v="-112.2530253"/>
        <n v="-112.084075"/>
        <n v="-112.1333637"/>
        <n v="-112.10145"/>
        <n v="-112.1346344"/>
        <n v="-112.0474557"/>
        <n v="-112.11677779999999"/>
        <n v="-112.0564145"/>
        <n v="-112.0824092"/>
        <n v="-112.09423"/>
        <n v="-112.09930970000001"/>
        <n v="-112.0317604"/>
        <n v="-112.11696070000001"/>
        <n v="-111.9958511"/>
        <n v="-112.01305429999999"/>
        <n v="-112.12560000000001"/>
        <n v="-112.1000635"/>
        <n v="-112.06498000000001"/>
        <n v="-112.13425340000001"/>
        <n v="-112.0652078"/>
        <n v="-112.08174579999999"/>
        <n v="-112.1169967"/>
        <n v="-112.0918442"/>
        <n v="-112.08257450000001"/>
        <n v="-112.03019810000001"/>
        <n v="-112.0053759"/>
        <n v="-112.1000944"/>
        <n v="-112.0300026"/>
        <n v="-111.98672139999999"/>
        <n v="-112.0652424"/>
        <n v="-112.1003037"/>
        <n v="-112.0820842"/>
        <n v="-112.0735655"/>
        <n v="-111.98760679999999"/>
        <n v="-112.0477413"/>
        <n v="-112.097089"/>
        <n v="-112.07333079999999"/>
        <n v="-112.06509730000001"/>
        <n v="-112.06568470000001"/>
        <n v="-112.0830996"/>
        <n v="-112.01308"/>
        <n v="-112.01355150000001"/>
        <n v="-111.9774627"/>
        <n v="-112.11173359999999"/>
        <n v="-112.0733542"/>
        <n v="-112.0992557"/>
        <n v="-112.03011239999999"/>
        <n v="-112.099383"/>
        <n v="-112.1346044"/>
        <n v="-112.134494"/>
        <n v="-112.07534440000001"/>
        <n v="-111.9970746"/>
        <n v="-112.13748750000001"/>
        <n v="-112.0904164"/>
        <n v="-112.0047797"/>
        <n v="-111.97040440000001"/>
        <n v="-112.1515857"/>
        <n v="-112.0176125"/>
        <n v="-112.0578086"/>
        <n v="-112.09907"/>
        <n v="-112.10466"/>
        <n v="-111.99644139999999"/>
        <n v="-112.0650401"/>
        <n v="-112.11622"/>
        <n v="-112.2208948"/>
        <n v="-111.9802577"/>
        <n v="-112.0820914"/>
        <n v="-112.09828"/>
        <n v="-112.13335170000001"/>
        <n v="-112.1512926"/>
        <n v="-112.09944539999999"/>
        <n v="-112.11709449999999"/>
        <n v="-112.06561000000001"/>
        <n v="-112.0373647"/>
        <n v="-112.1345335"/>
        <n v="-112.0493511"/>
        <n v="-112.1516568"/>
        <n v="-112.01342459999999"/>
        <n v="-111.9773185"/>
        <n v="-112.014015"/>
        <n v="-111.9794524"/>
        <n v="-112.07392"/>
        <n v="-112.05590290000001"/>
        <n v="-111.97765080000001"/>
        <n v="-112.13294500000001"/>
        <n v="-112.08312479999999"/>
        <n v="-112.11329000000001"/>
        <n v="-112.15107570000001"/>
        <n v="-111.98701490000001"/>
        <n v="-112.23707"/>
        <n v="-111.9776707"/>
        <n v="-112.081794"/>
        <n v="-111.9767705"/>
        <n v="-112.27218190000001"/>
        <n v="-112.2042"/>
        <n v="-112.1626488"/>
        <n v="-112.2361812"/>
        <n v="-112.06874000000001"/>
        <n v="-111.9888997"/>
        <n v="-111.976905"/>
        <n v="-112.25506559999999"/>
        <n v="-112.0660591"/>
        <n v="-112.0658597"/>
        <n v="-112.1329837"/>
        <n v="-112.1089308"/>
        <n v="-112.0135047"/>
        <n v="-112.13463400000001"/>
        <n v="-112.1010843"/>
        <n v="-112.0481193"/>
        <n v="-111.99737"/>
        <n v="-112.11809"/>
        <n v="-112.04756"/>
        <n v="-112.2375255"/>
        <n v="-111.996196"/>
        <n v="-112.20312560000001"/>
        <n v="-111.9960847"/>
        <n v="-112.13408509999999"/>
        <n v="-112.09139860000001"/>
        <n v="-112.1178444"/>
        <n v="-112.1103214"/>
        <n v="-112.22004219999999"/>
        <n v="-112.01365149999999"/>
        <n v="-112.0476025"/>
        <n v="-112.0480855"/>
        <n v="-112.18423"/>
        <n v="-112.103585"/>
        <n v="-112.20227"/>
        <n v="-112.0595727"/>
        <n v="-112.13514259999999"/>
        <n v="-112.04781439999999"/>
        <n v="-111.9776253"/>
        <n v="-111.9755279"/>
        <n v="-112.2902239"/>
        <n v="-111.99718"/>
        <n v="-112.1338489"/>
        <n v="-111.9780623"/>
        <n v="-111.9780547"/>
        <n v="-112.2551643"/>
        <n v="-112.0653446"/>
        <n v="-112.1691537"/>
        <n v="-112.1107959"/>
        <n v="-112.18481319999999"/>
        <n v="-112.03066440000001"/>
        <n v="-112.2032256"/>
        <n v="-111.9959322"/>
        <n v="-112.11166900000001"/>
        <n v="-112.16886100000001"/>
        <n v="-111.9784343"/>
        <n v="-112.0998957"/>
        <n v="-111.995328"/>
        <n v="-112.20114289999999"/>
        <n v="-112.149794"/>
        <n v="-112.08418519999999"/>
        <n v="-112.0390345"/>
        <n v="-111.9851927"/>
        <n v="-112.0161615"/>
        <n v="-112.0056132"/>
        <n v="-112.13151000000001"/>
        <n v="-112.0667389"/>
        <n v="-112.0611542"/>
        <n v="-111.97978000000001"/>
        <n v="-112.1195616"/>
        <n v="-112.012731"/>
        <n v="-112.2382327"/>
        <n v="-112.0977772"/>
        <n v="-111.999368"/>
        <n v="-112.13543"/>
        <n v="-112.11083000000001"/>
        <n v="-112.05425"/>
        <n v="-112.1348041"/>
        <n v="-112.23875409999999"/>
        <n v="-112.03161"/>
        <n v="-112.0725351"/>
        <n v="-112.1146026"/>
        <n v="-112.15005619999999"/>
        <n v="-112.111695"/>
        <n v="-111.9811924"/>
        <n v="-112.0396063"/>
        <n v="-112.20350000000001"/>
        <n v="-111.9967"/>
        <n v="-112.06263250000001"/>
        <n v="-112.04746919999999"/>
        <n v="-112.0816334"/>
        <n v="-112.0655491"/>
        <n v="-112.05466610000001"/>
        <n v="-112.0145156"/>
        <n v="-111.97902999999999"/>
        <n v="-112.1336143"/>
        <n v="-112.0673864"/>
        <n v="-111.9794409"/>
        <n v="-112.06717"/>
        <n v="-111.9799543"/>
        <n v="-112.0657547"/>
        <n v="-112.0994311"/>
        <n v="-112.04627000000001"/>
        <n v="-112.21852509999999"/>
        <n v="-112.1197931"/>
        <n v="-112.0338733"/>
        <n v="-112.00458"/>
        <n v="-111.9812625"/>
        <n v="-111.9850122"/>
        <n v="-112.1323388"/>
        <n v="-112.1689418"/>
        <n v="-111.97805959999999"/>
        <n v="-111.97876359999999"/>
        <n v="-112.0132462"/>
        <n v="-112.0147444"/>
        <n v="-112.0476338"/>
        <n v="-111.9601153"/>
        <n v="-112.0301875"/>
        <n v="-111.97762539999999"/>
        <n v="-112.07407430000001"/>
        <n v="-112.0714414"/>
        <n v="-112.1118"/>
        <n v="-112.0473296"/>
        <n v="-112.0041071"/>
        <n v="-111.99803540000001"/>
        <n v="-112.1334011"/>
        <n v="-111.9967408"/>
        <n v="-112.13342"/>
        <n v="-112.0300323"/>
        <n v="-112.0292415"/>
        <n v="-112.2375658"/>
        <n v="-111.9958889"/>
        <n v="-112.15063069999999"/>
        <n v="-112.1342083"/>
        <n v="-112.0546173"/>
        <n v="-112.23806"/>
        <n v="-112.0633509"/>
        <n v="-112.15292239999999"/>
        <n v="-111.98710440000001"/>
        <n v="-112.18667670000001"/>
        <n v="-112.0984579"/>
        <n v="-112.25356650000001"/>
        <n v="-112.09982460000001"/>
        <n v="-112.0646917"/>
        <n v="-112.0295689"/>
        <n v="-112.0648544"/>
        <n v="-112.06479469999999"/>
        <n v="-112.20343440000001"/>
        <n v="-112.0652154"/>
        <n v="-112.0967491"/>
        <n v="-112.237936"/>
        <n v="-112.0650555"/>
        <n v="-112.0995588"/>
        <n v="-111.97951449999999"/>
        <n v="-112.11866759999999"/>
        <n v="-111.685682"/>
        <n v="-111.68564600000001"/>
        <n v="-111.5631776"/>
        <n v="-111.634336"/>
        <n v="-111.5942005"/>
        <n v="-111.65497000000001"/>
        <n v="-111.6031938"/>
        <n v="-111.6342061"/>
        <n v="-111.68402020000001"/>
        <n v="-111.63824390000001"/>
        <n v="-111.62567730000001"/>
        <n v="-111.59946100000001"/>
        <n v="-111.6153695"/>
        <n v="-111.9002546"/>
        <n v="-111.89991000000001"/>
        <n v="-111.8742331"/>
        <n v="-111.8876478"/>
        <n v="-111.9281124"/>
        <n v="-111.8903352"/>
        <n v="-111.92564539999999"/>
        <n v="-111.8344329"/>
        <n v="-111.9259856"/>
        <n v="-111.908357"/>
        <n v="-111.89933069999999"/>
        <n v="-111.90794150000001"/>
        <n v="-111.8626556"/>
        <n v="-111.9349244"/>
        <n v="-111.91768449999999"/>
        <n v="-111.93247"/>
        <n v="-111.90894"/>
        <n v="-111.9354647"/>
        <n v="-111.9178567"/>
        <n v="-111.90906440000001"/>
        <n v="-111.9270909"/>
        <n v="-111.8651531"/>
        <n v="-111.88844760000001"/>
        <n v="-111.9251752"/>
        <n v="-111.90317"/>
        <n v="-111.8432487"/>
        <n v="-111.9087473"/>
        <n v="-111.9055765"/>
        <n v="-111.9087047"/>
        <n v="-111.92629460000001"/>
        <n v="-111.8646081"/>
        <n v="-111.960021"/>
        <n v="-111.92588170000001"/>
        <n v="-111.94438"/>
        <n v="-111.8866764"/>
        <n v="-111.92093"/>
        <n v="-111.9131144"/>
        <n v="-111.9760201"/>
        <n v="-111.88864030000001"/>
        <n v="-111.90621489999999"/>
        <n v="-111.92564659999999"/>
        <n v="-111.92528540000001"/>
        <n v="-111.8974753"/>
        <n v="-111.9251404"/>
        <n v="-111.91065500000001"/>
        <n v="-111.8743056"/>
        <n v="-111.8902952"/>
        <n v="-111.9415465"/>
        <n v="-111.925625"/>
        <n v="-111.9257454"/>
        <n v="-111.886894"/>
        <n v="-111.8799933"/>
        <n v="-111.9260045"/>
        <n v="-111.86293860000001"/>
        <n v="-111.9059204"/>
        <n v="-111.92640280000001"/>
        <n v="-111.9299743"/>
        <n v="-111.8896779"/>
        <n v="-111.92798019999999"/>
        <n v="-111.9108354"/>
        <n v="-111.9084156"/>
        <n v="-111.8746178"/>
        <n v="-111.8395696"/>
        <n v="-111.8440202"/>
        <n v="-111.89776999999999"/>
        <n v="-112.28133"/>
        <n v="-112.27215339999999"/>
        <n v="-112.2886639"/>
        <n v="-112.29187"/>
        <n v="-112.29062279999999"/>
        <n v="-112.26979059999999"/>
        <n v="-112.3602054"/>
        <n v="-112.3553273"/>
        <n v="-112.35491"/>
        <n v="-112.3508693"/>
        <n v="-111.8599081"/>
        <n v="-111.8606145"/>
        <n v="-112.3740454"/>
        <n v="-112.3915918"/>
        <n v="-112.33348959999999"/>
        <n v="-112.4087803"/>
        <n v="-112.304615"/>
        <n v="-112.3596149"/>
        <n v="-112.37429109999999"/>
        <n v="-112.42112"/>
        <n v="-112.39517309999999"/>
        <n v="-112.3614188"/>
        <n v="-112.46876"/>
        <n v="-112.4266253"/>
        <n v="-112.4247225"/>
        <n v="-112.35779599999999"/>
        <n v="-112.4323715"/>
        <n v="-112.35380499999999"/>
        <n v="-112.3589644"/>
        <n v="-112.3932677"/>
        <n v="-112.3688865"/>
        <n v="-112.42609330000001"/>
        <n v="-112.394435"/>
        <n v="-111.9092292"/>
        <n v="-111.9391868"/>
        <n v="-111.9448778"/>
        <n v="-111.9518956"/>
        <n v="-111.9117073"/>
        <n v="-111.9501606"/>
        <n v="-111.9262056"/>
        <n v="-111.9546567"/>
        <n v="-111.9592945"/>
        <n v="-111.9595767"/>
        <n v="-111.928235"/>
        <n v="-111.95226289999999"/>
        <n v="-111.9620875"/>
        <n v="-111.93973680000001"/>
        <n v="-111.94146050000001"/>
        <n v="-111.94661859999999"/>
        <n v="-111.92882419999999"/>
        <n v="-111.9265844"/>
        <n v="-111.96421789999999"/>
        <n v="-111.9633671"/>
        <n v="-111.95372"/>
        <n v="-111.89261999999999"/>
        <n v="-111.9110458"/>
        <n v="-111.9460048"/>
        <n v="-111.8920004"/>
        <n v="-111.90861"/>
        <n v="-111.96281"/>
        <n v="-111.9266944"/>
        <n v="-111.9286342"/>
        <n v="-111.9397577"/>
        <n v="-111.9261458"/>
        <n v="-111.9099662"/>
        <n v="-111.9769668"/>
        <n v="-111.90939419999999"/>
        <n v="-111.92836440000001"/>
        <n v="-111.8960235"/>
        <n v="-111.9253157"/>
        <n v="-111.91332300000001"/>
        <n v="-111.90903710000001"/>
        <n v="-111.9072467"/>
        <n v="-111.94001419999999"/>
        <n v="-111.91039000000001"/>
        <n v="-111.9532122"/>
        <n v="-111.91136419999999"/>
        <n v="-111.9099346"/>
        <n v="-112.3060042"/>
        <n v="-112.23817560000001"/>
        <n v="-112.2385618"/>
        <n v="-112.2555873"/>
        <n v="-112.2723206"/>
        <n v="-112.23852429999999"/>
        <n v="-112.2698221"/>
        <n v="-112.937152"/>
        <n v="-112.7326255"/>
        <n v="-112.73009"/>
        <n v="-112.7717519"/>
        <n v="-104.8633918"/>
        <n v="-104.8485592"/>
        <n v="-104.8274409"/>
        <n v="-104.84819330000001"/>
        <n v="-104.767015"/>
        <n v="-104.83589980000001"/>
        <n v="-104.817984"/>
        <n v="-104.77104"/>
        <n v="-104.8212"/>
        <n v="-104.7600207"/>
        <n v="-104.7373"/>
        <n v="-104.8308315"/>
        <n v="-104.8657353"/>
        <n v="-104.77480300000001"/>
        <n v="-104.7672682"/>
        <n v="-104.7990681"/>
        <n v="-104.810097"/>
        <n v="-104.86612820000001"/>
        <n v="-104.8283788"/>
        <n v="-104.8472519"/>
        <n v="-104.7157917"/>
        <n v="-104.8101289"/>
        <n v="-104.8063815"/>
        <n v="-104.8281217"/>
        <n v="-104.828582"/>
        <n v="-104.84697180000001"/>
        <n v="-104.77272809999999"/>
        <n v="-104.8101882"/>
        <n v="-104.8195182"/>
        <n v="-104.7721719"/>
        <n v="-104.8107725"/>
        <n v="-104.77646"/>
        <n v="-104.84697629999999"/>
        <n v="-104.790481"/>
        <n v="-104.7917333"/>
        <n v="-104.7400909"/>
        <n v="-104.8459399"/>
        <n v="-104.77005250000001"/>
        <n v="-104.86610930000001"/>
        <n v="-104.8222882"/>
        <n v="-104.86571189999999"/>
        <n v="-104.7911362"/>
        <n v="-104.8479687"/>
        <n v="-104.8097436"/>
        <n v="-104.8478779"/>
        <n v="-104.7547577"/>
        <n v="-104.7729561"/>
        <n v="-104.80982"/>
        <n v="-104.8648736"/>
        <n v="-104.7714265"/>
        <n v="-104.880375"/>
        <n v="-104.86615140000001"/>
        <n v="-104.9022544"/>
        <n v="-104.96012210000001"/>
        <n v="-104.9884746"/>
        <n v="-104.7705771"/>
        <n v="-104.9274927"/>
        <n v="-104.75900009999999"/>
        <n v="-104.9291836"/>
        <n v="-104.96063789999999"/>
        <n v="-104.9228521"/>
        <n v="-104.85898640000001"/>
        <n v="-104.90312950000001"/>
        <n v="-104.9617303"/>
        <n v="-104.88481"/>
        <n v="-104.79052900000001"/>
        <n v="-104.97263700000001"/>
        <n v="-104.9874619"/>
        <n v="-104.98811809999999"/>
        <n v="-104.9878533"/>
        <n v="-104.8522383"/>
        <n v="-105.0320701"/>
        <n v="-105.0088622"/>
        <n v="-104.80889999999999"/>
        <n v="-105.02559050000001"/>
        <n v="-105.0133616"/>
        <n v="-105.0115237"/>
        <n v="-104.98762139999999"/>
        <n v="-104.9046249"/>
        <n v="-104.99348259999999"/>
        <n v="-105.025257"/>
        <n v="-104.9596774"/>
        <n v="-104.9888559"/>
        <n v="-104.98478"/>
        <n v="-104.98646669999999"/>
        <n v="-104.90457790000001"/>
        <n v="-104.98735189999999"/>
        <n v="-104.8763129"/>
        <n v="-104.88865199999999"/>
        <n v="-104.8811274"/>
        <n v="-104.89873"/>
        <n v="-104.9041264"/>
        <n v="-104.885012"/>
        <n v="-104.92258200000001"/>
        <n v="-104.88093600000001"/>
        <n v="-105.0360567"/>
        <n v="-104.99234389999999"/>
        <n v="-104.9877063"/>
        <n v="-105.0143765"/>
        <n v="-104.9923029"/>
        <n v="-105.0057442"/>
        <n v="-104.9918052"/>
        <n v="-105.00552999999999"/>
        <n v="-104.988308"/>
        <n v="-105.0284564"/>
        <n v="-104.98781200000001"/>
        <n v="-104.8839189"/>
        <n v="-104.9019656"/>
        <n v="-105.00641"/>
        <n v="-104.95573"/>
        <n v="-104.98984"/>
        <n v="-104.98995619999999"/>
        <n v="-104.99194869999999"/>
        <n v="-104.9880272"/>
        <n v="-104.8816776"/>
        <n v="-104.8823218"/>
        <n v="-104.8822413"/>
        <n v="-105.0251619"/>
        <n v="-105.0254381"/>
        <n v="-105.00871290000001"/>
        <m/>
      </sharedItems>
    </cacheField>
    <cacheField name="City" numFmtId="0">
      <sharedItems containsBlank="1" count="59">
        <s v="ANTELOPE"/>
        <s v="CARMICHAEL"/>
        <s v="CITRUS HEIGHTS"/>
        <s v="ELK GROVE"/>
        <s v="FAIR OAKS"/>
        <s v="FOLSOM"/>
        <s v="GALT"/>
        <s v="GOLD RIVER"/>
        <s v="MCCLELLAN AFB"/>
        <s v="NORTH HIGHLANDS"/>
        <s v="ORANGEVALE"/>
        <s v="RANCHO CORDOVA"/>
        <s v="RANCHO MURIETA"/>
        <s v="RIO LINDA"/>
        <s v="SACRAMENTO"/>
        <s v="BRECKENRIDGE"/>
        <s v="DILLON"/>
        <s v="FRISCO"/>
        <s v="SILVERTHORNE"/>
        <s v="ANTHEM"/>
        <s v="AVONDALE"/>
        <s v="BUCKEYE"/>
        <s v="CAREFREE"/>
        <s v="CAVE CREEK"/>
        <s v="CHANDLER"/>
        <s v="EL MIRAGE"/>
        <s v="FOUNTAIN HILLS"/>
        <s v="GILA BEND"/>
        <s v="GILBERT"/>
        <s v="GLENDALE"/>
        <s v="GOODYEAR"/>
        <s v="GUADALUPE"/>
        <s v="LAVEEN"/>
        <s v="LITCHFIELD PARK"/>
        <s v="LUKE AFB"/>
        <s v="MARICOPA"/>
        <s v="MESA"/>
        <s v="PEORIA"/>
        <s v="PHOENIX"/>
        <s v="QUEEN CREEK"/>
        <s v="SAN TAN VALLEY"/>
        <s v="SCOTTSDALE"/>
        <s v="SUN CITY"/>
        <s v="SUN CITY WEST"/>
        <s v="SUN LAKES"/>
        <s v="SURPRISE"/>
        <s v="TEMPE"/>
        <s v="TOLLESON"/>
        <s v="TONOPAH"/>
        <s v="WICKENBURG"/>
        <s v="AURORA"/>
        <s v="CENTENNIAL"/>
        <s v="ENGLEWOOD"/>
        <s v="GREENWOOD VILLAGE"/>
        <s v="HIGHLANDS RANCH"/>
        <s v="LITTLETON"/>
        <s v="LONE TREE"/>
        <s v="SHERIDAN"/>
        <m/>
      </sharedItems>
    </cacheField>
    <cacheField name="State" numFmtId="0">
      <sharedItems containsBlank="1" count="4">
        <s v="CA"/>
        <s v="CO"/>
        <s v="AZ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Ezeanioma" refreshedDate="45924.839601157408" createdVersion="8" refreshedVersion="8" minRefreshableVersion="3" recordCount="1229" xr:uid="{5924B0A2-71AA-674A-BCEB-77DABBA270A9}">
  <cacheSource type="worksheet">
    <worksheetSource ref="A1:H1230" sheet="Circana Data"/>
  </cacheSource>
  <cacheFields count="7">
    <cacheField name="Stores" numFmtId="0">
      <sharedItems/>
    </cacheField>
    <cacheField name="Dollar Sales" numFmtId="0">
      <sharedItems containsString="0" containsBlank="1" containsNumber="1" minValue="591.73" maxValue="327853.78999999998"/>
    </cacheField>
    <cacheField name="County" numFmtId="0">
      <sharedItems count="4">
        <s v="SACRAMENTO"/>
        <s v="SUMMIT"/>
        <s v="MARICOPA"/>
        <s v="ARAPAHOE"/>
      </sharedItems>
    </cacheField>
    <cacheField name="Latitude" numFmtId="0">
      <sharedItems containsMixedTypes="1" containsNumber="1" minValue="32.930386839999997" maxValue="39.74038899"/>
    </cacheField>
    <cacheField name="Longitude" numFmtId="0">
      <sharedItems containsMixedTypes="1" containsNumber="1" minValue="-121.59066559999999" maxValue="-104.7157917"/>
    </cacheField>
    <cacheField name="City" numFmtId="0">
      <sharedItems count="58">
        <s v="ANTELOPE"/>
        <s v="CARMICHAEL"/>
        <s v="CITRUS HEIGHTS"/>
        <s v="ELK GROVE"/>
        <s v="FAIR OAKS"/>
        <s v="FOLSOM"/>
        <s v="GALT"/>
        <s v="GOLD RIVER"/>
        <s v="MCCLELLAN AFB"/>
        <s v="NORTH HIGHLANDS"/>
        <s v="ORANGEVALE"/>
        <s v="RANCHO CORDOVA"/>
        <s v="RANCHO MURIETA"/>
        <s v="RIO LINDA"/>
        <s v="SACRAMENTO"/>
        <s v="BRECKENRIDGE"/>
        <s v="DILLON"/>
        <s v="FRISCO"/>
        <s v="SILVERTHORNE"/>
        <s v="ANTHEM"/>
        <s v="AVONDALE"/>
        <s v="BUCKEYE"/>
        <s v="CAREFREE"/>
        <s v="CAVE CREEK"/>
        <s v="CHANDLER"/>
        <s v="EL MIRAGE"/>
        <s v="FOUNTAIN HILLS"/>
        <s v="GILA BEND"/>
        <s v="GILBERT"/>
        <s v="GLENDALE"/>
        <s v="GOODYEAR"/>
        <s v="GUADALUPE"/>
        <s v="LAVEEN"/>
        <s v="LITCHFIELD PARK"/>
        <s v="LUKE AFB"/>
        <s v="MARICOPA"/>
        <s v="MESA"/>
        <s v="PEORIA"/>
        <s v="PHOENIX"/>
        <s v="QUEEN CREEK"/>
        <s v="SAN TAN VALLEY"/>
        <s v="SCOTTSDALE"/>
        <s v="SUN CITY"/>
        <s v="SUN CITY WEST"/>
        <s v="SUN LAKES"/>
        <s v="SURPRISE"/>
        <s v="TEMPE"/>
        <s v="TOLLESON"/>
        <s v="TONOPAH"/>
        <s v="WICKENBURG"/>
        <s v="AURORA"/>
        <s v="CENTENNIAL"/>
        <s v="ENGLEWOOD"/>
        <s v="GREENWOOD VILLAGE"/>
        <s v="HIGHLANDS RANCH"/>
        <s v="LITTLETON"/>
        <s v="LONE TREE"/>
        <s v="SHERIDAN"/>
      </sharedItems>
    </cacheField>
    <cacheField name="Sta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Ezeanioma" refreshedDate="45924.875081134262" createdVersion="8" refreshedVersion="8" minRefreshableVersion="3" recordCount="1229" xr:uid="{0416AFA4-CBE9-B24E-BF9A-414DA9A2A82F}">
  <cacheSource type="worksheet">
    <worksheetSource ref="A1:I1230" sheet="Circana Data"/>
  </cacheSource>
  <cacheFields count="9">
    <cacheField name="Stores" numFmtId="0">
      <sharedItems/>
    </cacheField>
    <cacheField name="Dollar Sales" numFmtId="0">
      <sharedItems containsString="0" containsBlank="1" containsNumber="1" minValue="591.73" maxValue="327853.78999999998" count="1208">
        <n v="72882.95"/>
        <n v="102161.62"/>
        <n v="66148.350000000006"/>
        <n v="4169.4799999999996"/>
        <n v="58705.04"/>
        <n v="27651.599999999999"/>
        <n v="45741.82"/>
        <n v="45438.5"/>
        <n v="37934.07"/>
        <n v="52203.83"/>
        <n v="40987.79"/>
        <n v="2311.8200000000002"/>
        <n v="71172.399999999994"/>
        <n v="4200.49"/>
        <n v="66570.63"/>
        <n v="45729.01"/>
        <n v="65555.850000000006"/>
        <n v="50253.23"/>
        <n v="47354.720000000001"/>
        <n v="50143.44"/>
        <n v="34695.53"/>
        <n v="65782.77"/>
        <n v="38398.910000000003"/>
        <n v="42729.88"/>
        <n v="61003.5"/>
        <n v="59581.16"/>
        <n v="105637.8"/>
        <n v="24000.07"/>
        <n v="13980.16"/>
        <m/>
        <n v="32524.87"/>
        <n v="34119.61"/>
        <n v="67661.460000000006"/>
        <n v="56041.66"/>
        <n v="7051.6"/>
        <n v="80337.73"/>
        <n v="47156.88"/>
        <n v="145562.99"/>
        <n v="66556.34"/>
        <n v="80448.23"/>
        <n v="12314.61"/>
        <n v="31578"/>
        <n v="36540.230000000003"/>
        <n v="50864.54"/>
        <n v="43992.77"/>
        <n v="49564.06"/>
        <n v="44150.86"/>
        <n v="41747.21"/>
        <n v="117734.01"/>
        <n v="37266.82"/>
        <n v="14256.47"/>
        <n v="24592.07"/>
        <n v="14373.95"/>
        <n v="71640.820000000007"/>
        <n v="33870.01"/>
        <n v="48368.2"/>
        <n v="45323.77"/>
        <n v="65109.25"/>
        <n v="99284.71"/>
        <n v="46558.85"/>
        <n v="23301.09"/>
        <n v="40248.639999999999"/>
        <n v="20846.97"/>
        <n v="42516.15"/>
        <n v="2151.1"/>
        <n v="55748.4"/>
        <n v="74237.34"/>
        <n v="11999.01"/>
        <n v="49500.33"/>
        <n v="146922.21"/>
        <n v="42413.23"/>
        <n v="35954.97"/>
        <n v="60762.39"/>
        <n v="50438.06"/>
        <n v="70345.990000000005"/>
        <n v="32717.4"/>
        <n v="27352.51"/>
        <n v="50074.47"/>
        <n v="59251.47"/>
        <n v="104731.24"/>
        <n v="77698.81"/>
        <n v="17080.939999999999"/>
        <n v="66403.88"/>
        <n v="3410.38"/>
        <n v="28219.55"/>
        <n v="20048.21"/>
        <n v="56182.59"/>
        <n v="64151.24"/>
        <n v="53098.04"/>
        <n v="52616.72"/>
        <n v="59092.61"/>
        <n v="37636.15"/>
        <n v="90218.51"/>
        <n v="72402.570000000007"/>
        <n v="71949.86"/>
        <n v="41327.599999999999"/>
        <n v="48044.77"/>
        <n v="61330.33"/>
        <n v="2386.54"/>
        <n v="87773.440000000002"/>
        <n v="83232.929999999993"/>
        <n v="18054.82"/>
        <n v="38098.07"/>
        <n v="59189.760000000002"/>
        <n v="4219.6400000000003"/>
        <n v="58709.89"/>
        <n v="39568.57"/>
        <n v="34578.53"/>
        <n v="51921.87"/>
        <n v="44255.01"/>
        <n v="52878.93"/>
        <n v="45595.85"/>
        <n v="45097.89"/>
        <n v="54650.35"/>
        <n v="41955.41"/>
        <n v="50777.09"/>
        <n v="39994"/>
        <n v="52311.519999999997"/>
        <n v="80985.039999999994"/>
        <n v="64783.73"/>
        <n v="58649.65"/>
        <n v="50236.27"/>
        <n v="71579.600000000006"/>
        <n v="50081.53"/>
        <n v="33999.440000000002"/>
        <n v="46729.05"/>
        <n v="59543.78"/>
        <n v="60849.18"/>
        <n v="71746.55"/>
        <n v="10956.6142"/>
        <n v="56411.93"/>
        <n v="55409.67"/>
        <n v="28586.71"/>
        <n v="60364.480000000003"/>
        <n v="50835.3"/>
        <n v="104543.89"/>
        <n v="68422.460000000006"/>
        <n v="86300.79"/>
        <n v="24081.15"/>
        <n v="34655.18"/>
        <n v="43975.3"/>
        <n v="38040.720000000001"/>
        <n v="69785"/>
        <n v="47873.67"/>
        <n v="49312.59"/>
        <n v="49694.69"/>
        <n v="89343.27"/>
        <n v="58058.63"/>
        <n v="40541.03"/>
        <n v="34737.839999999997"/>
        <n v="36368.53"/>
        <n v="69771.72"/>
        <n v="107045.36"/>
        <n v="43279.74"/>
        <n v="63734.19"/>
        <n v="62348.28"/>
        <n v="60480.75"/>
        <n v="85947.5"/>
        <n v="124253.57"/>
        <n v="77267.179999999993"/>
        <n v="69631.789999999994"/>
        <n v="42618.95"/>
        <n v="50365.65"/>
        <n v="42780.28"/>
        <n v="65536.399999999994"/>
        <n v="47905.4"/>
        <n v="49238.26"/>
        <n v="85727.77"/>
        <n v="49407.16"/>
        <n v="61066.61"/>
        <n v="27547.72"/>
        <n v="49697.279999999999"/>
        <n v="63738.49"/>
        <n v="55177.06"/>
        <n v="61667.41"/>
        <n v="10633.18"/>
        <n v="28452.53"/>
        <n v="40057.85"/>
        <n v="27902.66"/>
        <n v="22904.2"/>
        <n v="71637.789999999994"/>
        <n v="68656.600000000006"/>
        <n v="100501.68"/>
        <n v="42923.32"/>
        <n v="42233.62"/>
        <n v="54930.7"/>
        <n v="47995.360000000001"/>
        <n v="36336.400000000001"/>
        <n v="57181.43"/>
        <n v="42834.97"/>
        <n v="64902.51"/>
        <n v="1498.34"/>
        <n v="2972.76"/>
        <n v="4211.38"/>
        <n v="4413.57"/>
        <n v="4576.32"/>
        <n v="3185.15"/>
        <n v="2739.06"/>
        <n v="81834.429999999993"/>
        <n v="70539.63"/>
        <n v="57714.91"/>
        <n v="54386.23"/>
        <n v="60257.51"/>
        <n v="92758.5"/>
        <n v="122629.23"/>
        <n v="69472.429999999993"/>
        <n v="34236.39"/>
        <n v="56251.7"/>
        <n v="58840.38"/>
        <n v="58141.3"/>
        <n v="32708.12"/>
        <n v="41662.410000000003"/>
        <n v="35538.730000000003"/>
        <n v="46329.24"/>
        <n v="79047.100000000006"/>
        <n v="134211.85"/>
        <n v="127172.04"/>
        <n v="89281.85"/>
        <n v="63096.75"/>
        <n v="93745.11"/>
        <n v="23004.41"/>
        <n v="12431.66"/>
        <n v="13222.35"/>
        <n v="14100.95"/>
        <n v="17817.740000000002"/>
        <n v="9930.9599999999991"/>
        <n v="17562.060000000001"/>
        <n v="756.57"/>
        <n v="591.73"/>
        <n v="81454.69"/>
        <n v="172242.9"/>
        <n v="131596.57"/>
        <n v="7962.31"/>
        <n v="44705.22"/>
        <n v="19913.72"/>
        <n v="34668.21"/>
        <n v="67705.919999999998"/>
        <n v="41271.03"/>
        <n v="75964.55"/>
        <n v="49093.89"/>
        <n v="61955.86"/>
        <n v="93364.66"/>
        <n v="79552.75"/>
        <n v="91602.71"/>
        <n v="41695.769999999997"/>
        <n v="11679.6"/>
        <n v="11885.88"/>
        <n v="38411.51"/>
        <n v="36286.42"/>
        <n v="45021.32"/>
        <n v="63224.79"/>
        <n v="43729.87"/>
        <n v="54970.89"/>
        <n v="59254.6"/>
        <n v="112713.43"/>
        <n v="133143.13"/>
        <n v="194813.87"/>
        <n v="65719.103990000003"/>
        <n v="13077.87"/>
        <n v="19671.09"/>
        <n v="30437.88"/>
        <n v="25879.51"/>
        <n v="71311.92"/>
        <n v="127254.32"/>
        <n v="148491.4"/>
        <n v="245971.89"/>
        <n v="308884.67"/>
        <n v="132066.26"/>
        <n v="55175.71"/>
        <n v="30613.18"/>
        <n v="11909.19"/>
        <n v="31947.67"/>
        <n v="32984.6"/>
        <n v="50910.2"/>
        <n v="36655.61"/>
        <n v="27695.3"/>
        <n v="4802.5200000000004"/>
        <n v="35919.57"/>
        <n v="33380.82"/>
        <n v="6320.9"/>
        <n v="49301.47"/>
        <n v="33804.410000000003"/>
        <n v="52152.52"/>
        <n v="52883"/>
        <n v="52014.49"/>
        <n v="26659.09"/>
        <n v="23201.439999999999"/>
        <n v="28179.19"/>
        <n v="39399.089999999997"/>
        <n v="67072.12"/>
        <n v="98537.41"/>
        <n v="91104.58"/>
        <n v="117314.43"/>
        <n v="47726.57"/>
        <n v="39752.15"/>
        <n v="77486.179999999993"/>
        <n v="52666.97"/>
        <n v="64100.57"/>
        <n v="93898.32"/>
        <n v="43706.35"/>
        <n v="32275.9"/>
        <n v="35874.75"/>
        <n v="116867.57"/>
        <n v="83974.38"/>
        <n v="62866.93"/>
        <n v="95440.94"/>
        <n v="125096.95"/>
        <n v="72964.94"/>
        <n v="91951.38"/>
        <n v="56273.52"/>
        <n v="67052.320000000007"/>
        <n v="96444.95"/>
        <n v="107927.66"/>
        <n v="172261.59"/>
        <n v="102730.7"/>
        <n v="128843.63"/>
        <n v="55207.8"/>
        <n v="61209.97"/>
        <n v="49692.57"/>
        <n v="88437.72"/>
        <n v="65363.519999999997"/>
        <n v="14253.34"/>
        <n v="13849.36"/>
        <n v="32792.71"/>
        <n v="6825.42"/>
        <n v="35881.82"/>
        <n v="11398.74"/>
        <n v="17157.48"/>
        <n v="14144.01"/>
        <n v="23903.4"/>
        <n v="140867.54"/>
        <n v="28691.95"/>
        <n v="22601.07"/>
        <n v="63342.57"/>
        <n v="52257.67"/>
        <n v="24652"/>
        <n v="51247.94"/>
        <n v="24946.43"/>
        <n v="9008.35"/>
        <n v="74737.75"/>
        <n v="88924.69"/>
        <n v="55353.208780000001"/>
        <n v="44299.49"/>
        <n v="33106.120000000003"/>
        <n v="49195.88"/>
        <n v="39329.29"/>
        <n v="37442.69"/>
        <n v="31728.880000000001"/>
        <n v="39996.49"/>
        <n v="59975.49"/>
        <n v="89552.41"/>
        <n v="107171.38"/>
        <n v="123325.1"/>
        <n v="87569.06"/>
        <n v="85518.42"/>
        <n v="60282.97"/>
        <n v="43363.22"/>
        <n v="36296.559999999998"/>
        <n v="68435.39"/>
        <n v="37647.919999999998"/>
        <n v="63664.47"/>
        <n v="47220.15"/>
        <n v="60015.96"/>
        <n v="121690.21"/>
        <n v="45617.66"/>
        <n v="122273.08"/>
        <n v="110354.88"/>
        <n v="151919.98000000001"/>
        <n v="146492.51999999999"/>
        <n v="94412.96"/>
        <n v="89257.73"/>
        <n v="197276.16"/>
        <n v="141728"/>
        <n v="99252.86"/>
        <n v="106059.57"/>
        <n v="42103.75"/>
        <n v="51076.53"/>
        <n v="35431.839999999997"/>
        <n v="27439.77"/>
        <n v="107379.22"/>
        <n v="61732.14"/>
        <n v="12324.17"/>
        <n v="3908.66"/>
        <n v="12205.28"/>
        <n v="11071.13"/>
        <n v="10621.62"/>
        <n v="7832.74"/>
        <n v="12913.48"/>
        <n v="11111.88"/>
        <n v="9354.6299999999992"/>
        <n v="20229.96"/>
        <n v="16454.7"/>
        <n v="19100.18"/>
        <n v="36269.69"/>
        <n v="44528.78"/>
        <n v="7309.19"/>
        <n v="41501.410000000003"/>
        <n v="33986.449999999997"/>
        <n v="29545.01"/>
        <n v="41723.230000000003"/>
        <n v="47804.44"/>
        <n v="56777.3"/>
        <n v="33054.74"/>
        <n v="38170.51"/>
        <n v="32912.94"/>
        <n v="66189.179999999993"/>
        <n v="82318.69"/>
        <n v="75545.47"/>
        <n v="111588.94"/>
        <n v="49398.47"/>
        <n v="53207.05"/>
        <n v="83756.740000000005"/>
        <n v="56909.73"/>
        <n v="45617.41"/>
        <n v="49888.67"/>
        <n v="66297.789999999994"/>
        <n v="132703.57"/>
        <n v="32346.76"/>
        <n v="52556.41"/>
        <n v="85566.64"/>
        <n v="89453.15"/>
        <n v="125766.99"/>
        <n v="96954.8"/>
        <n v="90745.87"/>
        <n v="98529.919999999998"/>
        <n v="66671.88"/>
        <n v="131107.32"/>
        <n v="70673.039999999994"/>
        <n v="44961.07"/>
        <n v="88843.83"/>
        <n v="90909.72"/>
        <n v="73507.22"/>
        <n v="9899.0300000000007"/>
        <n v="22985.33"/>
        <n v="17572.37"/>
        <n v="11216.34"/>
        <n v="17423.63"/>
        <n v="15327.89"/>
        <n v="12414.25"/>
        <n v="29675.88"/>
        <n v="31703.99"/>
        <n v="18482.810000000001"/>
        <n v="10194.52"/>
        <n v="10804.32"/>
        <n v="12315.63"/>
        <n v="112767.82"/>
        <n v="95464.26"/>
        <n v="101034.88"/>
        <n v="132823.26999999999"/>
        <n v="256535.71"/>
        <n v="68486.62"/>
        <n v="98809.02"/>
        <n v="86270.24"/>
        <n v="139305.71"/>
        <n v="95570.33"/>
        <n v="22320.09"/>
        <n v="25437.45"/>
        <n v="20693.759999999998"/>
        <n v="24345.65"/>
        <n v="28694.14"/>
        <n v="56532.53"/>
        <n v="74252"/>
        <n v="179898.56"/>
        <n v="83822.55"/>
        <n v="19556.150000000001"/>
        <n v="50278.97"/>
        <n v="37829.449999999997"/>
        <n v="67475.14"/>
        <n v="195300.23"/>
        <n v="13442.06"/>
        <n v="59204.38"/>
        <n v="8846.0300000000007"/>
        <n v="144694.07999999999"/>
        <n v="87775.5"/>
        <n v="20530.53"/>
        <n v="31780.28"/>
        <n v="46303.11"/>
        <n v="34332.19"/>
        <n v="21903.97"/>
        <n v="46435.42"/>
        <n v="5634.97"/>
        <n v="52462.82"/>
        <n v="30733.65"/>
        <n v="45501.51"/>
        <n v="27343.56"/>
        <n v="36238.730000000003"/>
        <n v="42758.18"/>
        <n v="32874.019999999997"/>
        <n v="17767.55"/>
        <n v="22303.77"/>
        <n v="30992.86"/>
        <n v="27725.64"/>
        <n v="28086.31"/>
        <n v="35485.86"/>
        <n v="77772.570000000007"/>
        <n v="41073.26"/>
        <n v="39690.26"/>
        <n v="27486.26"/>
        <n v="41271.449999999997"/>
        <n v="68432.740000000005"/>
        <n v="60012.82"/>
        <n v="33778.050000000003"/>
        <n v="49890.69"/>
        <n v="49224.71"/>
        <n v="95178.77"/>
        <n v="72250.009999999995"/>
        <n v="30589.9"/>
        <n v="27942.89"/>
        <n v="36043.019999999997"/>
        <n v="76540.22"/>
        <n v="116157.92"/>
        <n v="32119.15"/>
        <n v="52999.33"/>
        <n v="29116.77"/>
        <n v="33373.379999999997"/>
        <n v="24779.31"/>
        <n v="78644.47"/>
        <n v="46450.93"/>
        <n v="76695.460000000006"/>
        <n v="50676.53"/>
        <n v="44849.919999999998"/>
        <n v="70557.210000000006"/>
        <n v="71420.47"/>
        <n v="59059.97"/>
        <n v="53940.76"/>
        <n v="91160.59"/>
        <n v="23507.21"/>
        <n v="76199.89"/>
        <n v="36697.279999999999"/>
        <n v="26112.46"/>
        <n v="53603.66"/>
        <n v="53084.42"/>
        <n v="88565.18"/>
        <n v="113281.74"/>
        <n v="126733.68"/>
        <n v="97140.69"/>
        <n v="54207.42"/>
        <n v="54951.44"/>
        <n v="55959.34"/>
        <n v="61367.64"/>
        <n v="104667.2"/>
        <n v="62399"/>
        <n v="76881.48"/>
        <n v="118108.02"/>
        <n v="106027.95"/>
        <n v="90667.53"/>
        <n v="74379.56"/>
        <n v="62290.57"/>
        <n v="103477.24"/>
        <n v="166146.01"/>
        <n v="185120.95"/>
        <n v="53928.32"/>
        <n v="66258.53"/>
        <n v="60133.440000000002"/>
        <n v="50556.67"/>
        <n v="90148"/>
        <n v="102758.6"/>
        <n v="106069.43"/>
        <n v="56187.44"/>
        <n v="79394.95"/>
        <n v="58778.84"/>
        <n v="64377.19"/>
        <n v="19138.95"/>
        <n v="10601.99"/>
        <n v="16328.12"/>
        <n v="8601.26"/>
        <n v="15607.9"/>
        <n v="11751.2"/>
        <n v="15783.24"/>
        <n v="11115.16"/>
        <n v="14489.25"/>
        <n v="10755.96"/>
        <n v="14254.47"/>
        <n v="18936.97"/>
        <n v="14209.32"/>
        <n v="24912.74"/>
        <n v="4244.5200000000004"/>
        <n v="9681.91"/>
        <n v="14916.14"/>
        <n v="4774.66"/>
        <n v="10597.48"/>
        <n v="27836.04"/>
        <n v="27307.46"/>
        <n v="46073.52"/>
        <n v="24756.97"/>
        <n v="19717.490000000002"/>
        <n v="43775.91"/>
        <n v="49348.69"/>
        <n v="38906.300000000003"/>
        <n v="49591.69"/>
        <n v="48009.47"/>
        <n v="93034.26"/>
        <n v="78454.55"/>
        <n v="88927.93"/>
        <n v="44692.11"/>
        <n v="48850.52"/>
        <n v="68025.899999999994"/>
        <n v="75219.92"/>
        <n v="31812.71"/>
        <n v="63407.199999999997"/>
        <n v="109184.52"/>
        <n v="77046.710000000006"/>
        <n v="116895.45"/>
        <n v="127497.24"/>
        <n v="196414.61"/>
        <n v="120331.42"/>
        <n v="99365.99"/>
        <n v="52344.08"/>
        <n v="78715.91"/>
        <n v="57995.58"/>
        <n v="41191.89"/>
        <n v="39932.61"/>
        <n v="94843.38"/>
        <n v="78583.839999999997"/>
        <n v="7081.49"/>
        <n v="11707.75"/>
        <n v="11104.59"/>
        <n v="9749.02"/>
        <n v="18367.79"/>
        <n v="9686.76"/>
        <n v="45186.25"/>
        <n v="16595.46"/>
        <n v="30583.88"/>
        <n v="2686.2968999999998"/>
        <n v="49755.77"/>
        <n v="46253.94"/>
        <n v="36036.269999999997"/>
        <n v="26741.98"/>
        <n v="31573.72"/>
        <n v="32079.17"/>
        <n v="27299.07"/>
        <n v="30509.8"/>
        <n v="30131.599999999999"/>
        <n v="40892.720000000001"/>
        <n v="26067.360000000001"/>
        <n v="41505.839999999997"/>
        <n v="35039.199999999997"/>
        <n v="47208.81"/>
        <n v="35619.1"/>
        <n v="82862.22"/>
        <n v="54751.62"/>
        <n v="53676.84"/>
        <n v="16001.9"/>
        <n v="14117.72"/>
        <n v="71784.73"/>
        <n v="43789.440000000002"/>
        <n v="43781.15"/>
        <n v="70488.09"/>
        <n v="56932.79"/>
        <n v="39916.620000000003"/>
        <n v="46074.67"/>
        <n v="14186.33"/>
        <n v="93248.68"/>
        <n v="25972.57"/>
        <n v="20213.07"/>
        <n v="19692.71"/>
        <n v="24822.23"/>
        <n v="28103.17"/>
        <n v="30270.51"/>
        <n v="37715.79"/>
        <n v="27180.76"/>
        <n v="34946.879999999997"/>
        <n v="25850.16"/>
        <n v="28595.15"/>
        <n v="24895"/>
        <n v="31677.43"/>
        <n v="35414.42"/>
        <n v="23722.62"/>
        <n v="17807.259999999998"/>
        <n v="31478.57"/>
        <n v="23898.07"/>
        <n v="55215.96"/>
        <n v="42517.72"/>
        <n v="45893.91"/>
        <n v="36121.360000000001"/>
        <n v="22159.15"/>
        <n v="45495.839999999997"/>
        <n v="19699.080000000002"/>
        <n v="29623.25"/>
        <n v="68499.34"/>
        <n v="36224.949999999997"/>
        <n v="61592.61"/>
        <n v="29070.02"/>
        <n v="39322.49"/>
        <n v="68802"/>
        <n v="28534.21"/>
        <n v="48893.78"/>
        <n v="40386.370000000003"/>
        <n v="37116.15"/>
        <n v="44976.44"/>
        <n v="87887.23"/>
        <n v="41201.120000000003"/>
        <n v="31250.71"/>
        <n v="43299.83"/>
        <n v="49398.55"/>
        <n v="38391.72"/>
        <n v="31299.49"/>
        <n v="36736.089999999997"/>
        <n v="31224.560000000001"/>
        <n v="64707.59"/>
        <n v="48293.33"/>
        <n v="52093.08"/>
        <n v="38527.730000000003"/>
        <n v="40468.47"/>
        <n v="61095.1"/>
        <n v="47083.01"/>
        <n v="34934.32"/>
        <n v="27096.34"/>
        <n v="40875.519999999997"/>
        <n v="37237.01"/>
        <n v="47744.97"/>
        <n v="49848.91"/>
        <n v="30231.22"/>
        <n v="44131.07"/>
        <n v="52262.15"/>
        <n v="47371.3"/>
        <n v="48480.08"/>
        <n v="46377.22"/>
        <n v="44945.84"/>
        <n v="46367.32"/>
        <n v="45267.3"/>
        <n v="53174.98"/>
        <n v="33660.07"/>
        <n v="48730.25"/>
        <n v="38311.199999999997"/>
        <n v="36815.58"/>
        <n v="88046.95"/>
        <n v="73664.75"/>
        <n v="65361.09"/>
        <n v="65283.89"/>
        <n v="93501.35"/>
        <n v="87840.6"/>
        <n v="65658.02"/>
        <n v="81262.2"/>
        <n v="55302.94"/>
        <n v="47453.67"/>
        <n v="36251.08"/>
        <n v="50154.42"/>
        <n v="63432.9"/>
        <n v="42436.03"/>
        <n v="60849"/>
        <n v="16634.23"/>
        <n v="33256.58"/>
        <n v="54315.58"/>
        <n v="34282.1"/>
        <n v="33062.28"/>
        <n v="39236.949999999997"/>
        <n v="37763.980000000003"/>
        <n v="43073.62"/>
        <n v="46697.35"/>
        <n v="51972.05"/>
        <n v="56055.27"/>
        <n v="36453.72"/>
        <n v="43387.59"/>
        <n v="48349.39"/>
        <n v="64324.65"/>
        <n v="99375.77"/>
        <n v="32954.620000000003"/>
        <n v="40079.32"/>
        <n v="56160.15"/>
        <n v="26142.73"/>
        <n v="47447.040000000001"/>
        <n v="43077.72"/>
        <n v="89213.66"/>
        <n v="92927.5"/>
        <n v="43713.32"/>
        <n v="58732.959999999999"/>
        <n v="48199.12"/>
        <n v="57021.99"/>
        <n v="62553.54"/>
        <n v="58079.71"/>
        <n v="46875.66"/>
        <n v="101879.43"/>
        <n v="39550.480000000003"/>
        <n v="38283.5"/>
        <n v="63855.3"/>
        <n v="71477.97"/>
        <n v="28663.65"/>
        <n v="46533.120000000003"/>
        <n v="55963.51"/>
        <n v="37554.559999999998"/>
        <n v="46779.79"/>
        <n v="55820.85"/>
        <n v="41266.47"/>
        <n v="54050.27"/>
        <n v="31711.46"/>
        <n v="31425.47"/>
        <n v="64946.94"/>
        <n v="37859.160000000003"/>
        <n v="28797.34"/>
        <n v="45385.26"/>
        <n v="58928.33"/>
        <n v="28437.37"/>
        <n v="58194.73"/>
        <n v="36349.279999999999"/>
        <n v="60723.07"/>
        <n v="32053.54"/>
        <n v="31333.31"/>
        <n v="31445.77"/>
        <n v="45146.31"/>
        <n v="53321.8"/>
        <n v="40738.839999999997"/>
        <n v="33519.19"/>
        <n v="43771.33"/>
        <n v="53565.85"/>
        <n v="22813.23"/>
        <n v="41731.519999999997"/>
        <n v="32316.36"/>
        <n v="64659.05"/>
        <n v="70798.48"/>
        <n v="64077.03"/>
        <n v="71898.59"/>
        <n v="101298.8"/>
        <n v="98118.59"/>
        <n v="65812.509999999995"/>
        <n v="57652.54"/>
        <n v="30829.59"/>
        <n v="56507.64"/>
        <n v="57353.18"/>
        <n v="122707.81"/>
        <n v="36156.660000000003"/>
        <n v="20805.78"/>
        <n v="136849.03"/>
        <n v="101302.72"/>
        <n v="107461.1"/>
        <n v="149788.79"/>
        <n v="87411.94"/>
        <n v="156539.92000000001"/>
        <n v="119996.73"/>
        <n v="78898.570000000007"/>
        <n v="69580.899999999994"/>
        <n v="90146.26"/>
        <n v="100917.57"/>
        <n v="71259.759999999995"/>
        <n v="84468.88"/>
        <n v="143036.41"/>
        <n v="118622.29"/>
        <n v="127763.82"/>
        <n v="104362.97"/>
        <n v="119354.52"/>
        <n v="85785.07"/>
        <n v="184809.66"/>
        <n v="161568.15"/>
        <n v="78806.16"/>
        <n v="167403.79"/>
        <n v="105682.85"/>
        <n v="139741.94"/>
        <n v="178546.65"/>
        <n v="130892.12"/>
        <n v="67790.100000000006"/>
        <n v="120532.21"/>
        <n v="62896.66"/>
        <n v="38388.050000000003"/>
        <n v="52727.701979999998"/>
        <n v="38564.81"/>
        <n v="62887.11"/>
        <n v="67470.509999999995"/>
        <n v="70783.78"/>
        <n v="114282.38"/>
        <n v="54637.55"/>
        <n v="43545.27"/>
        <n v="70476.61"/>
        <n v="49554.83"/>
        <n v="47250.41"/>
        <n v="93466.71"/>
        <n v="68217.86"/>
        <n v="48529.54"/>
        <n v="46203.91"/>
        <n v="87358.35"/>
        <n v="134926.96"/>
        <n v="76174.67"/>
        <n v="58430.74"/>
        <n v="63211.71"/>
        <n v="70889.09"/>
        <n v="61799.09"/>
        <n v="64165.78"/>
        <n v="82243.17"/>
        <n v="74941.350000000006"/>
        <n v="23728.98"/>
        <n v="14218.21"/>
        <n v="10073.52"/>
        <n v="10846.19"/>
        <n v="17132.080000000002"/>
        <n v="35328.86"/>
        <n v="21876"/>
        <n v="15010.77"/>
        <n v="12888.38"/>
        <n v="25191.01"/>
        <n v="28873.599999999999"/>
        <n v="18476.46"/>
        <n v="12452.28"/>
        <n v="24599"/>
        <n v="13354.78"/>
        <n v="11796.67"/>
        <n v="15648.65"/>
        <n v="14245.06"/>
        <n v="14729.88"/>
        <n v="12209.62"/>
        <n v="11691.07"/>
        <n v="24919.45"/>
        <n v="9939.2199999999993"/>
        <n v="18113.91"/>
        <n v="25269.49"/>
        <n v="13654.69"/>
        <n v="12729.9"/>
        <n v="16701.990000000002"/>
        <n v="13673.42"/>
        <n v="12834.97"/>
        <n v="14254.58"/>
        <n v="12150.84"/>
        <n v="9887.4599999999991"/>
        <n v="17882.650000000001"/>
        <n v="11428.15"/>
        <n v="11972.77"/>
        <n v="18560.419999999998"/>
        <n v="6513.27"/>
        <n v="15653.87"/>
        <n v="21845.43"/>
        <n v="27824.58"/>
        <n v="47994.33"/>
        <n v="138533.69"/>
        <n v="54886.2"/>
        <n v="113720.24"/>
        <n v="117654.24"/>
        <n v="157529.51"/>
        <n v="174638.25"/>
        <n v="221617.57"/>
        <n v="71793.899999999994"/>
        <n v="134102.57"/>
        <n v="11050.68"/>
        <n v="28794.47"/>
        <n v="131451.82999999999"/>
        <n v="32107.200000000001"/>
        <n v="48032.38"/>
        <n v="6442.5"/>
        <n v="14084.93"/>
        <n v="12692.36"/>
        <n v="5085.99"/>
        <n v="4119.8900000000003"/>
        <n v="48180.1"/>
        <n v="82966.740000000005"/>
        <n v="38535.51"/>
        <n v="29314.05"/>
        <n v="32795.65"/>
        <n v="31083.31"/>
        <n v="35026.639999999999"/>
        <n v="82602.240000000005"/>
        <n v="51282.42"/>
        <n v="43542.18"/>
        <n v="54637.93"/>
        <n v="39087"/>
        <n v="35266.39"/>
        <n v="41744.65"/>
        <n v="53303.02"/>
        <n v="60676.83"/>
        <n v="80078.929999999993"/>
        <n v="27658.98"/>
        <n v="79819.009999999995"/>
        <n v="48341.09"/>
        <n v="29602.38"/>
        <n v="100210.71"/>
        <n v="90750.67"/>
        <n v="39506.19"/>
        <n v="63835.9"/>
        <n v="44680.91"/>
        <n v="93538.61"/>
        <n v="71898.03"/>
        <n v="149324.26"/>
        <n v="68084.28"/>
        <n v="85370.95"/>
        <n v="86398.720000000001"/>
        <n v="115614.42"/>
        <n v="92717.19"/>
        <n v="89169.74"/>
        <n v="38396.71"/>
        <n v="79867.53"/>
        <n v="65331.28"/>
        <n v="42077.2"/>
        <n v="59102.52"/>
        <n v="49412.83"/>
        <n v="58600.12"/>
        <n v="27318.080000000002"/>
        <n v="72337.320000000007"/>
        <n v="73747.899999999994"/>
        <n v="27020.33"/>
        <n v="7933.42"/>
        <n v="13072.73"/>
        <n v="34182.78"/>
        <n v="11991.23"/>
        <n v="15002.65"/>
        <n v="8136.34"/>
        <n v="19041.259999999998"/>
        <n v="9377.64"/>
        <n v="11078.57"/>
        <n v="8876.2999999999993"/>
        <n v="7713.35"/>
        <n v="15316.69"/>
        <n v="20858.14"/>
        <n v="6920.44"/>
        <n v="38738.769999999997"/>
        <n v="27731.200000000001"/>
        <n v="82987.45"/>
        <n v="24423.279999999999"/>
        <n v="14900.71"/>
        <n v="6902"/>
        <n v="3987.98"/>
        <n v="52111.82"/>
        <n v="10159.969999999999"/>
        <n v="3955.3"/>
        <n v="15225.92"/>
        <n v="8533.89"/>
        <n v="62466.69"/>
        <n v="20528.66"/>
        <n v="44369.279999999999"/>
        <n v="36473.26"/>
        <n v="76595.259999999995"/>
        <n v="46233.7"/>
        <n v="169539.74"/>
        <n v="60424.61"/>
        <n v="38506.129999999997"/>
        <n v="50375.6"/>
        <n v="105099.04"/>
        <n v="267171.26"/>
        <n v="327853.78999999998"/>
        <n v="211411.26"/>
        <n v="65709.42"/>
        <n v="80329.61"/>
        <n v="117395.37"/>
        <n v="61314.84"/>
        <n v="26149.41"/>
        <n v="16879.77"/>
        <n v="11295.22"/>
        <n v="12382.69"/>
        <n v="17694.39"/>
        <n v="26498.37"/>
        <n v="31697.279999999999"/>
        <n v="42103.71"/>
        <n v="51668.72"/>
        <n v="61172.09"/>
        <n v="14623.53"/>
        <n v="30281.15"/>
        <n v="22438.75"/>
        <n v="31152.7"/>
        <n v="43414.79"/>
        <n v="24616.61"/>
        <n v="48720.28"/>
        <n v="40395.32"/>
        <n v="47816.06"/>
        <n v="43617.02"/>
        <n v="41616.65"/>
        <n v="57733.2"/>
        <n v="64870.7"/>
        <n v="35461.32"/>
        <n v="70208.22"/>
        <n v="61377.43"/>
        <n v="42057.51"/>
        <n v="33013.72"/>
        <n v="44505.71"/>
        <n v="44834.879999999997"/>
        <n v="41862.449999999997"/>
        <n v="62757.73"/>
        <n v="46615.65"/>
        <n v="53230.65"/>
        <n v="24617.75"/>
        <n v="118153.44"/>
        <n v="144116.23000000001"/>
        <n v="114187.4"/>
        <n v="93940.69"/>
        <n v="90213.41"/>
        <n v="124909.34"/>
        <n v="76059.600000000006"/>
        <n v="97060.57"/>
        <n v="33744.42"/>
        <n v="194160.34"/>
        <n v="83682.2"/>
        <n v="22287.97"/>
        <n v="28450.31"/>
        <n v="17711.28"/>
        <n v="14485.37"/>
        <n v="6583.07"/>
        <n v="54753.27"/>
        <n v="62943.32"/>
        <n v="47185.279999999999"/>
        <n v="34735.800000000003"/>
        <n v="61102.62"/>
        <n v="85233.84"/>
        <n v="76261.570000000007"/>
        <n v="103648.4736"/>
        <n v="17681.93"/>
        <n v="29322.42"/>
        <n v="51960.88"/>
        <n v="66206.05"/>
        <n v="43672.83"/>
        <n v="44009.82"/>
        <n v="55296.71"/>
        <n v="57235.83"/>
        <n v="44014.46"/>
        <n v="60348.68"/>
        <n v="56081.79"/>
        <n v="96677.16"/>
        <n v="83203.34"/>
        <n v="60739.79"/>
        <n v="11056.75"/>
        <n v="75553.7"/>
        <n v="76832.160000000003"/>
        <n v="57651.65"/>
        <n v="61332.17"/>
        <n v="54528.78"/>
        <n v="98242.17"/>
        <n v="79882.399999999994"/>
        <n v="137932.44"/>
        <n v="64250.49"/>
        <n v="42289.15"/>
        <n v="39879.839999999997"/>
        <n v="77614.17"/>
        <n v="18921.62"/>
        <n v="35825.68"/>
        <n v="46531.82"/>
        <n v="58625.2"/>
        <n v="48778.92"/>
        <n v="111621.61"/>
        <n v="115319.98"/>
        <n v="122633.19"/>
        <n v="81245.87"/>
        <n v="121253.79"/>
        <n v="115450.32"/>
        <n v="32594.79"/>
        <n v="38226.15"/>
        <n v="59368.85"/>
        <n v="65004.47"/>
        <n v="122407.94"/>
        <n v="63959.41"/>
        <n v="58314.39"/>
        <n v="12060.21"/>
        <n v="718.05"/>
        <n v="9489.24"/>
        <n v="10081.08"/>
        <n v="1778.21"/>
        <n v="11533.4"/>
        <n v="9940.0300000000007"/>
        <n v="98717.19"/>
        <n v="56065.56"/>
        <n v="18851.87"/>
        <n v="35093.620000000003"/>
        <n v="42028.27"/>
        <n v="42729.18"/>
        <n v="34126.44"/>
        <n v="115793.15"/>
        <n v="43024.106099999997"/>
        <n v="88923.1"/>
        <n v="60348.86"/>
        <n v="33401.519999999997"/>
        <n v="52416.58"/>
        <n v="10148.75"/>
        <n v="16969.64"/>
        <n v="8807.9599999999991"/>
        <n v="59847.9"/>
        <n v="62174.59"/>
        <n v="51952.39"/>
        <n v="88024.39"/>
        <n v="89686.11"/>
        <n v="82790.67"/>
        <n v="78954.289999999994"/>
        <n v="78312.399999999994"/>
        <n v="26597.19"/>
        <n v="30360.06"/>
        <n v="48708.91"/>
        <n v="39018.910000000003"/>
        <n v="34765.760000000002"/>
        <n v="46544.82"/>
        <n v="123614.58"/>
        <n v="57021.21"/>
        <n v="76025.83"/>
        <n v="43438.44"/>
        <n v="10747.21"/>
        <n v="16599.79"/>
        <n v="57481"/>
        <n v="47905.8"/>
        <n v="40609.94"/>
        <n v="77313.399999999994"/>
        <n v="75627.5"/>
        <n v="118251.72"/>
        <n v="75264.02"/>
        <n v="58077.83"/>
        <n v="105160.89"/>
        <n v="81965.820000000007"/>
        <n v="73572.45"/>
        <n v="123004.49"/>
        <n v="61066.57"/>
        <n v="111872.87"/>
        <n v="8894.1299999999992"/>
        <n v="36053.82"/>
        <n v="49410.06"/>
        <n v="68401.960000000006"/>
        <n v="59877.68"/>
        <n v="46466.86"/>
        <n v="67443.12"/>
        <n v="36104.36"/>
        <n v="108205.84"/>
        <n v="101927.59"/>
        <n v="29297.16"/>
        <n v="53763.75"/>
        <n v="76547.88"/>
        <n v="64080.54"/>
        <n v="81838.61"/>
        <n v="61606.52"/>
        <n v="85325.52"/>
        <n v="91112.34"/>
      </sharedItems>
    </cacheField>
    <cacheField name="County" numFmtId="0">
      <sharedItems count="4">
        <s v="SACRAMENTO"/>
        <s v="SUMMIT"/>
        <s v="MARICOPA"/>
        <s v="ARAPAHOE"/>
      </sharedItems>
    </cacheField>
    <cacheField name="County Average" numFmtId="0">
      <sharedItems containsSemiMixedTypes="0" containsString="0" containsNumber="1" minValue="50588.018746491216" maxValue="65711.239166666681"/>
    </cacheField>
    <cacheField name="Latitude" numFmtId="0">
      <sharedItems containsMixedTypes="1" containsNumber="1" minValue="32.930386839999997" maxValue="39.74038899"/>
    </cacheField>
    <cacheField name="Longitude" numFmtId="0">
      <sharedItems containsMixedTypes="1" containsNumber="1" minValue="-121.59066559999999" maxValue="-104.7157917"/>
    </cacheField>
    <cacheField name="City" numFmtId="0">
      <sharedItems count="58">
        <s v="ANTELOPE"/>
        <s v="CARMICHAEL"/>
        <s v="CITRUS HEIGHTS"/>
        <s v="ELK GROVE"/>
        <s v="FAIR OAKS"/>
        <s v="FOLSOM"/>
        <s v="GALT"/>
        <s v="GOLD RIVER"/>
        <s v="MCCLELLAN AFB"/>
        <s v="NORTH HIGHLANDS"/>
        <s v="ORANGEVALE"/>
        <s v="RANCHO CORDOVA"/>
        <s v="RANCHO MURIETA"/>
        <s v="RIO LINDA"/>
        <s v="SACRAMENTO"/>
        <s v="BRECKENRIDGE"/>
        <s v="DILLON"/>
        <s v="FRISCO"/>
        <s v="SILVERTHORNE"/>
        <s v="ANTHEM"/>
        <s v="AVONDALE"/>
        <s v="BUCKEYE"/>
        <s v="CAREFREE"/>
        <s v="CAVE CREEK"/>
        <s v="CHANDLER"/>
        <s v="EL MIRAGE"/>
        <s v="FOUNTAIN HILLS"/>
        <s v="GILA BEND"/>
        <s v="GILBERT"/>
        <s v="GLENDALE"/>
        <s v="GOODYEAR"/>
        <s v="GUADALUPE"/>
        <s v="LAVEEN"/>
        <s v="LITCHFIELD PARK"/>
        <s v="LUKE AFB"/>
        <s v="MARICOPA"/>
        <s v="MESA"/>
        <s v="PEORIA"/>
        <s v="PHOENIX"/>
        <s v="QUEEN CREEK"/>
        <s v="SAN TAN VALLEY"/>
        <s v="SCOTTSDALE"/>
        <s v="SUN CITY"/>
        <s v="SUN CITY WEST"/>
        <s v="SUN LAKES"/>
        <s v="SURPRISE"/>
        <s v="TEMPE"/>
        <s v="TOLLESON"/>
        <s v="TONOPAH"/>
        <s v="WICKENBURG"/>
        <s v="AURORA"/>
        <s v="CENTENNIAL"/>
        <s v="ENGLEWOOD"/>
        <s v="GREENWOOD VILLAGE"/>
        <s v="HIGHLANDS RANCH"/>
        <s v="LITTLETON"/>
        <s v="LONE TREE"/>
        <s v="SHERIDAN"/>
      </sharedItems>
    </cacheField>
    <cacheField name="State" numFmtId="0">
      <sharedItems count="3">
        <s v="CA"/>
        <s v="CO"/>
        <s v="AZ"/>
      </sharedItems>
    </cacheField>
    <cacheField name="Above Avg Flag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0">
  <r>
    <x v="0"/>
    <n v="72882.95"/>
    <x v="0"/>
    <x v="0"/>
    <x v="0"/>
    <x v="0"/>
    <x v="0"/>
  </r>
  <r>
    <x v="1"/>
    <n v="102161.62"/>
    <x v="0"/>
    <x v="1"/>
    <x v="1"/>
    <x v="0"/>
    <x v="0"/>
  </r>
  <r>
    <x v="2"/>
    <n v="66148.350000000006"/>
    <x v="0"/>
    <x v="2"/>
    <x v="2"/>
    <x v="0"/>
    <x v="0"/>
  </r>
  <r>
    <x v="3"/>
    <n v="4169.4799999999996"/>
    <x v="0"/>
    <x v="3"/>
    <x v="3"/>
    <x v="0"/>
    <x v="0"/>
  </r>
  <r>
    <x v="4"/>
    <n v="58705.04"/>
    <x v="0"/>
    <x v="4"/>
    <x v="4"/>
    <x v="1"/>
    <x v="0"/>
  </r>
  <r>
    <x v="5"/>
    <n v="27651.599999999999"/>
    <x v="0"/>
    <x v="5"/>
    <x v="5"/>
    <x v="1"/>
    <x v="0"/>
  </r>
  <r>
    <x v="6"/>
    <n v="45741.82"/>
    <x v="0"/>
    <x v="6"/>
    <x v="6"/>
    <x v="1"/>
    <x v="0"/>
  </r>
  <r>
    <x v="7"/>
    <n v="45438.5"/>
    <x v="0"/>
    <x v="7"/>
    <x v="7"/>
    <x v="1"/>
    <x v="0"/>
  </r>
  <r>
    <x v="8"/>
    <n v="37934.07"/>
    <x v="0"/>
    <x v="8"/>
    <x v="8"/>
    <x v="1"/>
    <x v="0"/>
  </r>
  <r>
    <x v="9"/>
    <n v="52203.83"/>
    <x v="0"/>
    <x v="9"/>
    <x v="9"/>
    <x v="1"/>
    <x v="0"/>
  </r>
  <r>
    <x v="10"/>
    <n v="40987.79"/>
    <x v="0"/>
    <x v="10"/>
    <x v="10"/>
    <x v="1"/>
    <x v="0"/>
  </r>
  <r>
    <x v="11"/>
    <n v="2311.8200000000002"/>
    <x v="0"/>
    <x v="11"/>
    <x v="11"/>
    <x v="1"/>
    <x v="0"/>
  </r>
  <r>
    <x v="12"/>
    <n v="71172.399999999994"/>
    <x v="0"/>
    <x v="12"/>
    <x v="12"/>
    <x v="1"/>
    <x v="0"/>
  </r>
  <r>
    <x v="13"/>
    <n v="4200.49"/>
    <x v="0"/>
    <x v="13"/>
    <x v="13"/>
    <x v="1"/>
    <x v="0"/>
  </r>
  <r>
    <x v="14"/>
    <n v="66570.63"/>
    <x v="0"/>
    <x v="14"/>
    <x v="14"/>
    <x v="2"/>
    <x v="0"/>
  </r>
  <r>
    <x v="15"/>
    <n v="45729.01"/>
    <x v="0"/>
    <x v="15"/>
    <x v="15"/>
    <x v="2"/>
    <x v="0"/>
  </r>
  <r>
    <x v="16"/>
    <n v="65555.850000000006"/>
    <x v="0"/>
    <x v="16"/>
    <x v="16"/>
    <x v="2"/>
    <x v="0"/>
  </r>
  <r>
    <x v="17"/>
    <n v="50253.23"/>
    <x v="0"/>
    <x v="17"/>
    <x v="17"/>
    <x v="2"/>
    <x v="0"/>
  </r>
  <r>
    <x v="18"/>
    <n v="47354.720000000001"/>
    <x v="0"/>
    <x v="18"/>
    <x v="18"/>
    <x v="2"/>
    <x v="0"/>
  </r>
  <r>
    <x v="19"/>
    <n v="50143.44"/>
    <x v="0"/>
    <x v="19"/>
    <x v="19"/>
    <x v="2"/>
    <x v="0"/>
  </r>
  <r>
    <x v="20"/>
    <n v="34695.53"/>
    <x v="0"/>
    <x v="20"/>
    <x v="20"/>
    <x v="2"/>
    <x v="0"/>
  </r>
  <r>
    <x v="21"/>
    <n v="65782.77"/>
    <x v="0"/>
    <x v="21"/>
    <x v="21"/>
    <x v="2"/>
    <x v="0"/>
  </r>
  <r>
    <x v="22"/>
    <n v="38398.910000000003"/>
    <x v="0"/>
    <x v="22"/>
    <x v="22"/>
    <x v="2"/>
    <x v="0"/>
  </r>
  <r>
    <x v="23"/>
    <n v="42729.88"/>
    <x v="0"/>
    <x v="23"/>
    <x v="23"/>
    <x v="2"/>
    <x v="0"/>
  </r>
  <r>
    <x v="24"/>
    <n v="61003.5"/>
    <x v="0"/>
    <x v="24"/>
    <x v="24"/>
    <x v="2"/>
    <x v="0"/>
  </r>
  <r>
    <x v="25"/>
    <n v="59581.16"/>
    <x v="0"/>
    <x v="25"/>
    <x v="25"/>
    <x v="2"/>
    <x v="0"/>
  </r>
  <r>
    <x v="26"/>
    <n v="105637.8"/>
    <x v="0"/>
    <x v="26"/>
    <x v="26"/>
    <x v="2"/>
    <x v="0"/>
  </r>
  <r>
    <x v="27"/>
    <n v="24000.07"/>
    <x v="0"/>
    <x v="27"/>
    <x v="27"/>
    <x v="2"/>
    <x v="0"/>
  </r>
  <r>
    <x v="28"/>
    <n v="13980.16"/>
    <x v="0"/>
    <x v="28"/>
    <x v="28"/>
    <x v="2"/>
    <x v="0"/>
  </r>
  <r>
    <x v="29"/>
    <m/>
    <x v="0"/>
    <x v="29"/>
    <x v="29"/>
    <x v="2"/>
    <x v="0"/>
  </r>
  <r>
    <x v="30"/>
    <n v="32524.87"/>
    <x v="0"/>
    <x v="30"/>
    <x v="30"/>
    <x v="3"/>
    <x v="0"/>
  </r>
  <r>
    <x v="31"/>
    <n v="34119.61"/>
    <x v="0"/>
    <x v="31"/>
    <x v="31"/>
    <x v="3"/>
    <x v="0"/>
  </r>
  <r>
    <x v="32"/>
    <n v="67661.460000000006"/>
    <x v="0"/>
    <x v="32"/>
    <x v="32"/>
    <x v="3"/>
    <x v="0"/>
  </r>
  <r>
    <x v="33"/>
    <n v="56041.66"/>
    <x v="0"/>
    <x v="33"/>
    <x v="33"/>
    <x v="3"/>
    <x v="0"/>
  </r>
  <r>
    <x v="34"/>
    <n v="7051.6"/>
    <x v="0"/>
    <x v="34"/>
    <x v="34"/>
    <x v="3"/>
    <x v="0"/>
  </r>
  <r>
    <x v="35"/>
    <n v="80337.73"/>
    <x v="0"/>
    <x v="35"/>
    <x v="35"/>
    <x v="3"/>
    <x v="0"/>
  </r>
  <r>
    <x v="36"/>
    <n v="47156.88"/>
    <x v="0"/>
    <x v="36"/>
    <x v="36"/>
    <x v="3"/>
    <x v="0"/>
  </r>
  <r>
    <x v="37"/>
    <n v="145562.99"/>
    <x v="0"/>
    <x v="37"/>
    <x v="37"/>
    <x v="3"/>
    <x v="0"/>
  </r>
  <r>
    <x v="38"/>
    <n v="66556.34"/>
    <x v="0"/>
    <x v="38"/>
    <x v="38"/>
    <x v="3"/>
    <x v="0"/>
  </r>
  <r>
    <x v="39"/>
    <n v="80448.23"/>
    <x v="0"/>
    <x v="39"/>
    <x v="39"/>
    <x v="3"/>
    <x v="0"/>
  </r>
  <r>
    <x v="40"/>
    <n v="12314.61"/>
    <x v="0"/>
    <x v="40"/>
    <x v="40"/>
    <x v="3"/>
    <x v="0"/>
  </r>
  <r>
    <x v="41"/>
    <n v="31578"/>
    <x v="0"/>
    <x v="41"/>
    <x v="41"/>
    <x v="3"/>
    <x v="0"/>
  </r>
  <r>
    <x v="42"/>
    <n v="36540.230000000003"/>
    <x v="0"/>
    <x v="42"/>
    <x v="42"/>
    <x v="3"/>
    <x v="0"/>
  </r>
  <r>
    <x v="43"/>
    <n v="50864.54"/>
    <x v="0"/>
    <x v="43"/>
    <x v="43"/>
    <x v="3"/>
    <x v="0"/>
  </r>
  <r>
    <x v="44"/>
    <n v="43992.77"/>
    <x v="0"/>
    <x v="44"/>
    <x v="44"/>
    <x v="3"/>
    <x v="0"/>
  </r>
  <r>
    <x v="45"/>
    <n v="49564.06"/>
    <x v="0"/>
    <x v="45"/>
    <x v="45"/>
    <x v="3"/>
    <x v="0"/>
  </r>
  <r>
    <x v="46"/>
    <n v="44150.86"/>
    <x v="0"/>
    <x v="34"/>
    <x v="34"/>
    <x v="3"/>
    <x v="0"/>
  </r>
  <r>
    <x v="47"/>
    <n v="41747.21"/>
    <x v="0"/>
    <x v="46"/>
    <x v="46"/>
    <x v="3"/>
    <x v="0"/>
  </r>
  <r>
    <x v="48"/>
    <n v="117734.01"/>
    <x v="0"/>
    <x v="47"/>
    <x v="47"/>
    <x v="3"/>
    <x v="0"/>
  </r>
  <r>
    <x v="49"/>
    <n v="37266.82"/>
    <x v="0"/>
    <x v="48"/>
    <x v="48"/>
    <x v="3"/>
    <x v="0"/>
  </r>
  <r>
    <x v="50"/>
    <n v="14256.47"/>
    <x v="0"/>
    <x v="49"/>
    <x v="49"/>
    <x v="3"/>
    <x v="0"/>
  </r>
  <r>
    <x v="51"/>
    <n v="24592.07"/>
    <x v="0"/>
    <x v="50"/>
    <x v="50"/>
    <x v="3"/>
    <x v="0"/>
  </r>
  <r>
    <x v="52"/>
    <n v="14373.95"/>
    <x v="0"/>
    <x v="51"/>
    <x v="51"/>
    <x v="3"/>
    <x v="0"/>
  </r>
  <r>
    <x v="53"/>
    <n v="71640.820000000007"/>
    <x v="0"/>
    <x v="52"/>
    <x v="52"/>
    <x v="4"/>
    <x v="0"/>
  </r>
  <r>
    <x v="54"/>
    <n v="33870.01"/>
    <x v="0"/>
    <x v="53"/>
    <x v="53"/>
    <x v="4"/>
    <x v="0"/>
  </r>
  <r>
    <x v="55"/>
    <n v="48368.2"/>
    <x v="0"/>
    <x v="54"/>
    <x v="54"/>
    <x v="4"/>
    <x v="0"/>
  </r>
  <r>
    <x v="56"/>
    <n v="45323.77"/>
    <x v="0"/>
    <x v="55"/>
    <x v="55"/>
    <x v="4"/>
    <x v="0"/>
  </r>
  <r>
    <x v="57"/>
    <n v="65109.25"/>
    <x v="0"/>
    <x v="56"/>
    <x v="56"/>
    <x v="4"/>
    <x v="0"/>
  </r>
  <r>
    <x v="58"/>
    <n v="99284.71"/>
    <x v="0"/>
    <x v="57"/>
    <x v="57"/>
    <x v="4"/>
    <x v="0"/>
  </r>
  <r>
    <x v="59"/>
    <n v="46558.85"/>
    <x v="0"/>
    <x v="58"/>
    <x v="58"/>
    <x v="5"/>
    <x v="0"/>
  </r>
  <r>
    <x v="60"/>
    <n v="23301.09"/>
    <x v="0"/>
    <x v="59"/>
    <x v="59"/>
    <x v="5"/>
    <x v="0"/>
  </r>
  <r>
    <x v="61"/>
    <n v="40248.639999999999"/>
    <x v="0"/>
    <x v="60"/>
    <x v="60"/>
    <x v="5"/>
    <x v="0"/>
  </r>
  <r>
    <x v="62"/>
    <n v="20846.97"/>
    <x v="0"/>
    <x v="61"/>
    <x v="61"/>
    <x v="5"/>
    <x v="0"/>
  </r>
  <r>
    <x v="63"/>
    <n v="42516.15"/>
    <x v="0"/>
    <x v="62"/>
    <x v="62"/>
    <x v="5"/>
    <x v="0"/>
  </r>
  <r>
    <x v="64"/>
    <n v="2151.1"/>
    <x v="0"/>
    <x v="63"/>
    <x v="63"/>
    <x v="5"/>
    <x v="0"/>
  </r>
  <r>
    <x v="65"/>
    <n v="55748.4"/>
    <x v="0"/>
    <x v="64"/>
    <x v="64"/>
    <x v="5"/>
    <x v="0"/>
  </r>
  <r>
    <x v="66"/>
    <n v="74237.34"/>
    <x v="0"/>
    <x v="65"/>
    <x v="65"/>
    <x v="5"/>
    <x v="0"/>
  </r>
  <r>
    <x v="67"/>
    <m/>
    <x v="0"/>
    <x v="66"/>
    <x v="66"/>
    <x v="5"/>
    <x v="0"/>
  </r>
  <r>
    <x v="68"/>
    <n v="11999.01"/>
    <x v="0"/>
    <x v="67"/>
    <x v="67"/>
    <x v="5"/>
    <x v="0"/>
  </r>
  <r>
    <x v="69"/>
    <n v="49500.33"/>
    <x v="0"/>
    <x v="68"/>
    <x v="68"/>
    <x v="6"/>
    <x v="0"/>
  </r>
  <r>
    <x v="70"/>
    <n v="146922.21"/>
    <x v="0"/>
    <x v="69"/>
    <x v="69"/>
    <x v="6"/>
    <x v="0"/>
  </r>
  <r>
    <x v="71"/>
    <n v="42413.23"/>
    <x v="0"/>
    <x v="70"/>
    <x v="70"/>
    <x v="6"/>
    <x v="0"/>
  </r>
  <r>
    <x v="72"/>
    <n v="35954.97"/>
    <x v="0"/>
    <x v="71"/>
    <x v="71"/>
    <x v="6"/>
    <x v="0"/>
  </r>
  <r>
    <x v="73"/>
    <n v="60762.39"/>
    <x v="0"/>
    <x v="72"/>
    <x v="72"/>
    <x v="6"/>
    <x v="0"/>
  </r>
  <r>
    <x v="74"/>
    <n v="50438.06"/>
    <x v="0"/>
    <x v="73"/>
    <x v="73"/>
    <x v="7"/>
    <x v="0"/>
  </r>
  <r>
    <x v="75"/>
    <n v="70345.990000000005"/>
    <x v="0"/>
    <x v="74"/>
    <x v="74"/>
    <x v="7"/>
    <x v="0"/>
  </r>
  <r>
    <x v="76"/>
    <n v="32717.4"/>
    <x v="0"/>
    <x v="75"/>
    <x v="75"/>
    <x v="7"/>
    <x v="0"/>
  </r>
  <r>
    <x v="77"/>
    <m/>
    <x v="0"/>
    <x v="76"/>
    <x v="76"/>
    <x v="8"/>
    <x v="0"/>
  </r>
  <r>
    <x v="78"/>
    <n v="27352.51"/>
    <x v="0"/>
    <x v="76"/>
    <x v="76"/>
    <x v="8"/>
    <x v="0"/>
  </r>
  <r>
    <x v="79"/>
    <n v="50074.47"/>
    <x v="0"/>
    <x v="77"/>
    <x v="77"/>
    <x v="9"/>
    <x v="0"/>
  </r>
  <r>
    <x v="80"/>
    <n v="59251.47"/>
    <x v="0"/>
    <x v="78"/>
    <x v="78"/>
    <x v="9"/>
    <x v="0"/>
  </r>
  <r>
    <x v="81"/>
    <n v="104731.24"/>
    <x v="0"/>
    <x v="79"/>
    <x v="79"/>
    <x v="9"/>
    <x v="0"/>
  </r>
  <r>
    <x v="82"/>
    <n v="77698.81"/>
    <x v="0"/>
    <x v="80"/>
    <x v="80"/>
    <x v="9"/>
    <x v="0"/>
  </r>
  <r>
    <x v="83"/>
    <n v="17080.939999999999"/>
    <x v="0"/>
    <x v="81"/>
    <x v="81"/>
    <x v="9"/>
    <x v="0"/>
  </r>
  <r>
    <x v="84"/>
    <n v="66403.88"/>
    <x v="0"/>
    <x v="82"/>
    <x v="82"/>
    <x v="9"/>
    <x v="0"/>
  </r>
  <r>
    <x v="85"/>
    <n v="3410.38"/>
    <x v="0"/>
    <x v="83"/>
    <x v="83"/>
    <x v="9"/>
    <x v="0"/>
  </r>
  <r>
    <x v="86"/>
    <n v="28219.55"/>
    <x v="0"/>
    <x v="84"/>
    <x v="84"/>
    <x v="9"/>
    <x v="0"/>
  </r>
  <r>
    <x v="87"/>
    <n v="20048.21"/>
    <x v="0"/>
    <x v="85"/>
    <x v="85"/>
    <x v="9"/>
    <x v="0"/>
  </r>
  <r>
    <x v="88"/>
    <m/>
    <x v="0"/>
    <x v="86"/>
    <x v="86"/>
    <x v="9"/>
    <x v="0"/>
  </r>
  <r>
    <x v="89"/>
    <n v="56182.59"/>
    <x v="0"/>
    <x v="87"/>
    <x v="87"/>
    <x v="10"/>
    <x v="0"/>
  </r>
  <r>
    <x v="90"/>
    <n v="64151.24"/>
    <x v="0"/>
    <x v="88"/>
    <x v="88"/>
    <x v="10"/>
    <x v="0"/>
  </r>
  <r>
    <x v="91"/>
    <n v="53098.04"/>
    <x v="0"/>
    <x v="89"/>
    <x v="89"/>
    <x v="10"/>
    <x v="0"/>
  </r>
  <r>
    <x v="92"/>
    <n v="52616.72"/>
    <x v="0"/>
    <x v="90"/>
    <x v="90"/>
    <x v="10"/>
    <x v="0"/>
  </r>
  <r>
    <x v="93"/>
    <n v="59092.61"/>
    <x v="0"/>
    <x v="91"/>
    <x v="91"/>
    <x v="11"/>
    <x v="0"/>
  </r>
  <r>
    <x v="94"/>
    <n v="37636.15"/>
    <x v="0"/>
    <x v="92"/>
    <x v="92"/>
    <x v="11"/>
    <x v="0"/>
  </r>
  <r>
    <x v="95"/>
    <n v="90218.51"/>
    <x v="0"/>
    <x v="93"/>
    <x v="93"/>
    <x v="11"/>
    <x v="0"/>
  </r>
  <r>
    <x v="96"/>
    <n v="72402.570000000007"/>
    <x v="0"/>
    <x v="94"/>
    <x v="94"/>
    <x v="11"/>
    <x v="0"/>
  </r>
  <r>
    <x v="97"/>
    <n v="71949.86"/>
    <x v="0"/>
    <x v="95"/>
    <x v="95"/>
    <x v="11"/>
    <x v="0"/>
  </r>
  <r>
    <x v="98"/>
    <n v="41327.599999999999"/>
    <x v="0"/>
    <x v="96"/>
    <x v="96"/>
    <x v="11"/>
    <x v="0"/>
  </r>
  <r>
    <x v="99"/>
    <n v="48044.77"/>
    <x v="0"/>
    <x v="97"/>
    <x v="97"/>
    <x v="11"/>
    <x v="0"/>
  </r>
  <r>
    <x v="100"/>
    <n v="61330.33"/>
    <x v="0"/>
    <x v="98"/>
    <x v="98"/>
    <x v="11"/>
    <x v="0"/>
  </r>
  <r>
    <x v="101"/>
    <n v="2386.54"/>
    <x v="0"/>
    <x v="99"/>
    <x v="99"/>
    <x v="11"/>
    <x v="0"/>
  </r>
  <r>
    <x v="102"/>
    <n v="87773.440000000002"/>
    <x v="0"/>
    <x v="100"/>
    <x v="100"/>
    <x v="11"/>
    <x v="0"/>
  </r>
  <r>
    <x v="103"/>
    <n v="83232.929999999993"/>
    <x v="0"/>
    <x v="101"/>
    <x v="101"/>
    <x v="11"/>
    <x v="0"/>
  </r>
  <r>
    <x v="104"/>
    <m/>
    <x v="0"/>
    <x v="102"/>
    <x v="102"/>
    <x v="11"/>
    <x v="0"/>
  </r>
  <r>
    <x v="105"/>
    <n v="18054.82"/>
    <x v="0"/>
    <x v="103"/>
    <x v="103"/>
    <x v="11"/>
    <x v="0"/>
  </r>
  <r>
    <x v="106"/>
    <n v="38098.07"/>
    <x v="0"/>
    <x v="104"/>
    <x v="104"/>
    <x v="12"/>
    <x v="0"/>
  </r>
  <r>
    <x v="107"/>
    <n v="59189.760000000002"/>
    <x v="0"/>
    <x v="105"/>
    <x v="105"/>
    <x v="13"/>
    <x v="0"/>
  </r>
  <r>
    <x v="108"/>
    <n v="4219.6400000000003"/>
    <x v="0"/>
    <x v="106"/>
    <x v="106"/>
    <x v="13"/>
    <x v="0"/>
  </r>
  <r>
    <x v="109"/>
    <n v="58709.89"/>
    <x v="0"/>
    <x v="107"/>
    <x v="107"/>
    <x v="14"/>
    <x v="0"/>
  </r>
  <r>
    <x v="110"/>
    <n v="39568.57"/>
    <x v="0"/>
    <x v="108"/>
    <x v="108"/>
    <x v="14"/>
    <x v="0"/>
  </r>
  <r>
    <x v="111"/>
    <n v="34578.53"/>
    <x v="0"/>
    <x v="109"/>
    <x v="109"/>
    <x v="14"/>
    <x v="0"/>
  </r>
  <r>
    <x v="112"/>
    <n v="51921.87"/>
    <x v="0"/>
    <x v="110"/>
    <x v="110"/>
    <x v="14"/>
    <x v="0"/>
  </r>
  <r>
    <x v="113"/>
    <n v="44255.01"/>
    <x v="0"/>
    <x v="111"/>
    <x v="111"/>
    <x v="14"/>
    <x v="0"/>
  </r>
  <r>
    <x v="114"/>
    <n v="52878.93"/>
    <x v="0"/>
    <x v="112"/>
    <x v="112"/>
    <x v="14"/>
    <x v="0"/>
  </r>
  <r>
    <x v="115"/>
    <n v="45595.85"/>
    <x v="0"/>
    <x v="113"/>
    <x v="113"/>
    <x v="14"/>
    <x v="0"/>
  </r>
  <r>
    <x v="116"/>
    <n v="45097.89"/>
    <x v="0"/>
    <x v="114"/>
    <x v="114"/>
    <x v="14"/>
    <x v="0"/>
  </r>
  <r>
    <x v="117"/>
    <n v="54650.35"/>
    <x v="0"/>
    <x v="115"/>
    <x v="115"/>
    <x v="14"/>
    <x v="0"/>
  </r>
  <r>
    <x v="118"/>
    <n v="41955.41"/>
    <x v="0"/>
    <x v="116"/>
    <x v="116"/>
    <x v="14"/>
    <x v="0"/>
  </r>
  <r>
    <x v="119"/>
    <n v="50777.09"/>
    <x v="0"/>
    <x v="117"/>
    <x v="117"/>
    <x v="14"/>
    <x v="0"/>
  </r>
  <r>
    <x v="120"/>
    <n v="39994"/>
    <x v="0"/>
    <x v="118"/>
    <x v="118"/>
    <x v="14"/>
    <x v="0"/>
  </r>
  <r>
    <x v="121"/>
    <n v="52311.519999999997"/>
    <x v="0"/>
    <x v="119"/>
    <x v="119"/>
    <x v="14"/>
    <x v="0"/>
  </r>
  <r>
    <x v="122"/>
    <n v="80985.039999999994"/>
    <x v="0"/>
    <x v="120"/>
    <x v="120"/>
    <x v="14"/>
    <x v="0"/>
  </r>
  <r>
    <x v="123"/>
    <n v="64783.73"/>
    <x v="0"/>
    <x v="121"/>
    <x v="121"/>
    <x v="14"/>
    <x v="0"/>
  </r>
  <r>
    <x v="124"/>
    <n v="58649.65"/>
    <x v="0"/>
    <x v="122"/>
    <x v="122"/>
    <x v="14"/>
    <x v="0"/>
  </r>
  <r>
    <x v="125"/>
    <n v="50236.27"/>
    <x v="0"/>
    <x v="123"/>
    <x v="123"/>
    <x v="14"/>
    <x v="0"/>
  </r>
  <r>
    <x v="126"/>
    <n v="71579.600000000006"/>
    <x v="0"/>
    <x v="124"/>
    <x v="124"/>
    <x v="14"/>
    <x v="0"/>
  </r>
  <r>
    <x v="127"/>
    <n v="50081.53"/>
    <x v="0"/>
    <x v="125"/>
    <x v="125"/>
    <x v="14"/>
    <x v="0"/>
  </r>
  <r>
    <x v="128"/>
    <n v="33999.440000000002"/>
    <x v="0"/>
    <x v="126"/>
    <x v="126"/>
    <x v="14"/>
    <x v="0"/>
  </r>
  <r>
    <x v="129"/>
    <n v="46729.05"/>
    <x v="0"/>
    <x v="127"/>
    <x v="127"/>
    <x v="14"/>
    <x v="0"/>
  </r>
  <r>
    <x v="130"/>
    <n v="59543.78"/>
    <x v="0"/>
    <x v="128"/>
    <x v="128"/>
    <x v="14"/>
    <x v="0"/>
  </r>
  <r>
    <x v="131"/>
    <n v="60849.18"/>
    <x v="0"/>
    <x v="129"/>
    <x v="129"/>
    <x v="14"/>
    <x v="0"/>
  </r>
  <r>
    <x v="132"/>
    <n v="71746.55"/>
    <x v="0"/>
    <x v="130"/>
    <x v="130"/>
    <x v="14"/>
    <x v="0"/>
  </r>
  <r>
    <x v="133"/>
    <n v="10956.6142"/>
    <x v="0"/>
    <x v="131"/>
    <x v="131"/>
    <x v="14"/>
    <x v="0"/>
  </r>
  <r>
    <x v="134"/>
    <n v="56411.93"/>
    <x v="0"/>
    <x v="132"/>
    <x v="132"/>
    <x v="14"/>
    <x v="0"/>
  </r>
  <r>
    <x v="135"/>
    <n v="55409.67"/>
    <x v="0"/>
    <x v="133"/>
    <x v="133"/>
    <x v="14"/>
    <x v="0"/>
  </r>
  <r>
    <x v="136"/>
    <n v="28586.71"/>
    <x v="0"/>
    <x v="134"/>
    <x v="134"/>
    <x v="14"/>
    <x v="0"/>
  </r>
  <r>
    <x v="137"/>
    <n v="60364.480000000003"/>
    <x v="0"/>
    <x v="126"/>
    <x v="126"/>
    <x v="14"/>
    <x v="0"/>
  </r>
  <r>
    <x v="138"/>
    <n v="50835.3"/>
    <x v="0"/>
    <x v="135"/>
    <x v="135"/>
    <x v="14"/>
    <x v="0"/>
  </r>
  <r>
    <x v="139"/>
    <n v="104543.89"/>
    <x v="0"/>
    <x v="136"/>
    <x v="136"/>
    <x v="14"/>
    <x v="0"/>
  </r>
  <r>
    <x v="140"/>
    <n v="68422.460000000006"/>
    <x v="0"/>
    <x v="137"/>
    <x v="137"/>
    <x v="14"/>
    <x v="0"/>
  </r>
  <r>
    <x v="141"/>
    <n v="86300.79"/>
    <x v="0"/>
    <x v="138"/>
    <x v="138"/>
    <x v="14"/>
    <x v="0"/>
  </r>
  <r>
    <x v="142"/>
    <n v="24081.15"/>
    <x v="0"/>
    <x v="139"/>
    <x v="139"/>
    <x v="14"/>
    <x v="0"/>
  </r>
  <r>
    <x v="143"/>
    <n v="34655.18"/>
    <x v="0"/>
    <x v="140"/>
    <x v="140"/>
    <x v="14"/>
    <x v="0"/>
  </r>
  <r>
    <x v="144"/>
    <n v="43975.3"/>
    <x v="0"/>
    <x v="141"/>
    <x v="141"/>
    <x v="14"/>
    <x v="0"/>
  </r>
  <r>
    <x v="145"/>
    <n v="38040.720000000001"/>
    <x v="0"/>
    <x v="142"/>
    <x v="142"/>
    <x v="14"/>
    <x v="0"/>
  </r>
  <r>
    <x v="146"/>
    <n v="69785"/>
    <x v="0"/>
    <x v="143"/>
    <x v="143"/>
    <x v="14"/>
    <x v="0"/>
  </r>
  <r>
    <x v="147"/>
    <n v="47873.67"/>
    <x v="0"/>
    <x v="144"/>
    <x v="144"/>
    <x v="14"/>
    <x v="0"/>
  </r>
  <r>
    <x v="148"/>
    <n v="49312.59"/>
    <x v="0"/>
    <x v="145"/>
    <x v="145"/>
    <x v="14"/>
    <x v="0"/>
  </r>
  <r>
    <x v="149"/>
    <n v="49694.69"/>
    <x v="0"/>
    <x v="34"/>
    <x v="34"/>
    <x v="14"/>
    <x v="0"/>
  </r>
  <r>
    <x v="150"/>
    <n v="89343.27"/>
    <x v="0"/>
    <x v="146"/>
    <x v="146"/>
    <x v="14"/>
    <x v="0"/>
  </r>
  <r>
    <x v="151"/>
    <n v="58058.63"/>
    <x v="0"/>
    <x v="147"/>
    <x v="147"/>
    <x v="14"/>
    <x v="0"/>
  </r>
  <r>
    <x v="152"/>
    <n v="40541.03"/>
    <x v="0"/>
    <x v="148"/>
    <x v="148"/>
    <x v="14"/>
    <x v="0"/>
  </r>
  <r>
    <x v="153"/>
    <n v="34737.839999999997"/>
    <x v="0"/>
    <x v="149"/>
    <x v="149"/>
    <x v="14"/>
    <x v="0"/>
  </r>
  <r>
    <x v="154"/>
    <n v="36368.53"/>
    <x v="0"/>
    <x v="150"/>
    <x v="150"/>
    <x v="14"/>
    <x v="0"/>
  </r>
  <r>
    <x v="155"/>
    <n v="69771.72"/>
    <x v="0"/>
    <x v="151"/>
    <x v="151"/>
    <x v="14"/>
    <x v="0"/>
  </r>
  <r>
    <x v="156"/>
    <n v="107045.36"/>
    <x v="0"/>
    <x v="152"/>
    <x v="152"/>
    <x v="14"/>
    <x v="0"/>
  </r>
  <r>
    <x v="157"/>
    <n v="43279.74"/>
    <x v="0"/>
    <x v="153"/>
    <x v="153"/>
    <x v="14"/>
    <x v="0"/>
  </r>
  <r>
    <x v="158"/>
    <n v="63734.19"/>
    <x v="0"/>
    <x v="126"/>
    <x v="126"/>
    <x v="14"/>
    <x v="0"/>
  </r>
  <r>
    <x v="159"/>
    <n v="62348.28"/>
    <x v="0"/>
    <x v="154"/>
    <x v="154"/>
    <x v="14"/>
    <x v="0"/>
  </r>
  <r>
    <x v="160"/>
    <n v="60480.75"/>
    <x v="0"/>
    <x v="155"/>
    <x v="155"/>
    <x v="14"/>
    <x v="0"/>
  </r>
  <r>
    <x v="161"/>
    <n v="85947.5"/>
    <x v="0"/>
    <x v="156"/>
    <x v="156"/>
    <x v="14"/>
    <x v="0"/>
  </r>
  <r>
    <x v="162"/>
    <n v="124253.57"/>
    <x v="0"/>
    <x v="157"/>
    <x v="157"/>
    <x v="14"/>
    <x v="0"/>
  </r>
  <r>
    <x v="163"/>
    <n v="77267.179999999993"/>
    <x v="0"/>
    <x v="158"/>
    <x v="158"/>
    <x v="14"/>
    <x v="0"/>
  </r>
  <r>
    <x v="164"/>
    <n v="69631.789999999994"/>
    <x v="0"/>
    <x v="159"/>
    <x v="159"/>
    <x v="14"/>
    <x v="0"/>
  </r>
  <r>
    <x v="165"/>
    <n v="42618.95"/>
    <x v="0"/>
    <x v="160"/>
    <x v="160"/>
    <x v="14"/>
    <x v="0"/>
  </r>
  <r>
    <x v="166"/>
    <n v="50365.65"/>
    <x v="0"/>
    <x v="161"/>
    <x v="161"/>
    <x v="14"/>
    <x v="0"/>
  </r>
  <r>
    <x v="167"/>
    <n v="42780.28"/>
    <x v="0"/>
    <x v="162"/>
    <x v="162"/>
    <x v="14"/>
    <x v="0"/>
  </r>
  <r>
    <x v="168"/>
    <n v="65536.399999999994"/>
    <x v="0"/>
    <x v="163"/>
    <x v="163"/>
    <x v="14"/>
    <x v="0"/>
  </r>
  <r>
    <x v="169"/>
    <n v="47905.4"/>
    <x v="0"/>
    <x v="164"/>
    <x v="164"/>
    <x v="14"/>
    <x v="0"/>
  </r>
  <r>
    <x v="170"/>
    <n v="49238.26"/>
    <x v="0"/>
    <x v="165"/>
    <x v="165"/>
    <x v="14"/>
    <x v="0"/>
  </r>
  <r>
    <x v="171"/>
    <n v="85727.77"/>
    <x v="0"/>
    <x v="166"/>
    <x v="166"/>
    <x v="14"/>
    <x v="0"/>
  </r>
  <r>
    <x v="172"/>
    <n v="49407.16"/>
    <x v="0"/>
    <x v="167"/>
    <x v="167"/>
    <x v="14"/>
    <x v="0"/>
  </r>
  <r>
    <x v="173"/>
    <n v="61066.61"/>
    <x v="0"/>
    <x v="168"/>
    <x v="168"/>
    <x v="14"/>
    <x v="0"/>
  </r>
  <r>
    <x v="174"/>
    <n v="27547.72"/>
    <x v="0"/>
    <x v="169"/>
    <x v="169"/>
    <x v="14"/>
    <x v="0"/>
  </r>
  <r>
    <x v="175"/>
    <n v="49697.279999999999"/>
    <x v="0"/>
    <x v="170"/>
    <x v="170"/>
    <x v="14"/>
    <x v="0"/>
  </r>
  <r>
    <x v="176"/>
    <n v="63738.49"/>
    <x v="0"/>
    <x v="114"/>
    <x v="114"/>
    <x v="14"/>
    <x v="0"/>
  </r>
  <r>
    <x v="177"/>
    <n v="55177.06"/>
    <x v="0"/>
    <x v="171"/>
    <x v="171"/>
    <x v="14"/>
    <x v="0"/>
  </r>
  <r>
    <x v="178"/>
    <n v="61667.41"/>
    <x v="0"/>
    <x v="172"/>
    <x v="172"/>
    <x v="14"/>
    <x v="0"/>
  </r>
  <r>
    <x v="179"/>
    <n v="10633.18"/>
    <x v="0"/>
    <x v="173"/>
    <x v="173"/>
    <x v="14"/>
    <x v="0"/>
  </r>
  <r>
    <x v="180"/>
    <n v="28452.53"/>
    <x v="0"/>
    <x v="174"/>
    <x v="174"/>
    <x v="14"/>
    <x v="0"/>
  </r>
  <r>
    <x v="181"/>
    <n v="40057.85"/>
    <x v="0"/>
    <x v="175"/>
    <x v="134"/>
    <x v="14"/>
    <x v="0"/>
  </r>
  <r>
    <x v="182"/>
    <n v="27902.66"/>
    <x v="0"/>
    <x v="176"/>
    <x v="175"/>
    <x v="14"/>
    <x v="0"/>
  </r>
  <r>
    <x v="183"/>
    <n v="22904.2"/>
    <x v="0"/>
    <x v="177"/>
    <x v="176"/>
    <x v="14"/>
    <x v="0"/>
  </r>
  <r>
    <x v="184"/>
    <n v="71637.789999999994"/>
    <x v="0"/>
    <x v="178"/>
    <x v="177"/>
    <x v="14"/>
    <x v="0"/>
  </r>
  <r>
    <x v="185"/>
    <n v="68656.600000000006"/>
    <x v="0"/>
    <x v="179"/>
    <x v="178"/>
    <x v="14"/>
    <x v="0"/>
  </r>
  <r>
    <x v="186"/>
    <n v="100501.68"/>
    <x v="0"/>
    <x v="180"/>
    <x v="179"/>
    <x v="14"/>
    <x v="0"/>
  </r>
  <r>
    <x v="187"/>
    <n v="42923.32"/>
    <x v="0"/>
    <x v="160"/>
    <x v="180"/>
    <x v="14"/>
    <x v="0"/>
  </r>
  <r>
    <x v="188"/>
    <n v="42233.62"/>
    <x v="0"/>
    <x v="181"/>
    <x v="181"/>
    <x v="14"/>
    <x v="0"/>
  </r>
  <r>
    <x v="189"/>
    <n v="54930.7"/>
    <x v="0"/>
    <x v="182"/>
    <x v="182"/>
    <x v="14"/>
    <x v="0"/>
  </r>
  <r>
    <x v="190"/>
    <n v="47995.360000000001"/>
    <x v="0"/>
    <x v="183"/>
    <x v="183"/>
    <x v="14"/>
    <x v="0"/>
  </r>
  <r>
    <x v="191"/>
    <n v="36336.400000000001"/>
    <x v="0"/>
    <x v="184"/>
    <x v="184"/>
    <x v="14"/>
    <x v="0"/>
  </r>
  <r>
    <x v="192"/>
    <n v="57181.43"/>
    <x v="0"/>
    <x v="185"/>
    <x v="185"/>
    <x v="14"/>
    <x v="0"/>
  </r>
  <r>
    <x v="193"/>
    <n v="42834.97"/>
    <x v="0"/>
    <x v="186"/>
    <x v="186"/>
    <x v="14"/>
    <x v="0"/>
  </r>
  <r>
    <x v="194"/>
    <n v="64902.51"/>
    <x v="0"/>
    <x v="187"/>
    <x v="187"/>
    <x v="14"/>
    <x v="0"/>
  </r>
  <r>
    <x v="195"/>
    <n v="1498.34"/>
    <x v="0"/>
    <x v="188"/>
    <x v="188"/>
    <x v="14"/>
    <x v="0"/>
  </r>
  <r>
    <x v="196"/>
    <n v="2972.76"/>
    <x v="0"/>
    <x v="160"/>
    <x v="189"/>
    <x v="14"/>
    <x v="0"/>
  </r>
  <r>
    <x v="197"/>
    <n v="4211.38"/>
    <x v="0"/>
    <x v="189"/>
    <x v="190"/>
    <x v="14"/>
    <x v="0"/>
  </r>
  <r>
    <x v="198"/>
    <n v="4413.57"/>
    <x v="0"/>
    <x v="190"/>
    <x v="191"/>
    <x v="14"/>
    <x v="0"/>
  </r>
  <r>
    <x v="199"/>
    <n v="4576.32"/>
    <x v="0"/>
    <x v="191"/>
    <x v="192"/>
    <x v="14"/>
    <x v="0"/>
  </r>
  <r>
    <x v="200"/>
    <n v="3185.15"/>
    <x v="0"/>
    <x v="192"/>
    <x v="193"/>
    <x v="14"/>
    <x v="0"/>
  </r>
  <r>
    <x v="201"/>
    <n v="2739.06"/>
    <x v="0"/>
    <x v="193"/>
    <x v="194"/>
    <x v="14"/>
    <x v="0"/>
  </r>
  <r>
    <x v="202"/>
    <n v="81834.429999999993"/>
    <x v="0"/>
    <x v="194"/>
    <x v="195"/>
    <x v="14"/>
    <x v="0"/>
  </r>
  <r>
    <x v="203"/>
    <n v="70539.63"/>
    <x v="0"/>
    <x v="195"/>
    <x v="196"/>
    <x v="14"/>
    <x v="0"/>
  </r>
  <r>
    <x v="204"/>
    <n v="57714.91"/>
    <x v="0"/>
    <x v="196"/>
    <x v="197"/>
    <x v="14"/>
    <x v="0"/>
  </r>
  <r>
    <x v="205"/>
    <n v="54386.23"/>
    <x v="0"/>
    <x v="197"/>
    <x v="198"/>
    <x v="14"/>
    <x v="0"/>
  </r>
  <r>
    <x v="206"/>
    <n v="60257.51"/>
    <x v="0"/>
    <x v="198"/>
    <x v="199"/>
    <x v="14"/>
    <x v="0"/>
  </r>
  <r>
    <x v="207"/>
    <n v="92758.5"/>
    <x v="0"/>
    <x v="199"/>
    <x v="200"/>
    <x v="14"/>
    <x v="0"/>
  </r>
  <r>
    <x v="208"/>
    <n v="122629.23"/>
    <x v="0"/>
    <x v="200"/>
    <x v="201"/>
    <x v="14"/>
    <x v="0"/>
  </r>
  <r>
    <x v="209"/>
    <n v="69472.429999999993"/>
    <x v="0"/>
    <x v="201"/>
    <x v="202"/>
    <x v="14"/>
    <x v="0"/>
  </r>
  <r>
    <x v="210"/>
    <n v="34236.39"/>
    <x v="0"/>
    <x v="160"/>
    <x v="203"/>
    <x v="14"/>
    <x v="0"/>
  </r>
  <r>
    <x v="211"/>
    <n v="56251.7"/>
    <x v="0"/>
    <x v="202"/>
    <x v="204"/>
    <x v="14"/>
    <x v="0"/>
  </r>
  <r>
    <x v="212"/>
    <n v="58840.38"/>
    <x v="0"/>
    <x v="203"/>
    <x v="205"/>
    <x v="14"/>
    <x v="0"/>
  </r>
  <r>
    <x v="213"/>
    <n v="58141.3"/>
    <x v="0"/>
    <x v="204"/>
    <x v="206"/>
    <x v="14"/>
    <x v="0"/>
  </r>
  <r>
    <x v="214"/>
    <n v="32708.12"/>
    <x v="0"/>
    <x v="126"/>
    <x v="126"/>
    <x v="14"/>
    <x v="0"/>
  </r>
  <r>
    <x v="215"/>
    <n v="41662.410000000003"/>
    <x v="0"/>
    <x v="205"/>
    <x v="207"/>
    <x v="14"/>
    <x v="0"/>
  </r>
  <r>
    <x v="216"/>
    <n v="35538.730000000003"/>
    <x v="0"/>
    <x v="206"/>
    <x v="208"/>
    <x v="14"/>
    <x v="0"/>
  </r>
  <r>
    <x v="217"/>
    <n v="46329.24"/>
    <x v="0"/>
    <x v="207"/>
    <x v="209"/>
    <x v="14"/>
    <x v="0"/>
  </r>
  <r>
    <x v="218"/>
    <n v="79047.100000000006"/>
    <x v="0"/>
    <x v="208"/>
    <x v="210"/>
    <x v="14"/>
    <x v="0"/>
  </r>
  <r>
    <x v="219"/>
    <n v="134211.85"/>
    <x v="0"/>
    <x v="209"/>
    <x v="211"/>
    <x v="14"/>
    <x v="0"/>
  </r>
  <r>
    <x v="220"/>
    <n v="127172.04"/>
    <x v="0"/>
    <x v="210"/>
    <x v="212"/>
    <x v="14"/>
    <x v="0"/>
  </r>
  <r>
    <x v="221"/>
    <n v="89281.85"/>
    <x v="0"/>
    <x v="211"/>
    <x v="213"/>
    <x v="14"/>
    <x v="0"/>
  </r>
  <r>
    <x v="222"/>
    <n v="63096.75"/>
    <x v="0"/>
    <x v="212"/>
    <x v="214"/>
    <x v="14"/>
    <x v="0"/>
  </r>
  <r>
    <x v="223"/>
    <n v="93745.11"/>
    <x v="0"/>
    <x v="213"/>
    <x v="215"/>
    <x v="14"/>
    <x v="0"/>
  </r>
  <r>
    <x v="224"/>
    <n v="23004.41"/>
    <x v="0"/>
    <x v="214"/>
    <x v="216"/>
    <x v="14"/>
    <x v="0"/>
  </r>
  <r>
    <x v="225"/>
    <n v="12431.66"/>
    <x v="0"/>
    <x v="215"/>
    <x v="217"/>
    <x v="14"/>
    <x v="0"/>
  </r>
  <r>
    <x v="226"/>
    <m/>
    <x v="0"/>
    <x v="167"/>
    <x v="167"/>
    <x v="14"/>
    <x v="0"/>
  </r>
  <r>
    <x v="227"/>
    <n v="13222.35"/>
    <x v="0"/>
    <x v="216"/>
    <x v="218"/>
    <x v="14"/>
    <x v="0"/>
  </r>
  <r>
    <x v="228"/>
    <n v="14100.95"/>
    <x v="0"/>
    <x v="217"/>
    <x v="219"/>
    <x v="14"/>
    <x v="0"/>
  </r>
  <r>
    <x v="229"/>
    <n v="17817.740000000002"/>
    <x v="0"/>
    <x v="218"/>
    <x v="220"/>
    <x v="14"/>
    <x v="0"/>
  </r>
  <r>
    <x v="230"/>
    <n v="9930.9599999999991"/>
    <x v="0"/>
    <x v="219"/>
    <x v="221"/>
    <x v="14"/>
    <x v="0"/>
  </r>
  <r>
    <x v="231"/>
    <n v="17562.060000000001"/>
    <x v="0"/>
    <x v="220"/>
    <x v="222"/>
    <x v="14"/>
    <x v="0"/>
  </r>
  <r>
    <x v="232"/>
    <m/>
    <x v="0"/>
    <x v="221"/>
    <x v="223"/>
    <x v="14"/>
    <x v="0"/>
  </r>
  <r>
    <x v="233"/>
    <n v="756.57"/>
    <x v="0"/>
    <x v="222"/>
    <x v="224"/>
    <x v="14"/>
    <x v="0"/>
  </r>
  <r>
    <x v="234"/>
    <n v="591.73"/>
    <x v="0"/>
    <x v="223"/>
    <x v="225"/>
    <x v="14"/>
    <x v="0"/>
  </r>
  <r>
    <x v="235"/>
    <n v="81454.69"/>
    <x v="1"/>
    <x v="224"/>
    <x v="226"/>
    <x v="15"/>
    <x v="1"/>
  </r>
  <r>
    <x v="236"/>
    <n v="172242.9"/>
    <x v="1"/>
    <x v="225"/>
    <x v="227"/>
    <x v="15"/>
    <x v="1"/>
  </r>
  <r>
    <x v="237"/>
    <n v="131596.57"/>
    <x v="1"/>
    <x v="226"/>
    <x v="228"/>
    <x v="16"/>
    <x v="1"/>
  </r>
  <r>
    <x v="238"/>
    <n v="7962.31"/>
    <x v="1"/>
    <x v="227"/>
    <x v="229"/>
    <x v="16"/>
    <x v="1"/>
  </r>
  <r>
    <x v="239"/>
    <n v="44705.22"/>
    <x v="1"/>
    <x v="228"/>
    <x v="230"/>
    <x v="17"/>
    <x v="1"/>
  </r>
  <r>
    <x v="240"/>
    <n v="19913.72"/>
    <x v="1"/>
    <x v="229"/>
    <x v="231"/>
    <x v="17"/>
    <x v="1"/>
  </r>
  <r>
    <x v="241"/>
    <n v="34668.21"/>
    <x v="1"/>
    <x v="230"/>
    <x v="232"/>
    <x v="17"/>
    <x v="1"/>
  </r>
  <r>
    <x v="242"/>
    <n v="67705.919999999998"/>
    <x v="1"/>
    <x v="231"/>
    <x v="233"/>
    <x v="17"/>
    <x v="1"/>
  </r>
  <r>
    <x v="243"/>
    <n v="41271.03"/>
    <x v="1"/>
    <x v="232"/>
    <x v="234"/>
    <x v="18"/>
    <x v="1"/>
  </r>
  <r>
    <x v="244"/>
    <n v="75964.55"/>
    <x v="1"/>
    <x v="233"/>
    <x v="235"/>
    <x v="18"/>
    <x v="1"/>
  </r>
  <r>
    <x v="245"/>
    <n v="49093.89"/>
    <x v="1"/>
    <x v="234"/>
    <x v="236"/>
    <x v="18"/>
    <x v="1"/>
  </r>
  <r>
    <x v="246"/>
    <n v="61955.86"/>
    <x v="1"/>
    <x v="235"/>
    <x v="237"/>
    <x v="18"/>
    <x v="1"/>
  </r>
  <r>
    <x v="247"/>
    <n v="93364.66"/>
    <x v="2"/>
    <x v="236"/>
    <x v="238"/>
    <x v="19"/>
    <x v="2"/>
  </r>
  <r>
    <x v="248"/>
    <n v="79552.75"/>
    <x v="2"/>
    <x v="237"/>
    <x v="239"/>
    <x v="19"/>
    <x v="2"/>
  </r>
  <r>
    <x v="249"/>
    <n v="91602.71"/>
    <x v="2"/>
    <x v="238"/>
    <x v="240"/>
    <x v="19"/>
    <x v="2"/>
  </r>
  <r>
    <x v="250"/>
    <n v="41695.769999999997"/>
    <x v="2"/>
    <x v="239"/>
    <x v="241"/>
    <x v="19"/>
    <x v="2"/>
  </r>
  <r>
    <x v="251"/>
    <n v="11679.6"/>
    <x v="2"/>
    <x v="240"/>
    <x v="242"/>
    <x v="19"/>
    <x v="2"/>
  </r>
  <r>
    <x v="252"/>
    <n v="11885.88"/>
    <x v="2"/>
    <x v="241"/>
    <x v="243"/>
    <x v="20"/>
    <x v="2"/>
  </r>
  <r>
    <x v="253"/>
    <n v="38411.51"/>
    <x v="2"/>
    <x v="242"/>
    <x v="244"/>
    <x v="20"/>
    <x v="2"/>
  </r>
  <r>
    <x v="254"/>
    <n v="36286.42"/>
    <x v="2"/>
    <x v="243"/>
    <x v="245"/>
    <x v="20"/>
    <x v="2"/>
  </r>
  <r>
    <x v="255"/>
    <n v="45021.32"/>
    <x v="2"/>
    <x v="244"/>
    <x v="246"/>
    <x v="20"/>
    <x v="2"/>
  </r>
  <r>
    <x v="256"/>
    <n v="63224.79"/>
    <x v="2"/>
    <x v="245"/>
    <x v="247"/>
    <x v="20"/>
    <x v="2"/>
  </r>
  <r>
    <x v="257"/>
    <n v="43729.87"/>
    <x v="2"/>
    <x v="246"/>
    <x v="248"/>
    <x v="20"/>
    <x v="2"/>
  </r>
  <r>
    <x v="258"/>
    <n v="54970.89"/>
    <x v="2"/>
    <x v="247"/>
    <x v="249"/>
    <x v="20"/>
    <x v="2"/>
  </r>
  <r>
    <x v="259"/>
    <n v="59254.6"/>
    <x v="2"/>
    <x v="248"/>
    <x v="250"/>
    <x v="20"/>
    <x v="2"/>
  </r>
  <r>
    <x v="260"/>
    <n v="112713.43"/>
    <x v="2"/>
    <x v="249"/>
    <x v="249"/>
    <x v="20"/>
    <x v="2"/>
  </r>
  <r>
    <x v="261"/>
    <n v="133143.13"/>
    <x v="2"/>
    <x v="250"/>
    <x v="251"/>
    <x v="20"/>
    <x v="2"/>
  </r>
  <r>
    <x v="262"/>
    <n v="194813.87"/>
    <x v="2"/>
    <x v="251"/>
    <x v="252"/>
    <x v="20"/>
    <x v="2"/>
  </r>
  <r>
    <x v="263"/>
    <n v="65719.103990000003"/>
    <x v="2"/>
    <x v="252"/>
    <x v="253"/>
    <x v="20"/>
    <x v="2"/>
  </r>
  <r>
    <x v="264"/>
    <n v="13077.87"/>
    <x v="2"/>
    <x v="253"/>
    <x v="254"/>
    <x v="20"/>
    <x v="2"/>
  </r>
  <r>
    <x v="265"/>
    <n v="19671.09"/>
    <x v="2"/>
    <x v="254"/>
    <x v="255"/>
    <x v="20"/>
    <x v="2"/>
  </r>
  <r>
    <x v="266"/>
    <n v="30437.88"/>
    <x v="2"/>
    <x v="255"/>
    <x v="256"/>
    <x v="20"/>
    <x v="2"/>
  </r>
  <r>
    <x v="267"/>
    <n v="25879.51"/>
    <x v="2"/>
    <x v="256"/>
    <x v="257"/>
    <x v="21"/>
    <x v="2"/>
  </r>
  <r>
    <x v="268"/>
    <n v="71311.92"/>
    <x v="2"/>
    <x v="257"/>
    <x v="258"/>
    <x v="21"/>
    <x v="2"/>
  </r>
  <r>
    <x v="269"/>
    <n v="127254.32"/>
    <x v="2"/>
    <x v="258"/>
    <x v="259"/>
    <x v="21"/>
    <x v="2"/>
  </r>
  <r>
    <x v="270"/>
    <n v="148491.4"/>
    <x v="2"/>
    <x v="259"/>
    <x v="260"/>
    <x v="21"/>
    <x v="2"/>
  </r>
  <r>
    <x v="271"/>
    <n v="245971.89"/>
    <x v="2"/>
    <x v="260"/>
    <x v="261"/>
    <x v="21"/>
    <x v="2"/>
  </r>
  <r>
    <x v="272"/>
    <n v="308884.67"/>
    <x v="2"/>
    <x v="261"/>
    <x v="262"/>
    <x v="21"/>
    <x v="2"/>
  </r>
  <r>
    <x v="273"/>
    <n v="132066.26"/>
    <x v="2"/>
    <x v="262"/>
    <x v="263"/>
    <x v="21"/>
    <x v="2"/>
  </r>
  <r>
    <x v="274"/>
    <n v="55175.71"/>
    <x v="2"/>
    <x v="263"/>
    <x v="264"/>
    <x v="21"/>
    <x v="2"/>
  </r>
  <r>
    <x v="275"/>
    <n v="30613.18"/>
    <x v="2"/>
    <x v="264"/>
    <x v="265"/>
    <x v="21"/>
    <x v="2"/>
  </r>
  <r>
    <x v="276"/>
    <n v="11909.19"/>
    <x v="2"/>
    <x v="265"/>
    <x v="266"/>
    <x v="22"/>
    <x v="2"/>
  </r>
  <r>
    <x v="277"/>
    <n v="31947.67"/>
    <x v="2"/>
    <x v="266"/>
    <x v="267"/>
    <x v="23"/>
    <x v="2"/>
  </r>
  <r>
    <x v="278"/>
    <n v="32984.6"/>
    <x v="2"/>
    <x v="267"/>
    <x v="268"/>
    <x v="23"/>
    <x v="2"/>
  </r>
  <r>
    <x v="279"/>
    <n v="50910.2"/>
    <x v="2"/>
    <x v="268"/>
    <x v="269"/>
    <x v="23"/>
    <x v="2"/>
  </r>
  <r>
    <x v="280"/>
    <n v="36655.61"/>
    <x v="2"/>
    <x v="269"/>
    <x v="270"/>
    <x v="23"/>
    <x v="2"/>
  </r>
  <r>
    <x v="281"/>
    <n v="27695.3"/>
    <x v="2"/>
    <x v="270"/>
    <x v="271"/>
    <x v="23"/>
    <x v="2"/>
  </r>
  <r>
    <x v="282"/>
    <n v="4802.5200000000004"/>
    <x v="2"/>
    <x v="271"/>
    <x v="272"/>
    <x v="23"/>
    <x v="2"/>
  </r>
  <r>
    <x v="283"/>
    <n v="35919.57"/>
    <x v="2"/>
    <x v="272"/>
    <x v="273"/>
    <x v="24"/>
    <x v="2"/>
  </r>
  <r>
    <x v="284"/>
    <n v="33380.82"/>
    <x v="2"/>
    <x v="273"/>
    <x v="274"/>
    <x v="24"/>
    <x v="2"/>
  </r>
  <r>
    <x v="285"/>
    <n v="6320.9"/>
    <x v="2"/>
    <x v="274"/>
    <x v="275"/>
    <x v="24"/>
    <x v="2"/>
  </r>
  <r>
    <x v="286"/>
    <n v="49301.47"/>
    <x v="2"/>
    <x v="275"/>
    <x v="276"/>
    <x v="24"/>
    <x v="2"/>
  </r>
  <r>
    <x v="287"/>
    <n v="33804.410000000003"/>
    <x v="2"/>
    <x v="276"/>
    <x v="277"/>
    <x v="24"/>
    <x v="2"/>
  </r>
  <r>
    <x v="288"/>
    <n v="52152.52"/>
    <x v="2"/>
    <x v="277"/>
    <x v="278"/>
    <x v="24"/>
    <x v="2"/>
  </r>
  <r>
    <x v="289"/>
    <n v="52883"/>
    <x v="2"/>
    <x v="278"/>
    <x v="279"/>
    <x v="24"/>
    <x v="2"/>
  </r>
  <r>
    <x v="290"/>
    <n v="52014.49"/>
    <x v="2"/>
    <x v="279"/>
    <x v="280"/>
    <x v="24"/>
    <x v="2"/>
  </r>
  <r>
    <x v="291"/>
    <n v="26659.09"/>
    <x v="2"/>
    <x v="280"/>
    <x v="281"/>
    <x v="24"/>
    <x v="2"/>
  </r>
  <r>
    <x v="292"/>
    <n v="23201.439999999999"/>
    <x v="2"/>
    <x v="281"/>
    <x v="282"/>
    <x v="24"/>
    <x v="2"/>
  </r>
  <r>
    <x v="293"/>
    <n v="28179.19"/>
    <x v="2"/>
    <x v="282"/>
    <x v="283"/>
    <x v="24"/>
    <x v="2"/>
  </r>
  <r>
    <x v="294"/>
    <n v="39399.089999999997"/>
    <x v="2"/>
    <x v="283"/>
    <x v="284"/>
    <x v="24"/>
    <x v="2"/>
  </r>
  <r>
    <x v="295"/>
    <n v="67072.12"/>
    <x v="2"/>
    <x v="284"/>
    <x v="285"/>
    <x v="24"/>
    <x v="2"/>
  </r>
  <r>
    <x v="296"/>
    <n v="98537.41"/>
    <x v="2"/>
    <x v="285"/>
    <x v="286"/>
    <x v="24"/>
    <x v="2"/>
  </r>
  <r>
    <x v="297"/>
    <n v="91104.58"/>
    <x v="2"/>
    <x v="286"/>
    <x v="287"/>
    <x v="24"/>
    <x v="2"/>
  </r>
  <r>
    <x v="298"/>
    <n v="117314.43"/>
    <x v="2"/>
    <x v="287"/>
    <x v="288"/>
    <x v="24"/>
    <x v="2"/>
  </r>
  <r>
    <x v="299"/>
    <n v="47726.57"/>
    <x v="2"/>
    <x v="288"/>
    <x v="289"/>
    <x v="24"/>
    <x v="2"/>
  </r>
  <r>
    <x v="300"/>
    <n v="39752.15"/>
    <x v="2"/>
    <x v="289"/>
    <x v="290"/>
    <x v="24"/>
    <x v="2"/>
  </r>
  <r>
    <x v="301"/>
    <n v="77486.179999999993"/>
    <x v="2"/>
    <x v="290"/>
    <x v="291"/>
    <x v="24"/>
    <x v="2"/>
  </r>
  <r>
    <x v="302"/>
    <n v="52666.97"/>
    <x v="2"/>
    <x v="291"/>
    <x v="292"/>
    <x v="24"/>
    <x v="2"/>
  </r>
  <r>
    <x v="303"/>
    <n v="64100.57"/>
    <x v="2"/>
    <x v="292"/>
    <x v="293"/>
    <x v="24"/>
    <x v="2"/>
  </r>
  <r>
    <x v="304"/>
    <n v="93898.32"/>
    <x v="2"/>
    <x v="293"/>
    <x v="294"/>
    <x v="24"/>
    <x v="2"/>
  </r>
  <r>
    <x v="305"/>
    <n v="43706.35"/>
    <x v="2"/>
    <x v="294"/>
    <x v="295"/>
    <x v="24"/>
    <x v="2"/>
  </r>
  <r>
    <x v="306"/>
    <n v="32275.9"/>
    <x v="2"/>
    <x v="295"/>
    <x v="296"/>
    <x v="24"/>
    <x v="2"/>
  </r>
  <r>
    <x v="307"/>
    <n v="35874.75"/>
    <x v="2"/>
    <x v="296"/>
    <x v="297"/>
    <x v="24"/>
    <x v="2"/>
  </r>
  <r>
    <x v="308"/>
    <n v="116867.57"/>
    <x v="2"/>
    <x v="297"/>
    <x v="298"/>
    <x v="24"/>
    <x v="2"/>
  </r>
  <r>
    <x v="309"/>
    <n v="83974.38"/>
    <x v="2"/>
    <x v="298"/>
    <x v="299"/>
    <x v="24"/>
    <x v="2"/>
  </r>
  <r>
    <x v="310"/>
    <n v="62866.93"/>
    <x v="2"/>
    <x v="299"/>
    <x v="300"/>
    <x v="24"/>
    <x v="2"/>
  </r>
  <r>
    <x v="311"/>
    <n v="95440.94"/>
    <x v="2"/>
    <x v="300"/>
    <x v="301"/>
    <x v="24"/>
    <x v="2"/>
  </r>
  <r>
    <x v="312"/>
    <n v="125096.95"/>
    <x v="2"/>
    <x v="301"/>
    <x v="302"/>
    <x v="24"/>
    <x v="2"/>
  </r>
  <r>
    <x v="313"/>
    <n v="72964.94"/>
    <x v="2"/>
    <x v="302"/>
    <x v="303"/>
    <x v="24"/>
    <x v="2"/>
  </r>
  <r>
    <x v="314"/>
    <n v="91951.38"/>
    <x v="2"/>
    <x v="303"/>
    <x v="304"/>
    <x v="24"/>
    <x v="2"/>
  </r>
  <r>
    <x v="315"/>
    <n v="56273.52"/>
    <x v="2"/>
    <x v="304"/>
    <x v="305"/>
    <x v="24"/>
    <x v="2"/>
  </r>
  <r>
    <x v="316"/>
    <n v="67052.320000000007"/>
    <x v="2"/>
    <x v="305"/>
    <x v="306"/>
    <x v="24"/>
    <x v="2"/>
  </r>
  <r>
    <x v="317"/>
    <n v="96444.95"/>
    <x v="2"/>
    <x v="306"/>
    <x v="307"/>
    <x v="24"/>
    <x v="2"/>
  </r>
  <r>
    <x v="318"/>
    <n v="107927.66"/>
    <x v="2"/>
    <x v="307"/>
    <x v="308"/>
    <x v="24"/>
    <x v="2"/>
  </r>
  <r>
    <x v="319"/>
    <n v="172261.59"/>
    <x v="2"/>
    <x v="308"/>
    <x v="309"/>
    <x v="24"/>
    <x v="2"/>
  </r>
  <r>
    <x v="320"/>
    <n v="102730.7"/>
    <x v="2"/>
    <x v="309"/>
    <x v="310"/>
    <x v="24"/>
    <x v="2"/>
  </r>
  <r>
    <x v="321"/>
    <n v="128843.63"/>
    <x v="2"/>
    <x v="310"/>
    <x v="311"/>
    <x v="24"/>
    <x v="2"/>
  </r>
  <r>
    <x v="322"/>
    <n v="55207.8"/>
    <x v="2"/>
    <x v="311"/>
    <x v="312"/>
    <x v="24"/>
    <x v="2"/>
  </r>
  <r>
    <x v="323"/>
    <n v="61209.97"/>
    <x v="2"/>
    <x v="312"/>
    <x v="313"/>
    <x v="24"/>
    <x v="2"/>
  </r>
  <r>
    <x v="324"/>
    <n v="49692.57"/>
    <x v="2"/>
    <x v="313"/>
    <x v="314"/>
    <x v="24"/>
    <x v="2"/>
  </r>
  <r>
    <x v="325"/>
    <n v="88437.72"/>
    <x v="2"/>
    <x v="314"/>
    <x v="315"/>
    <x v="24"/>
    <x v="2"/>
  </r>
  <r>
    <x v="326"/>
    <n v="65363.519999999997"/>
    <x v="2"/>
    <x v="315"/>
    <x v="316"/>
    <x v="24"/>
    <x v="2"/>
  </r>
  <r>
    <x v="327"/>
    <n v="14253.34"/>
    <x v="2"/>
    <x v="316"/>
    <x v="317"/>
    <x v="24"/>
    <x v="2"/>
  </r>
  <r>
    <x v="328"/>
    <n v="13849.36"/>
    <x v="2"/>
    <x v="317"/>
    <x v="318"/>
    <x v="24"/>
    <x v="2"/>
  </r>
  <r>
    <x v="329"/>
    <n v="32792.71"/>
    <x v="2"/>
    <x v="318"/>
    <x v="319"/>
    <x v="24"/>
    <x v="2"/>
  </r>
  <r>
    <x v="330"/>
    <n v="6825.42"/>
    <x v="2"/>
    <x v="319"/>
    <x v="320"/>
    <x v="24"/>
    <x v="2"/>
  </r>
  <r>
    <x v="331"/>
    <n v="35881.82"/>
    <x v="2"/>
    <x v="320"/>
    <x v="321"/>
    <x v="24"/>
    <x v="2"/>
  </r>
  <r>
    <x v="332"/>
    <n v="11398.74"/>
    <x v="2"/>
    <x v="321"/>
    <x v="322"/>
    <x v="24"/>
    <x v="2"/>
  </r>
  <r>
    <x v="333"/>
    <m/>
    <x v="2"/>
    <x v="322"/>
    <x v="323"/>
    <x v="24"/>
    <x v="2"/>
  </r>
  <r>
    <x v="334"/>
    <n v="17157.48"/>
    <x v="2"/>
    <x v="323"/>
    <x v="324"/>
    <x v="24"/>
    <x v="2"/>
  </r>
  <r>
    <x v="335"/>
    <n v="14144.01"/>
    <x v="2"/>
    <x v="324"/>
    <x v="325"/>
    <x v="24"/>
    <x v="2"/>
  </r>
  <r>
    <x v="336"/>
    <n v="23903.4"/>
    <x v="2"/>
    <x v="325"/>
    <x v="326"/>
    <x v="25"/>
    <x v="2"/>
  </r>
  <r>
    <x v="337"/>
    <n v="140867.54"/>
    <x v="2"/>
    <x v="326"/>
    <x v="327"/>
    <x v="25"/>
    <x v="2"/>
  </r>
  <r>
    <x v="338"/>
    <m/>
    <x v="2"/>
    <x v="327"/>
    <x v="328"/>
    <x v="25"/>
    <x v="2"/>
  </r>
  <r>
    <x v="339"/>
    <n v="28691.95"/>
    <x v="2"/>
    <x v="328"/>
    <x v="329"/>
    <x v="25"/>
    <x v="2"/>
  </r>
  <r>
    <x v="340"/>
    <n v="22601.07"/>
    <x v="2"/>
    <x v="329"/>
    <x v="330"/>
    <x v="26"/>
    <x v="2"/>
  </r>
  <r>
    <x v="341"/>
    <n v="63342.57"/>
    <x v="2"/>
    <x v="330"/>
    <x v="331"/>
    <x v="26"/>
    <x v="2"/>
  </r>
  <r>
    <x v="342"/>
    <n v="52257.67"/>
    <x v="2"/>
    <x v="331"/>
    <x v="332"/>
    <x v="26"/>
    <x v="2"/>
  </r>
  <r>
    <x v="343"/>
    <n v="24652"/>
    <x v="2"/>
    <x v="332"/>
    <x v="333"/>
    <x v="26"/>
    <x v="2"/>
  </r>
  <r>
    <x v="344"/>
    <n v="51247.94"/>
    <x v="2"/>
    <x v="333"/>
    <x v="334"/>
    <x v="26"/>
    <x v="2"/>
  </r>
  <r>
    <x v="345"/>
    <n v="24946.43"/>
    <x v="2"/>
    <x v="334"/>
    <x v="335"/>
    <x v="26"/>
    <x v="2"/>
  </r>
  <r>
    <x v="346"/>
    <n v="9008.35"/>
    <x v="2"/>
    <x v="335"/>
    <x v="336"/>
    <x v="26"/>
    <x v="2"/>
  </r>
  <r>
    <x v="347"/>
    <n v="74737.75"/>
    <x v="2"/>
    <x v="336"/>
    <x v="337"/>
    <x v="27"/>
    <x v="2"/>
  </r>
  <r>
    <x v="348"/>
    <n v="88924.69"/>
    <x v="2"/>
    <x v="337"/>
    <x v="338"/>
    <x v="27"/>
    <x v="2"/>
  </r>
  <r>
    <x v="349"/>
    <n v="55353.208780000001"/>
    <x v="2"/>
    <x v="338"/>
    <x v="339"/>
    <x v="27"/>
    <x v="2"/>
  </r>
  <r>
    <x v="350"/>
    <n v="44299.49"/>
    <x v="2"/>
    <x v="339"/>
    <x v="340"/>
    <x v="28"/>
    <x v="2"/>
  </r>
  <r>
    <x v="351"/>
    <n v="33106.120000000003"/>
    <x v="2"/>
    <x v="340"/>
    <x v="341"/>
    <x v="28"/>
    <x v="2"/>
  </r>
  <r>
    <x v="352"/>
    <n v="49195.88"/>
    <x v="2"/>
    <x v="341"/>
    <x v="342"/>
    <x v="28"/>
    <x v="2"/>
  </r>
  <r>
    <x v="353"/>
    <n v="39329.29"/>
    <x v="2"/>
    <x v="342"/>
    <x v="343"/>
    <x v="28"/>
    <x v="2"/>
  </r>
  <r>
    <x v="354"/>
    <n v="37442.69"/>
    <x v="2"/>
    <x v="343"/>
    <x v="344"/>
    <x v="28"/>
    <x v="2"/>
  </r>
  <r>
    <x v="355"/>
    <n v="31728.880000000001"/>
    <x v="2"/>
    <x v="344"/>
    <x v="345"/>
    <x v="28"/>
    <x v="2"/>
  </r>
  <r>
    <x v="356"/>
    <n v="39996.49"/>
    <x v="2"/>
    <x v="345"/>
    <x v="346"/>
    <x v="28"/>
    <x v="2"/>
  </r>
  <r>
    <x v="357"/>
    <n v="59975.49"/>
    <x v="2"/>
    <x v="346"/>
    <x v="347"/>
    <x v="28"/>
    <x v="2"/>
  </r>
  <r>
    <x v="358"/>
    <n v="89552.41"/>
    <x v="2"/>
    <x v="347"/>
    <x v="348"/>
    <x v="28"/>
    <x v="2"/>
  </r>
  <r>
    <x v="359"/>
    <n v="107171.38"/>
    <x v="2"/>
    <x v="348"/>
    <x v="349"/>
    <x v="28"/>
    <x v="2"/>
  </r>
  <r>
    <x v="360"/>
    <n v="123325.1"/>
    <x v="2"/>
    <x v="349"/>
    <x v="350"/>
    <x v="28"/>
    <x v="2"/>
  </r>
  <r>
    <x v="361"/>
    <n v="87569.06"/>
    <x v="2"/>
    <x v="350"/>
    <x v="351"/>
    <x v="28"/>
    <x v="2"/>
  </r>
  <r>
    <x v="362"/>
    <n v="85518.42"/>
    <x v="2"/>
    <x v="351"/>
    <x v="352"/>
    <x v="28"/>
    <x v="2"/>
  </r>
  <r>
    <x v="363"/>
    <n v="60282.97"/>
    <x v="2"/>
    <x v="352"/>
    <x v="353"/>
    <x v="28"/>
    <x v="2"/>
  </r>
  <r>
    <x v="364"/>
    <n v="43363.22"/>
    <x v="2"/>
    <x v="353"/>
    <x v="354"/>
    <x v="28"/>
    <x v="2"/>
  </r>
  <r>
    <x v="365"/>
    <n v="36296.559999999998"/>
    <x v="2"/>
    <x v="354"/>
    <x v="355"/>
    <x v="28"/>
    <x v="2"/>
  </r>
  <r>
    <x v="366"/>
    <n v="68435.39"/>
    <x v="2"/>
    <x v="355"/>
    <x v="356"/>
    <x v="28"/>
    <x v="2"/>
  </r>
  <r>
    <x v="367"/>
    <n v="37647.919999999998"/>
    <x v="2"/>
    <x v="356"/>
    <x v="357"/>
    <x v="28"/>
    <x v="2"/>
  </r>
  <r>
    <x v="368"/>
    <n v="63664.47"/>
    <x v="2"/>
    <x v="357"/>
    <x v="358"/>
    <x v="28"/>
    <x v="2"/>
  </r>
  <r>
    <x v="369"/>
    <n v="47220.15"/>
    <x v="2"/>
    <x v="358"/>
    <x v="359"/>
    <x v="28"/>
    <x v="2"/>
  </r>
  <r>
    <x v="370"/>
    <n v="60015.96"/>
    <x v="2"/>
    <x v="359"/>
    <x v="360"/>
    <x v="28"/>
    <x v="2"/>
  </r>
  <r>
    <x v="371"/>
    <n v="121690.21"/>
    <x v="2"/>
    <x v="360"/>
    <x v="361"/>
    <x v="28"/>
    <x v="2"/>
  </r>
  <r>
    <x v="372"/>
    <n v="45617.66"/>
    <x v="2"/>
    <x v="361"/>
    <x v="362"/>
    <x v="28"/>
    <x v="2"/>
  </r>
  <r>
    <x v="373"/>
    <n v="122273.08"/>
    <x v="2"/>
    <x v="362"/>
    <x v="363"/>
    <x v="28"/>
    <x v="2"/>
  </r>
  <r>
    <x v="374"/>
    <m/>
    <x v="2"/>
    <x v="363"/>
    <x v="364"/>
    <x v="28"/>
    <x v="2"/>
  </r>
  <r>
    <x v="375"/>
    <n v="110354.88"/>
    <x v="2"/>
    <x v="364"/>
    <x v="365"/>
    <x v="28"/>
    <x v="2"/>
  </r>
  <r>
    <x v="376"/>
    <n v="151919.98000000001"/>
    <x v="2"/>
    <x v="365"/>
    <x v="366"/>
    <x v="28"/>
    <x v="2"/>
  </r>
  <r>
    <x v="377"/>
    <n v="146492.51999999999"/>
    <x v="2"/>
    <x v="366"/>
    <x v="367"/>
    <x v="28"/>
    <x v="2"/>
  </r>
  <r>
    <x v="378"/>
    <n v="94412.96"/>
    <x v="2"/>
    <x v="367"/>
    <x v="368"/>
    <x v="28"/>
    <x v="2"/>
  </r>
  <r>
    <x v="379"/>
    <n v="89257.73"/>
    <x v="2"/>
    <x v="34"/>
    <x v="34"/>
    <x v="28"/>
    <x v="2"/>
  </r>
  <r>
    <x v="380"/>
    <n v="197276.16"/>
    <x v="2"/>
    <x v="368"/>
    <x v="369"/>
    <x v="28"/>
    <x v="2"/>
  </r>
  <r>
    <x v="381"/>
    <n v="141728"/>
    <x v="2"/>
    <x v="369"/>
    <x v="370"/>
    <x v="28"/>
    <x v="2"/>
  </r>
  <r>
    <x v="382"/>
    <n v="99252.86"/>
    <x v="2"/>
    <x v="370"/>
    <x v="371"/>
    <x v="28"/>
    <x v="2"/>
  </r>
  <r>
    <x v="383"/>
    <n v="106059.57"/>
    <x v="2"/>
    <x v="371"/>
    <x v="372"/>
    <x v="28"/>
    <x v="2"/>
  </r>
  <r>
    <x v="384"/>
    <n v="42103.75"/>
    <x v="2"/>
    <x v="372"/>
    <x v="373"/>
    <x v="28"/>
    <x v="2"/>
  </r>
  <r>
    <x v="385"/>
    <n v="51076.53"/>
    <x v="2"/>
    <x v="373"/>
    <x v="374"/>
    <x v="28"/>
    <x v="2"/>
  </r>
  <r>
    <x v="386"/>
    <n v="35431.839999999997"/>
    <x v="2"/>
    <x v="374"/>
    <x v="375"/>
    <x v="28"/>
    <x v="2"/>
  </r>
  <r>
    <x v="387"/>
    <n v="27439.77"/>
    <x v="2"/>
    <x v="375"/>
    <x v="376"/>
    <x v="28"/>
    <x v="2"/>
  </r>
  <r>
    <x v="388"/>
    <n v="107379.22"/>
    <x v="2"/>
    <x v="376"/>
    <x v="377"/>
    <x v="28"/>
    <x v="2"/>
  </r>
  <r>
    <x v="389"/>
    <n v="61732.14"/>
    <x v="2"/>
    <x v="377"/>
    <x v="378"/>
    <x v="28"/>
    <x v="2"/>
  </r>
  <r>
    <x v="390"/>
    <n v="12324.17"/>
    <x v="2"/>
    <x v="378"/>
    <x v="379"/>
    <x v="28"/>
    <x v="2"/>
  </r>
  <r>
    <x v="391"/>
    <n v="3908.66"/>
    <x v="2"/>
    <x v="34"/>
    <x v="34"/>
    <x v="28"/>
    <x v="2"/>
  </r>
  <r>
    <x v="392"/>
    <n v="12205.28"/>
    <x v="2"/>
    <x v="379"/>
    <x v="380"/>
    <x v="28"/>
    <x v="2"/>
  </r>
  <r>
    <x v="393"/>
    <n v="11071.13"/>
    <x v="2"/>
    <x v="380"/>
    <x v="381"/>
    <x v="28"/>
    <x v="2"/>
  </r>
  <r>
    <x v="394"/>
    <n v="10621.62"/>
    <x v="2"/>
    <x v="381"/>
    <x v="382"/>
    <x v="28"/>
    <x v="2"/>
  </r>
  <r>
    <x v="395"/>
    <n v="7832.74"/>
    <x v="2"/>
    <x v="382"/>
    <x v="383"/>
    <x v="28"/>
    <x v="2"/>
  </r>
  <r>
    <x v="396"/>
    <n v="12913.48"/>
    <x v="2"/>
    <x v="383"/>
    <x v="384"/>
    <x v="28"/>
    <x v="2"/>
  </r>
  <r>
    <x v="397"/>
    <n v="11111.88"/>
    <x v="2"/>
    <x v="384"/>
    <x v="385"/>
    <x v="28"/>
    <x v="2"/>
  </r>
  <r>
    <x v="398"/>
    <n v="9354.6299999999992"/>
    <x v="2"/>
    <x v="385"/>
    <x v="386"/>
    <x v="28"/>
    <x v="2"/>
  </r>
  <r>
    <x v="399"/>
    <n v="20229.96"/>
    <x v="2"/>
    <x v="386"/>
    <x v="387"/>
    <x v="28"/>
    <x v="2"/>
  </r>
  <r>
    <x v="400"/>
    <n v="16454.7"/>
    <x v="2"/>
    <x v="387"/>
    <x v="388"/>
    <x v="28"/>
    <x v="2"/>
  </r>
  <r>
    <x v="401"/>
    <n v="19100.18"/>
    <x v="2"/>
    <x v="388"/>
    <x v="389"/>
    <x v="28"/>
    <x v="2"/>
  </r>
  <r>
    <x v="402"/>
    <n v="36269.69"/>
    <x v="2"/>
    <x v="389"/>
    <x v="390"/>
    <x v="29"/>
    <x v="2"/>
  </r>
  <r>
    <x v="403"/>
    <n v="44528.78"/>
    <x v="2"/>
    <x v="34"/>
    <x v="34"/>
    <x v="29"/>
    <x v="2"/>
  </r>
  <r>
    <x v="404"/>
    <n v="7309.19"/>
    <x v="2"/>
    <x v="390"/>
    <x v="391"/>
    <x v="29"/>
    <x v="2"/>
  </r>
  <r>
    <x v="405"/>
    <n v="41501.410000000003"/>
    <x v="2"/>
    <x v="391"/>
    <x v="392"/>
    <x v="29"/>
    <x v="2"/>
  </r>
  <r>
    <x v="406"/>
    <n v="33986.449999999997"/>
    <x v="2"/>
    <x v="392"/>
    <x v="393"/>
    <x v="29"/>
    <x v="2"/>
  </r>
  <r>
    <x v="407"/>
    <n v="29545.01"/>
    <x v="2"/>
    <x v="393"/>
    <x v="394"/>
    <x v="29"/>
    <x v="2"/>
  </r>
  <r>
    <x v="408"/>
    <n v="41723.230000000003"/>
    <x v="2"/>
    <x v="394"/>
    <x v="395"/>
    <x v="29"/>
    <x v="2"/>
  </r>
  <r>
    <x v="409"/>
    <n v="47804.44"/>
    <x v="2"/>
    <x v="395"/>
    <x v="396"/>
    <x v="29"/>
    <x v="2"/>
  </r>
  <r>
    <x v="410"/>
    <n v="56777.3"/>
    <x v="2"/>
    <x v="396"/>
    <x v="397"/>
    <x v="29"/>
    <x v="2"/>
  </r>
  <r>
    <x v="411"/>
    <n v="33054.74"/>
    <x v="2"/>
    <x v="397"/>
    <x v="398"/>
    <x v="29"/>
    <x v="2"/>
  </r>
  <r>
    <x v="412"/>
    <n v="38170.51"/>
    <x v="2"/>
    <x v="398"/>
    <x v="399"/>
    <x v="29"/>
    <x v="2"/>
  </r>
  <r>
    <x v="413"/>
    <n v="32912.94"/>
    <x v="2"/>
    <x v="399"/>
    <x v="400"/>
    <x v="29"/>
    <x v="2"/>
  </r>
  <r>
    <x v="414"/>
    <n v="66189.179999999993"/>
    <x v="2"/>
    <x v="400"/>
    <x v="401"/>
    <x v="29"/>
    <x v="2"/>
  </r>
  <r>
    <x v="415"/>
    <n v="82318.69"/>
    <x v="2"/>
    <x v="401"/>
    <x v="402"/>
    <x v="29"/>
    <x v="2"/>
  </r>
  <r>
    <x v="416"/>
    <n v="75545.47"/>
    <x v="2"/>
    <x v="402"/>
    <x v="403"/>
    <x v="29"/>
    <x v="2"/>
  </r>
  <r>
    <x v="417"/>
    <n v="111588.94"/>
    <x v="2"/>
    <x v="403"/>
    <x v="404"/>
    <x v="29"/>
    <x v="2"/>
  </r>
  <r>
    <x v="418"/>
    <n v="49398.47"/>
    <x v="2"/>
    <x v="404"/>
    <x v="405"/>
    <x v="29"/>
    <x v="2"/>
  </r>
  <r>
    <x v="419"/>
    <n v="53207.05"/>
    <x v="2"/>
    <x v="405"/>
    <x v="406"/>
    <x v="29"/>
    <x v="2"/>
  </r>
  <r>
    <x v="420"/>
    <n v="83756.740000000005"/>
    <x v="2"/>
    <x v="406"/>
    <x v="407"/>
    <x v="29"/>
    <x v="2"/>
  </r>
  <r>
    <x v="421"/>
    <n v="56909.73"/>
    <x v="2"/>
    <x v="407"/>
    <x v="408"/>
    <x v="29"/>
    <x v="2"/>
  </r>
  <r>
    <x v="422"/>
    <n v="45617.41"/>
    <x v="2"/>
    <x v="408"/>
    <x v="409"/>
    <x v="29"/>
    <x v="2"/>
  </r>
  <r>
    <x v="423"/>
    <n v="49888.67"/>
    <x v="2"/>
    <x v="409"/>
    <x v="410"/>
    <x v="29"/>
    <x v="2"/>
  </r>
  <r>
    <x v="424"/>
    <n v="66297.789999999994"/>
    <x v="2"/>
    <x v="410"/>
    <x v="411"/>
    <x v="29"/>
    <x v="2"/>
  </r>
  <r>
    <x v="425"/>
    <n v="132703.57"/>
    <x v="2"/>
    <x v="411"/>
    <x v="412"/>
    <x v="29"/>
    <x v="2"/>
  </r>
  <r>
    <x v="426"/>
    <n v="32346.76"/>
    <x v="2"/>
    <x v="412"/>
    <x v="413"/>
    <x v="29"/>
    <x v="2"/>
  </r>
  <r>
    <x v="427"/>
    <n v="52556.41"/>
    <x v="2"/>
    <x v="413"/>
    <x v="414"/>
    <x v="29"/>
    <x v="2"/>
  </r>
  <r>
    <x v="428"/>
    <n v="85566.64"/>
    <x v="2"/>
    <x v="414"/>
    <x v="415"/>
    <x v="29"/>
    <x v="2"/>
  </r>
  <r>
    <x v="429"/>
    <n v="89453.15"/>
    <x v="2"/>
    <x v="415"/>
    <x v="416"/>
    <x v="29"/>
    <x v="2"/>
  </r>
  <r>
    <x v="430"/>
    <n v="125766.99"/>
    <x v="2"/>
    <x v="416"/>
    <x v="417"/>
    <x v="29"/>
    <x v="2"/>
  </r>
  <r>
    <x v="431"/>
    <n v="96954.8"/>
    <x v="2"/>
    <x v="417"/>
    <x v="418"/>
    <x v="29"/>
    <x v="2"/>
  </r>
  <r>
    <x v="432"/>
    <n v="90745.87"/>
    <x v="2"/>
    <x v="418"/>
    <x v="419"/>
    <x v="29"/>
    <x v="2"/>
  </r>
  <r>
    <x v="433"/>
    <n v="98529.919999999998"/>
    <x v="2"/>
    <x v="419"/>
    <x v="420"/>
    <x v="29"/>
    <x v="2"/>
  </r>
  <r>
    <x v="434"/>
    <n v="66671.88"/>
    <x v="2"/>
    <x v="420"/>
    <x v="421"/>
    <x v="29"/>
    <x v="2"/>
  </r>
  <r>
    <x v="435"/>
    <n v="131107.32"/>
    <x v="2"/>
    <x v="421"/>
    <x v="422"/>
    <x v="29"/>
    <x v="2"/>
  </r>
  <r>
    <x v="436"/>
    <n v="70673.039999999994"/>
    <x v="2"/>
    <x v="422"/>
    <x v="423"/>
    <x v="29"/>
    <x v="2"/>
  </r>
  <r>
    <x v="437"/>
    <n v="44961.07"/>
    <x v="2"/>
    <x v="423"/>
    <x v="424"/>
    <x v="29"/>
    <x v="2"/>
  </r>
  <r>
    <x v="438"/>
    <n v="88843.83"/>
    <x v="2"/>
    <x v="424"/>
    <x v="425"/>
    <x v="29"/>
    <x v="2"/>
  </r>
  <r>
    <x v="439"/>
    <n v="90909.72"/>
    <x v="2"/>
    <x v="425"/>
    <x v="426"/>
    <x v="29"/>
    <x v="2"/>
  </r>
  <r>
    <x v="440"/>
    <n v="73507.22"/>
    <x v="2"/>
    <x v="426"/>
    <x v="427"/>
    <x v="29"/>
    <x v="2"/>
  </r>
  <r>
    <x v="441"/>
    <n v="9899.0300000000007"/>
    <x v="2"/>
    <x v="427"/>
    <x v="428"/>
    <x v="29"/>
    <x v="2"/>
  </r>
  <r>
    <x v="442"/>
    <n v="22985.33"/>
    <x v="2"/>
    <x v="428"/>
    <x v="429"/>
    <x v="29"/>
    <x v="2"/>
  </r>
  <r>
    <x v="443"/>
    <n v="17572.37"/>
    <x v="2"/>
    <x v="429"/>
    <x v="430"/>
    <x v="29"/>
    <x v="2"/>
  </r>
  <r>
    <x v="444"/>
    <n v="11216.34"/>
    <x v="2"/>
    <x v="430"/>
    <x v="431"/>
    <x v="29"/>
    <x v="2"/>
  </r>
  <r>
    <x v="445"/>
    <n v="17423.63"/>
    <x v="2"/>
    <x v="431"/>
    <x v="432"/>
    <x v="29"/>
    <x v="2"/>
  </r>
  <r>
    <x v="446"/>
    <n v="15327.89"/>
    <x v="2"/>
    <x v="432"/>
    <x v="433"/>
    <x v="29"/>
    <x v="2"/>
  </r>
  <r>
    <x v="447"/>
    <n v="12414.25"/>
    <x v="2"/>
    <x v="433"/>
    <x v="434"/>
    <x v="29"/>
    <x v="2"/>
  </r>
  <r>
    <x v="448"/>
    <n v="29675.88"/>
    <x v="2"/>
    <x v="434"/>
    <x v="435"/>
    <x v="29"/>
    <x v="2"/>
  </r>
  <r>
    <x v="449"/>
    <n v="31703.99"/>
    <x v="2"/>
    <x v="435"/>
    <x v="436"/>
    <x v="29"/>
    <x v="2"/>
  </r>
  <r>
    <x v="450"/>
    <n v="18482.810000000001"/>
    <x v="2"/>
    <x v="436"/>
    <x v="437"/>
    <x v="29"/>
    <x v="2"/>
  </r>
  <r>
    <x v="451"/>
    <n v="10194.52"/>
    <x v="2"/>
    <x v="437"/>
    <x v="438"/>
    <x v="29"/>
    <x v="2"/>
  </r>
  <r>
    <x v="452"/>
    <n v="10804.32"/>
    <x v="2"/>
    <x v="438"/>
    <x v="439"/>
    <x v="29"/>
    <x v="2"/>
  </r>
  <r>
    <x v="453"/>
    <n v="12315.63"/>
    <x v="2"/>
    <x v="439"/>
    <x v="440"/>
    <x v="29"/>
    <x v="2"/>
  </r>
  <r>
    <x v="454"/>
    <n v="112767.82"/>
    <x v="2"/>
    <x v="34"/>
    <x v="34"/>
    <x v="30"/>
    <x v="2"/>
  </r>
  <r>
    <x v="455"/>
    <n v="95464.26"/>
    <x v="2"/>
    <x v="440"/>
    <x v="441"/>
    <x v="30"/>
    <x v="2"/>
  </r>
  <r>
    <x v="456"/>
    <n v="101034.88"/>
    <x v="2"/>
    <x v="441"/>
    <x v="442"/>
    <x v="30"/>
    <x v="2"/>
  </r>
  <r>
    <x v="457"/>
    <n v="132823.26999999999"/>
    <x v="2"/>
    <x v="442"/>
    <x v="443"/>
    <x v="30"/>
    <x v="2"/>
  </r>
  <r>
    <x v="458"/>
    <n v="256535.71"/>
    <x v="2"/>
    <x v="443"/>
    <x v="444"/>
    <x v="30"/>
    <x v="2"/>
  </r>
  <r>
    <x v="459"/>
    <n v="68486.62"/>
    <x v="2"/>
    <x v="444"/>
    <x v="445"/>
    <x v="30"/>
    <x v="2"/>
  </r>
  <r>
    <x v="460"/>
    <n v="98809.02"/>
    <x v="2"/>
    <x v="445"/>
    <x v="446"/>
    <x v="30"/>
    <x v="2"/>
  </r>
  <r>
    <x v="461"/>
    <n v="86270.24"/>
    <x v="2"/>
    <x v="446"/>
    <x v="447"/>
    <x v="30"/>
    <x v="2"/>
  </r>
  <r>
    <x v="462"/>
    <n v="139305.71"/>
    <x v="2"/>
    <x v="447"/>
    <x v="448"/>
    <x v="30"/>
    <x v="2"/>
  </r>
  <r>
    <x v="463"/>
    <n v="95570.33"/>
    <x v="2"/>
    <x v="448"/>
    <x v="449"/>
    <x v="30"/>
    <x v="2"/>
  </r>
  <r>
    <x v="464"/>
    <n v="22320.09"/>
    <x v="2"/>
    <x v="449"/>
    <x v="450"/>
    <x v="30"/>
    <x v="2"/>
  </r>
  <r>
    <x v="465"/>
    <n v="25437.45"/>
    <x v="2"/>
    <x v="450"/>
    <x v="451"/>
    <x v="30"/>
    <x v="2"/>
  </r>
  <r>
    <x v="466"/>
    <n v="20693.759999999998"/>
    <x v="2"/>
    <x v="451"/>
    <x v="452"/>
    <x v="30"/>
    <x v="2"/>
  </r>
  <r>
    <x v="467"/>
    <n v="24345.65"/>
    <x v="2"/>
    <x v="452"/>
    <x v="453"/>
    <x v="30"/>
    <x v="2"/>
  </r>
  <r>
    <x v="468"/>
    <n v="28694.14"/>
    <x v="2"/>
    <x v="453"/>
    <x v="454"/>
    <x v="31"/>
    <x v="2"/>
  </r>
  <r>
    <x v="469"/>
    <n v="56532.53"/>
    <x v="2"/>
    <x v="454"/>
    <x v="455"/>
    <x v="32"/>
    <x v="2"/>
  </r>
  <r>
    <x v="470"/>
    <n v="74252"/>
    <x v="2"/>
    <x v="455"/>
    <x v="456"/>
    <x v="32"/>
    <x v="2"/>
  </r>
  <r>
    <x v="471"/>
    <n v="179898.56"/>
    <x v="2"/>
    <x v="456"/>
    <x v="457"/>
    <x v="32"/>
    <x v="2"/>
  </r>
  <r>
    <x v="472"/>
    <n v="83822.55"/>
    <x v="2"/>
    <x v="457"/>
    <x v="458"/>
    <x v="32"/>
    <x v="2"/>
  </r>
  <r>
    <x v="473"/>
    <n v="19556.150000000001"/>
    <x v="2"/>
    <x v="458"/>
    <x v="459"/>
    <x v="32"/>
    <x v="2"/>
  </r>
  <r>
    <x v="474"/>
    <n v="50278.97"/>
    <x v="2"/>
    <x v="459"/>
    <x v="460"/>
    <x v="33"/>
    <x v="2"/>
  </r>
  <r>
    <x v="475"/>
    <n v="37829.449999999997"/>
    <x v="2"/>
    <x v="460"/>
    <x v="461"/>
    <x v="33"/>
    <x v="2"/>
  </r>
  <r>
    <x v="476"/>
    <n v="67475.14"/>
    <x v="2"/>
    <x v="461"/>
    <x v="462"/>
    <x v="33"/>
    <x v="2"/>
  </r>
  <r>
    <x v="477"/>
    <n v="195300.23"/>
    <x v="2"/>
    <x v="462"/>
    <x v="463"/>
    <x v="33"/>
    <x v="2"/>
  </r>
  <r>
    <x v="478"/>
    <n v="13442.06"/>
    <x v="2"/>
    <x v="463"/>
    <x v="464"/>
    <x v="33"/>
    <x v="2"/>
  </r>
  <r>
    <x v="479"/>
    <n v="59204.38"/>
    <x v="2"/>
    <x v="413"/>
    <x v="414"/>
    <x v="34"/>
    <x v="2"/>
  </r>
  <r>
    <x v="480"/>
    <n v="8846.0300000000007"/>
    <x v="2"/>
    <x v="413"/>
    <x v="414"/>
    <x v="34"/>
    <x v="2"/>
  </r>
  <r>
    <x v="481"/>
    <m/>
    <x v="2"/>
    <x v="413"/>
    <x v="414"/>
    <x v="34"/>
    <x v="2"/>
  </r>
  <r>
    <x v="482"/>
    <n v="144694.07999999999"/>
    <x v="2"/>
    <x v="464"/>
    <x v="465"/>
    <x v="35"/>
    <x v="2"/>
  </r>
  <r>
    <x v="483"/>
    <n v="87775.5"/>
    <x v="2"/>
    <x v="465"/>
    <x v="466"/>
    <x v="35"/>
    <x v="2"/>
  </r>
  <r>
    <x v="484"/>
    <n v="20530.53"/>
    <x v="2"/>
    <x v="466"/>
    <x v="467"/>
    <x v="35"/>
    <x v="2"/>
  </r>
  <r>
    <x v="485"/>
    <n v="31780.28"/>
    <x v="2"/>
    <x v="467"/>
    <x v="468"/>
    <x v="36"/>
    <x v="2"/>
  </r>
  <r>
    <x v="486"/>
    <n v="46303.11"/>
    <x v="2"/>
    <x v="468"/>
    <x v="469"/>
    <x v="36"/>
    <x v="2"/>
  </r>
  <r>
    <x v="487"/>
    <n v="34332.19"/>
    <x v="2"/>
    <x v="469"/>
    <x v="470"/>
    <x v="36"/>
    <x v="2"/>
  </r>
  <r>
    <x v="488"/>
    <n v="21903.97"/>
    <x v="2"/>
    <x v="470"/>
    <x v="471"/>
    <x v="36"/>
    <x v="2"/>
  </r>
  <r>
    <x v="489"/>
    <n v="46435.42"/>
    <x v="2"/>
    <x v="471"/>
    <x v="472"/>
    <x v="36"/>
    <x v="2"/>
  </r>
  <r>
    <x v="490"/>
    <n v="5634.97"/>
    <x v="2"/>
    <x v="472"/>
    <x v="473"/>
    <x v="36"/>
    <x v="2"/>
  </r>
  <r>
    <x v="491"/>
    <n v="52462.82"/>
    <x v="2"/>
    <x v="473"/>
    <x v="474"/>
    <x v="36"/>
    <x v="2"/>
  </r>
  <r>
    <x v="492"/>
    <n v="30733.65"/>
    <x v="2"/>
    <x v="474"/>
    <x v="475"/>
    <x v="36"/>
    <x v="2"/>
  </r>
  <r>
    <x v="493"/>
    <n v="45501.51"/>
    <x v="2"/>
    <x v="475"/>
    <x v="476"/>
    <x v="36"/>
    <x v="2"/>
  </r>
  <r>
    <x v="494"/>
    <n v="27343.56"/>
    <x v="2"/>
    <x v="476"/>
    <x v="477"/>
    <x v="36"/>
    <x v="2"/>
  </r>
  <r>
    <x v="495"/>
    <n v="36238.730000000003"/>
    <x v="2"/>
    <x v="477"/>
    <x v="478"/>
    <x v="36"/>
    <x v="2"/>
  </r>
  <r>
    <x v="496"/>
    <n v="42758.18"/>
    <x v="2"/>
    <x v="478"/>
    <x v="479"/>
    <x v="36"/>
    <x v="2"/>
  </r>
  <r>
    <x v="497"/>
    <n v="32874.019999999997"/>
    <x v="2"/>
    <x v="479"/>
    <x v="480"/>
    <x v="36"/>
    <x v="2"/>
  </r>
  <r>
    <x v="498"/>
    <n v="17767.55"/>
    <x v="2"/>
    <x v="480"/>
    <x v="481"/>
    <x v="36"/>
    <x v="2"/>
  </r>
  <r>
    <x v="499"/>
    <n v="22303.77"/>
    <x v="2"/>
    <x v="481"/>
    <x v="482"/>
    <x v="36"/>
    <x v="2"/>
  </r>
  <r>
    <x v="500"/>
    <n v="30992.86"/>
    <x v="2"/>
    <x v="482"/>
    <x v="483"/>
    <x v="36"/>
    <x v="2"/>
  </r>
  <r>
    <x v="501"/>
    <n v="27725.64"/>
    <x v="2"/>
    <x v="483"/>
    <x v="484"/>
    <x v="36"/>
    <x v="2"/>
  </r>
  <r>
    <x v="502"/>
    <n v="28086.31"/>
    <x v="2"/>
    <x v="484"/>
    <x v="485"/>
    <x v="36"/>
    <x v="2"/>
  </r>
  <r>
    <x v="503"/>
    <n v="35485.86"/>
    <x v="2"/>
    <x v="485"/>
    <x v="486"/>
    <x v="36"/>
    <x v="2"/>
  </r>
  <r>
    <x v="504"/>
    <n v="77772.570000000007"/>
    <x v="2"/>
    <x v="486"/>
    <x v="487"/>
    <x v="36"/>
    <x v="2"/>
  </r>
  <r>
    <x v="505"/>
    <n v="41073.26"/>
    <x v="2"/>
    <x v="487"/>
    <x v="488"/>
    <x v="36"/>
    <x v="2"/>
  </r>
  <r>
    <x v="506"/>
    <n v="39690.26"/>
    <x v="2"/>
    <x v="488"/>
    <x v="489"/>
    <x v="36"/>
    <x v="2"/>
  </r>
  <r>
    <x v="507"/>
    <n v="27486.26"/>
    <x v="2"/>
    <x v="489"/>
    <x v="490"/>
    <x v="36"/>
    <x v="2"/>
  </r>
  <r>
    <x v="508"/>
    <n v="41271.449999999997"/>
    <x v="2"/>
    <x v="490"/>
    <x v="491"/>
    <x v="36"/>
    <x v="2"/>
  </r>
  <r>
    <x v="509"/>
    <n v="68432.740000000005"/>
    <x v="2"/>
    <x v="491"/>
    <x v="492"/>
    <x v="36"/>
    <x v="2"/>
  </r>
  <r>
    <x v="510"/>
    <n v="60012.82"/>
    <x v="2"/>
    <x v="492"/>
    <x v="493"/>
    <x v="36"/>
    <x v="2"/>
  </r>
  <r>
    <x v="511"/>
    <n v="33778.050000000003"/>
    <x v="2"/>
    <x v="493"/>
    <x v="494"/>
    <x v="36"/>
    <x v="2"/>
  </r>
  <r>
    <x v="512"/>
    <n v="49890.69"/>
    <x v="2"/>
    <x v="494"/>
    <x v="495"/>
    <x v="36"/>
    <x v="2"/>
  </r>
  <r>
    <x v="513"/>
    <n v="49224.71"/>
    <x v="2"/>
    <x v="495"/>
    <x v="496"/>
    <x v="36"/>
    <x v="2"/>
  </r>
  <r>
    <x v="514"/>
    <n v="95178.77"/>
    <x v="2"/>
    <x v="496"/>
    <x v="497"/>
    <x v="36"/>
    <x v="2"/>
  </r>
  <r>
    <x v="515"/>
    <n v="72250.009999999995"/>
    <x v="2"/>
    <x v="497"/>
    <x v="498"/>
    <x v="36"/>
    <x v="2"/>
  </r>
  <r>
    <x v="516"/>
    <n v="30589.9"/>
    <x v="2"/>
    <x v="498"/>
    <x v="499"/>
    <x v="36"/>
    <x v="2"/>
  </r>
  <r>
    <x v="517"/>
    <n v="27942.89"/>
    <x v="2"/>
    <x v="499"/>
    <x v="500"/>
    <x v="36"/>
    <x v="2"/>
  </r>
  <r>
    <x v="518"/>
    <n v="36043.019999999997"/>
    <x v="2"/>
    <x v="500"/>
    <x v="501"/>
    <x v="36"/>
    <x v="2"/>
  </r>
  <r>
    <x v="519"/>
    <n v="76540.22"/>
    <x v="2"/>
    <x v="501"/>
    <x v="502"/>
    <x v="36"/>
    <x v="2"/>
  </r>
  <r>
    <x v="520"/>
    <n v="116157.92"/>
    <x v="2"/>
    <x v="502"/>
    <x v="503"/>
    <x v="36"/>
    <x v="2"/>
  </r>
  <r>
    <x v="521"/>
    <n v="32119.15"/>
    <x v="2"/>
    <x v="503"/>
    <x v="504"/>
    <x v="36"/>
    <x v="2"/>
  </r>
  <r>
    <x v="522"/>
    <n v="52999.33"/>
    <x v="2"/>
    <x v="504"/>
    <x v="505"/>
    <x v="36"/>
    <x v="2"/>
  </r>
  <r>
    <x v="523"/>
    <n v="29116.77"/>
    <x v="2"/>
    <x v="505"/>
    <x v="506"/>
    <x v="36"/>
    <x v="2"/>
  </r>
  <r>
    <x v="524"/>
    <n v="33373.379999999997"/>
    <x v="2"/>
    <x v="506"/>
    <x v="507"/>
    <x v="36"/>
    <x v="2"/>
  </r>
  <r>
    <x v="525"/>
    <n v="24779.31"/>
    <x v="2"/>
    <x v="507"/>
    <x v="508"/>
    <x v="36"/>
    <x v="2"/>
  </r>
  <r>
    <x v="526"/>
    <n v="78644.47"/>
    <x v="2"/>
    <x v="508"/>
    <x v="509"/>
    <x v="36"/>
    <x v="2"/>
  </r>
  <r>
    <x v="527"/>
    <n v="46450.93"/>
    <x v="2"/>
    <x v="495"/>
    <x v="510"/>
    <x v="36"/>
    <x v="2"/>
  </r>
  <r>
    <x v="528"/>
    <n v="76695.460000000006"/>
    <x v="2"/>
    <x v="509"/>
    <x v="511"/>
    <x v="36"/>
    <x v="2"/>
  </r>
  <r>
    <x v="529"/>
    <n v="50676.53"/>
    <x v="2"/>
    <x v="510"/>
    <x v="512"/>
    <x v="36"/>
    <x v="2"/>
  </r>
  <r>
    <x v="530"/>
    <n v="44849.919999999998"/>
    <x v="2"/>
    <x v="511"/>
    <x v="513"/>
    <x v="36"/>
    <x v="2"/>
  </r>
  <r>
    <x v="531"/>
    <n v="70557.210000000006"/>
    <x v="2"/>
    <x v="512"/>
    <x v="514"/>
    <x v="36"/>
    <x v="2"/>
  </r>
  <r>
    <x v="532"/>
    <n v="71420.47"/>
    <x v="2"/>
    <x v="513"/>
    <x v="515"/>
    <x v="36"/>
    <x v="2"/>
  </r>
  <r>
    <x v="533"/>
    <n v="59059.97"/>
    <x v="2"/>
    <x v="514"/>
    <x v="516"/>
    <x v="36"/>
    <x v="2"/>
  </r>
  <r>
    <x v="534"/>
    <n v="53940.76"/>
    <x v="2"/>
    <x v="515"/>
    <x v="517"/>
    <x v="36"/>
    <x v="2"/>
  </r>
  <r>
    <x v="535"/>
    <n v="91160.59"/>
    <x v="2"/>
    <x v="516"/>
    <x v="518"/>
    <x v="36"/>
    <x v="2"/>
  </r>
  <r>
    <x v="536"/>
    <n v="23507.21"/>
    <x v="2"/>
    <x v="517"/>
    <x v="519"/>
    <x v="36"/>
    <x v="2"/>
  </r>
  <r>
    <x v="537"/>
    <n v="76199.89"/>
    <x v="2"/>
    <x v="518"/>
    <x v="520"/>
    <x v="36"/>
    <x v="2"/>
  </r>
  <r>
    <x v="538"/>
    <n v="36697.279999999999"/>
    <x v="2"/>
    <x v="519"/>
    <x v="521"/>
    <x v="36"/>
    <x v="2"/>
  </r>
  <r>
    <x v="539"/>
    <n v="26112.46"/>
    <x v="2"/>
    <x v="520"/>
    <x v="522"/>
    <x v="36"/>
    <x v="2"/>
  </r>
  <r>
    <x v="540"/>
    <n v="53603.66"/>
    <x v="2"/>
    <x v="521"/>
    <x v="523"/>
    <x v="36"/>
    <x v="2"/>
  </r>
  <r>
    <x v="541"/>
    <n v="53084.42"/>
    <x v="2"/>
    <x v="522"/>
    <x v="524"/>
    <x v="36"/>
    <x v="2"/>
  </r>
  <r>
    <x v="542"/>
    <n v="88565.18"/>
    <x v="2"/>
    <x v="523"/>
    <x v="525"/>
    <x v="36"/>
    <x v="2"/>
  </r>
  <r>
    <x v="543"/>
    <n v="113281.74"/>
    <x v="2"/>
    <x v="524"/>
    <x v="526"/>
    <x v="36"/>
    <x v="2"/>
  </r>
  <r>
    <x v="544"/>
    <n v="126733.68"/>
    <x v="2"/>
    <x v="525"/>
    <x v="527"/>
    <x v="36"/>
    <x v="2"/>
  </r>
  <r>
    <x v="545"/>
    <n v="97140.69"/>
    <x v="2"/>
    <x v="526"/>
    <x v="528"/>
    <x v="36"/>
    <x v="2"/>
  </r>
  <r>
    <x v="546"/>
    <n v="54207.42"/>
    <x v="2"/>
    <x v="527"/>
    <x v="529"/>
    <x v="36"/>
    <x v="2"/>
  </r>
  <r>
    <x v="547"/>
    <n v="54951.44"/>
    <x v="2"/>
    <x v="528"/>
    <x v="530"/>
    <x v="36"/>
    <x v="2"/>
  </r>
  <r>
    <x v="548"/>
    <n v="55959.34"/>
    <x v="2"/>
    <x v="529"/>
    <x v="531"/>
    <x v="36"/>
    <x v="2"/>
  </r>
  <r>
    <x v="549"/>
    <n v="61367.64"/>
    <x v="2"/>
    <x v="530"/>
    <x v="532"/>
    <x v="36"/>
    <x v="2"/>
  </r>
  <r>
    <x v="550"/>
    <n v="104667.2"/>
    <x v="2"/>
    <x v="531"/>
    <x v="533"/>
    <x v="36"/>
    <x v="2"/>
  </r>
  <r>
    <x v="551"/>
    <n v="62399"/>
    <x v="2"/>
    <x v="532"/>
    <x v="534"/>
    <x v="36"/>
    <x v="2"/>
  </r>
  <r>
    <x v="552"/>
    <n v="76881.48"/>
    <x v="2"/>
    <x v="533"/>
    <x v="535"/>
    <x v="36"/>
    <x v="2"/>
  </r>
  <r>
    <x v="553"/>
    <n v="118108.02"/>
    <x v="2"/>
    <x v="534"/>
    <x v="536"/>
    <x v="36"/>
    <x v="2"/>
  </r>
  <r>
    <x v="554"/>
    <n v="106027.95"/>
    <x v="2"/>
    <x v="535"/>
    <x v="537"/>
    <x v="36"/>
    <x v="2"/>
  </r>
  <r>
    <x v="555"/>
    <n v="90667.53"/>
    <x v="2"/>
    <x v="519"/>
    <x v="538"/>
    <x v="36"/>
    <x v="2"/>
  </r>
  <r>
    <x v="556"/>
    <n v="74379.56"/>
    <x v="2"/>
    <x v="536"/>
    <x v="539"/>
    <x v="36"/>
    <x v="2"/>
  </r>
  <r>
    <x v="557"/>
    <n v="62290.57"/>
    <x v="2"/>
    <x v="537"/>
    <x v="540"/>
    <x v="36"/>
    <x v="2"/>
  </r>
  <r>
    <x v="558"/>
    <n v="103477.24"/>
    <x v="2"/>
    <x v="538"/>
    <x v="541"/>
    <x v="36"/>
    <x v="2"/>
  </r>
  <r>
    <x v="559"/>
    <n v="166146.01"/>
    <x v="2"/>
    <x v="539"/>
    <x v="542"/>
    <x v="36"/>
    <x v="2"/>
  </r>
  <r>
    <x v="560"/>
    <n v="185120.95"/>
    <x v="2"/>
    <x v="540"/>
    <x v="543"/>
    <x v="36"/>
    <x v="2"/>
  </r>
  <r>
    <x v="561"/>
    <n v="53928.32"/>
    <x v="2"/>
    <x v="541"/>
    <x v="544"/>
    <x v="36"/>
    <x v="2"/>
  </r>
  <r>
    <x v="562"/>
    <n v="66258.53"/>
    <x v="2"/>
    <x v="542"/>
    <x v="545"/>
    <x v="36"/>
    <x v="2"/>
  </r>
  <r>
    <x v="563"/>
    <n v="60133.440000000002"/>
    <x v="2"/>
    <x v="543"/>
    <x v="546"/>
    <x v="36"/>
    <x v="2"/>
  </r>
  <r>
    <x v="564"/>
    <n v="50556.67"/>
    <x v="2"/>
    <x v="544"/>
    <x v="547"/>
    <x v="36"/>
    <x v="2"/>
  </r>
  <r>
    <x v="565"/>
    <n v="90148"/>
    <x v="2"/>
    <x v="545"/>
    <x v="548"/>
    <x v="36"/>
    <x v="2"/>
  </r>
  <r>
    <x v="566"/>
    <n v="102758.6"/>
    <x v="2"/>
    <x v="546"/>
    <x v="549"/>
    <x v="36"/>
    <x v="2"/>
  </r>
  <r>
    <x v="567"/>
    <n v="106069.43"/>
    <x v="2"/>
    <x v="547"/>
    <x v="550"/>
    <x v="36"/>
    <x v="2"/>
  </r>
  <r>
    <x v="568"/>
    <n v="56187.44"/>
    <x v="2"/>
    <x v="548"/>
    <x v="551"/>
    <x v="36"/>
    <x v="2"/>
  </r>
  <r>
    <x v="569"/>
    <n v="79394.95"/>
    <x v="2"/>
    <x v="549"/>
    <x v="552"/>
    <x v="36"/>
    <x v="2"/>
  </r>
  <r>
    <x v="570"/>
    <n v="58778.84"/>
    <x v="2"/>
    <x v="550"/>
    <x v="553"/>
    <x v="36"/>
    <x v="2"/>
  </r>
  <r>
    <x v="571"/>
    <n v="64377.19"/>
    <x v="2"/>
    <x v="551"/>
    <x v="554"/>
    <x v="36"/>
    <x v="2"/>
  </r>
  <r>
    <x v="572"/>
    <n v="19138.95"/>
    <x v="2"/>
    <x v="552"/>
    <x v="555"/>
    <x v="36"/>
    <x v="2"/>
  </r>
  <r>
    <x v="573"/>
    <n v="10601.99"/>
    <x v="2"/>
    <x v="358"/>
    <x v="556"/>
    <x v="36"/>
    <x v="2"/>
  </r>
  <r>
    <x v="574"/>
    <n v="16328.12"/>
    <x v="2"/>
    <x v="553"/>
    <x v="557"/>
    <x v="36"/>
    <x v="2"/>
  </r>
  <r>
    <x v="575"/>
    <n v="8601.26"/>
    <x v="2"/>
    <x v="554"/>
    <x v="558"/>
    <x v="36"/>
    <x v="2"/>
  </r>
  <r>
    <x v="576"/>
    <n v="15607.9"/>
    <x v="2"/>
    <x v="555"/>
    <x v="559"/>
    <x v="36"/>
    <x v="2"/>
  </r>
  <r>
    <x v="577"/>
    <n v="11751.2"/>
    <x v="2"/>
    <x v="556"/>
    <x v="560"/>
    <x v="36"/>
    <x v="2"/>
  </r>
  <r>
    <x v="578"/>
    <n v="15783.24"/>
    <x v="2"/>
    <x v="557"/>
    <x v="561"/>
    <x v="36"/>
    <x v="2"/>
  </r>
  <r>
    <x v="579"/>
    <n v="11115.16"/>
    <x v="2"/>
    <x v="558"/>
    <x v="562"/>
    <x v="36"/>
    <x v="2"/>
  </r>
  <r>
    <x v="580"/>
    <n v="14489.25"/>
    <x v="2"/>
    <x v="559"/>
    <x v="563"/>
    <x v="36"/>
    <x v="2"/>
  </r>
  <r>
    <x v="581"/>
    <n v="10755.96"/>
    <x v="2"/>
    <x v="560"/>
    <x v="564"/>
    <x v="36"/>
    <x v="2"/>
  </r>
  <r>
    <x v="582"/>
    <n v="14254.47"/>
    <x v="2"/>
    <x v="561"/>
    <x v="565"/>
    <x v="36"/>
    <x v="2"/>
  </r>
  <r>
    <x v="583"/>
    <n v="18936.97"/>
    <x v="2"/>
    <x v="562"/>
    <x v="566"/>
    <x v="36"/>
    <x v="2"/>
  </r>
  <r>
    <x v="584"/>
    <n v="14209.32"/>
    <x v="2"/>
    <x v="563"/>
    <x v="567"/>
    <x v="36"/>
    <x v="2"/>
  </r>
  <r>
    <x v="585"/>
    <n v="24912.74"/>
    <x v="2"/>
    <x v="564"/>
    <x v="568"/>
    <x v="36"/>
    <x v="2"/>
  </r>
  <r>
    <x v="586"/>
    <n v="4244.5200000000004"/>
    <x v="2"/>
    <x v="565"/>
    <x v="569"/>
    <x v="36"/>
    <x v="2"/>
  </r>
  <r>
    <x v="587"/>
    <n v="9681.91"/>
    <x v="2"/>
    <x v="566"/>
    <x v="570"/>
    <x v="36"/>
    <x v="2"/>
  </r>
  <r>
    <x v="588"/>
    <n v="14916.14"/>
    <x v="2"/>
    <x v="567"/>
    <x v="571"/>
    <x v="36"/>
    <x v="2"/>
  </r>
  <r>
    <x v="589"/>
    <n v="4774.66"/>
    <x v="2"/>
    <x v="568"/>
    <x v="572"/>
    <x v="36"/>
    <x v="2"/>
  </r>
  <r>
    <x v="590"/>
    <n v="10597.48"/>
    <x v="2"/>
    <x v="569"/>
    <x v="573"/>
    <x v="36"/>
    <x v="2"/>
  </r>
  <r>
    <x v="591"/>
    <n v="27836.04"/>
    <x v="2"/>
    <x v="570"/>
    <x v="574"/>
    <x v="37"/>
    <x v="2"/>
  </r>
  <r>
    <x v="592"/>
    <n v="27307.46"/>
    <x v="2"/>
    <x v="571"/>
    <x v="575"/>
    <x v="37"/>
    <x v="2"/>
  </r>
  <r>
    <x v="593"/>
    <n v="46073.52"/>
    <x v="2"/>
    <x v="572"/>
    <x v="576"/>
    <x v="37"/>
    <x v="2"/>
  </r>
  <r>
    <x v="594"/>
    <n v="24756.97"/>
    <x v="2"/>
    <x v="573"/>
    <x v="577"/>
    <x v="37"/>
    <x v="2"/>
  </r>
  <r>
    <x v="595"/>
    <n v="19717.490000000002"/>
    <x v="2"/>
    <x v="574"/>
    <x v="578"/>
    <x v="37"/>
    <x v="2"/>
  </r>
  <r>
    <x v="596"/>
    <n v="43775.91"/>
    <x v="2"/>
    <x v="575"/>
    <x v="579"/>
    <x v="37"/>
    <x v="2"/>
  </r>
  <r>
    <x v="597"/>
    <n v="49348.69"/>
    <x v="2"/>
    <x v="576"/>
    <x v="580"/>
    <x v="37"/>
    <x v="2"/>
  </r>
  <r>
    <x v="598"/>
    <n v="38906.300000000003"/>
    <x v="2"/>
    <x v="577"/>
    <x v="581"/>
    <x v="37"/>
    <x v="2"/>
  </r>
  <r>
    <x v="599"/>
    <n v="49591.69"/>
    <x v="2"/>
    <x v="578"/>
    <x v="582"/>
    <x v="37"/>
    <x v="2"/>
  </r>
  <r>
    <x v="600"/>
    <n v="48009.47"/>
    <x v="2"/>
    <x v="579"/>
    <x v="583"/>
    <x v="37"/>
    <x v="2"/>
  </r>
  <r>
    <x v="601"/>
    <n v="93034.26"/>
    <x v="2"/>
    <x v="580"/>
    <x v="584"/>
    <x v="37"/>
    <x v="2"/>
  </r>
  <r>
    <x v="602"/>
    <n v="78454.55"/>
    <x v="2"/>
    <x v="581"/>
    <x v="585"/>
    <x v="37"/>
    <x v="2"/>
  </r>
  <r>
    <x v="603"/>
    <n v="88927.93"/>
    <x v="2"/>
    <x v="582"/>
    <x v="586"/>
    <x v="37"/>
    <x v="2"/>
  </r>
  <r>
    <x v="604"/>
    <n v="44692.11"/>
    <x v="2"/>
    <x v="583"/>
    <x v="587"/>
    <x v="37"/>
    <x v="2"/>
  </r>
  <r>
    <x v="605"/>
    <n v="48850.52"/>
    <x v="2"/>
    <x v="584"/>
    <x v="588"/>
    <x v="37"/>
    <x v="2"/>
  </r>
  <r>
    <x v="606"/>
    <n v="68025.899999999994"/>
    <x v="2"/>
    <x v="585"/>
    <x v="589"/>
    <x v="37"/>
    <x v="2"/>
  </r>
  <r>
    <x v="607"/>
    <n v="75219.92"/>
    <x v="2"/>
    <x v="586"/>
    <x v="590"/>
    <x v="37"/>
    <x v="2"/>
  </r>
  <r>
    <x v="608"/>
    <n v="31812.71"/>
    <x v="2"/>
    <x v="587"/>
    <x v="591"/>
    <x v="37"/>
    <x v="2"/>
  </r>
  <r>
    <x v="609"/>
    <n v="63407.199999999997"/>
    <x v="2"/>
    <x v="588"/>
    <x v="592"/>
    <x v="37"/>
    <x v="2"/>
  </r>
  <r>
    <x v="610"/>
    <n v="109184.52"/>
    <x v="2"/>
    <x v="589"/>
    <x v="593"/>
    <x v="37"/>
    <x v="2"/>
  </r>
  <r>
    <x v="611"/>
    <n v="77046.710000000006"/>
    <x v="2"/>
    <x v="590"/>
    <x v="594"/>
    <x v="37"/>
    <x v="2"/>
  </r>
  <r>
    <x v="612"/>
    <n v="116895.45"/>
    <x v="2"/>
    <x v="591"/>
    <x v="595"/>
    <x v="37"/>
    <x v="2"/>
  </r>
  <r>
    <x v="613"/>
    <n v="127497.24"/>
    <x v="2"/>
    <x v="592"/>
    <x v="596"/>
    <x v="37"/>
    <x v="2"/>
  </r>
  <r>
    <x v="614"/>
    <n v="196414.61"/>
    <x v="2"/>
    <x v="593"/>
    <x v="597"/>
    <x v="37"/>
    <x v="2"/>
  </r>
  <r>
    <x v="615"/>
    <n v="120331.42"/>
    <x v="2"/>
    <x v="34"/>
    <x v="34"/>
    <x v="37"/>
    <x v="2"/>
  </r>
  <r>
    <x v="616"/>
    <n v="99365.99"/>
    <x v="2"/>
    <x v="583"/>
    <x v="598"/>
    <x v="37"/>
    <x v="2"/>
  </r>
  <r>
    <x v="617"/>
    <n v="52344.08"/>
    <x v="2"/>
    <x v="594"/>
    <x v="599"/>
    <x v="37"/>
    <x v="2"/>
  </r>
  <r>
    <x v="618"/>
    <n v="78715.91"/>
    <x v="2"/>
    <x v="595"/>
    <x v="600"/>
    <x v="37"/>
    <x v="2"/>
  </r>
  <r>
    <x v="619"/>
    <n v="57995.58"/>
    <x v="2"/>
    <x v="596"/>
    <x v="601"/>
    <x v="37"/>
    <x v="2"/>
  </r>
  <r>
    <x v="620"/>
    <n v="41191.89"/>
    <x v="2"/>
    <x v="597"/>
    <x v="602"/>
    <x v="37"/>
    <x v="2"/>
  </r>
  <r>
    <x v="621"/>
    <n v="39932.61"/>
    <x v="2"/>
    <x v="34"/>
    <x v="34"/>
    <x v="37"/>
    <x v="2"/>
  </r>
  <r>
    <x v="622"/>
    <n v="94843.38"/>
    <x v="2"/>
    <x v="598"/>
    <x v="603"/>
    <x v="37"/>
    <x v="2"/>
  </r>
  <r>
    <x v="623"/>
    <n v="78583.839999999997"/>
    <x v="2"/>
    <x v="599"/>
    <x v="604"/>
    <x v="37"/>
    <x v="2"/>
  </r>
  <r>
    <x v="624"/>
    <n v="7081.49"/>
    <x v="2"/>
    <x v="600"/>
    <x v="605"/>
    <x v="37"/>
    <x v="2"/>
  </r>
  <r>
    <x v="625"/>
    <n v="11707.75"/>
    <x v="2"/>
    <x v="601"/>
    <x v="606"/>
    <x v="37"/>
    <x v="2"/>
  </r>
  <r>
    <x v="626"/>
    <n v="11104.59"/>
    <x v="2"/>
    <x v="602"/>
    <x v="607"/>
    <x v="37"/>
    <x v="2"/>
  </r>
  <r>
    <x v="627"/>
    <n v="9749.02"/>
    <x v="2"/>
    <x v="603"/>
    <x v="608"/>
    <x v="37"/>
    <x v="2"/>
  </r>
  <r>
    <x v="628"/>
    <n v="18367.79"/>
    <x v="2"/>
    <x v="604"/>
    <x v="609"/>
    <x v="37"/>
    <x v="2"/>
  </r>
  <r>
    <x v="629"/>
    <n v="9686.76"/>
    <x v="2"/>
    <x v="605"/>
    <x v="610"/>
    <x v="37"/>
    <x v="2"/>
  </r>
  <r>
    <x v="630"/>
    <n v="45186.25"/>
    <x v="2"/>
    <x v="606"/>
    <x v="611"/>
    <x v="38"/>
    <x v="2"/>
  </r>
  <r>
    <x v="631"/>
    <n v="16595.46"/>
    <x v="2"/>
    <x v="607"/>
    <x v="612"/>
    <x v="38"/>
    <x v="2"/>
  </r>
  <r>
    <x v="632"/>
    <n v="30583.88"/>
    <x v="2"/>
    <x v="608"/>
    <x v="613"/>
    <x v="38"/>
    <x v="2"/>
  </r>
  <r>
    <x v="633"/>
    <n v="2686.2968999999998"/>
    <x v="2"/>
    <x v="609"/>
    <x v="614"/>
    <x v="38"/>
    <x v="2"/>
  </r>
  <r>
    <x v="634"/>
    <n v="49755.77"/>
    <x v="2"/>
    <x v="610"/>
    <x v="615"/>
    <x v="38"/>
    <x v="2"/>
  </r>
  <r>
    <x v="635"/>
    <n v="46253.94"/>
    <x v="2"/>
    <x v="611"/>
    <x v="616"/>
    <x v="38"/>
    <x v="2"/>
  </r>
  <r>
    <x v="636"/>
    <n v="36036.269999999997"/>
    <x v="2"/>
    <x v="612"/>
    <x v="617"/>
    <x v="38"/>
    <x v="2"/>
  </r>
  <r>
    <x v="637"/>
    <n v="26741.98"/>
    <x v="2"/>
    <x v="613"/>
    <x v="618"/>
    <x v="38"/>
    <x v="2"/>
  </r>
  <r>
    <x v="638"/>
    <n v="31573.72"/>
    <x v="2"/>
    <x v="614"/>
    <x v="619"/>
    <x v="38"/>
    <x v="2"/>
  </r>
  <r>
    <x v="639"/>
    <n v="32079.17"/>
    <x v="2"/>
    <x v="615"/>
    <x v="620"/>
    <x v="38"/>
    <x v="2"/>
  </r>
  <r>
    <x v="640"/>
    <n v="27299.07"/>
    <x v="2"/>
    <x v="616"/>
    <x v="621"/>
    <x v="38"/>
    <x v="2"/>
  </r>
  <r>
    <x v="641"/>
    <n v="30509.8"/>
    <x v="2"/>
    <x v="617"/>
    <x v="622"/>
    <x v="38"/>
    <x v="2"/>
  </r>
  <r>
    <x v="642"/>
    <n v="30131.599999999999"/>
    <x v="2"/>
    <x v="618"/>
    <x v="623"/>
    <x v="38"/>
    <x v="2"/>
  </r>
  <r>
    <x v="643"/>
    <n v="40892.720000000001"/>
    <x v="2"/>
    <x v="619"/>
    <x v="624"/>
    <x v="38"/>
    <x v="2"/>
  </r>
  <r>
    <x v="644"/>
    <n v="26067.360000000001"/>
    <x v="2"/>
    <x v="620"/>
    <x v="625"/>
    <x v="38"/>
    <x v="2"/>
  </r>
  <r>
    <x v="645"/>
    <n v="41505.839999999997"/>
    <x v="2"/>
    <x v="621"/>
    <x v="626"/>
    <x v="38"/>
    <x v="2"/>
  </r>
  <r>
    <x v="646"/>
    <n v="35039.199999999997"/>
    <x v="2"/>
    <x v="622"/>
    <x v="627"/>
    <x v="38"/>
    <x v="2"/>
  </r>
  <r>
    <x v="647"/>
    <n v="47208.81"/>
    <x v="2"/>
    <x v="623"/>
    <x v="628"/>
    <x v="38"/>
    <x v="2"/>
  </r>
  <r>
    <x v="648"/>
    <n v="35619.1"/>
    <x v="2"/>
    <x v="624"/>
    <x v="629"/>
    <x v="38"/>
    <x v="2"/>
  </r>
  <r>
    <x v="649"/>
    <n v="82862.22"/>
    <x v="2"/>
    <x v="625"/>
    <x v="630"/>
    <x v="38"/>
    <x v="2"/>
  </r>
  <r>
    <x v="650"/>
    <n v="54751.62"/>
    <x v="2"/>
    <x v="626"/>
    <x v="631"/>
    <x v="38"/>
    <x v="2"/>
  </r>
  <r>
    <x v="651"/>
    <n v="53676.84"/>
    <x v="2"/>
    <x v="34"/>
    <x v="34"/>
    <x v="38"/>
    <x v="2"/>
  </r>
  <r>
    <x v="652"/>
    <n v="16001.9"/>
    <x v="2"/>
    <x v="627"/>
    <x v="632"/>
    <x v="38"/>
    <x v="2"/>
  </r>
  <r>
    <x v="653"/>
    <n v="14117.72"/>
    <x v="2"/>
    <x v="628"/>
    <x v="633"/>
    <x v="38"/>
    <x v="2"/>
  </r>
  <r>
    <x v="654"/>
    <n v="71784.73"/>
    <x v="2"/>
    <x v="629"/>
    <x v="634"/>
    <x v="38"/>
    <x v="2"/>
  </r>
  <r>
    <x v="655"/>
    <n v="43789.440000000002"/>
    <x v="2"/>
    <x v="630"/>
    <x v="635"/>
    <x v="38"/>
    <x v="2"/>
  </r>
  <r>
    <x v="656"/>
    <n v="43781.15"/>
    <x v="2"/>
    <x v="631"/>
    <x v="636"/>
    <x v="38"/>
    <x v="2"/>
  </r>
  <r>
    <x v="657"/>
    <n v="70488.09"/>
    <x v="2"/>
    <x v="632"/>
    <x v="637"/>
    <x v="38"/>
    <x v="2"/>
  </r>
  <r>
    <x v="658"/>
    <n v="56932.79"/>
    <x v="2"/>
    <x v="633"/>
    <x v="638"/>
    <x v="38"/>
    <x v="2"/>
  </r>
  <r>
    <x v="659"/>
    <n v="39916.620000000003"/>
    <x v="2"/>
    <x v="634"/>
    <x v="639"/>
    <x v="38"/>
    <x v="2"/>
  </r>
  <r>
    <x v="660"/>
    <n v="46074.67"/>
    <x v="2"/>
    <x v="635"/>
    <x v="640"/>
    <x v="38"/>
    <x v="2"/>
  </r>
  <r>
    <x v="661"/>
    <n v="14186.33"/>
    <x v="2"/>
    <x v="636"/>
    <x v="641"/>
    <x v="38"/>
    <x v="2"/>
  </r>
  <r>
    <x v="662"/>
    <n v="93248.68"/>
    <x v="2"/>
    <x v="637"/>
    <x v="642"/>
    <x v="38"/>
    <x v="2"/>
  </r>
  <r>
    <x v="663"/>
    <n v="25972.57"/>
    <x v="2"/>
    <x v="638"/>
    <x v="643"/>
    <x v="38"/>
    <x v="2"/>
  </r>
  <r>
    <x v="664"/>
    <n v="20213.07"/>
    <x v="2"/>
    <x v="639"/>
    <x v="644"/>
    <x v="38"/>
    <x v="2"/>
  </r>
  <r>
    <x v="665"/>
    <n v="19692.71"/>
    <x v="2"/>
    <x v="640"/>
    <x v="645"/>
    <x v="38"/>
    <x v="2"/>
  </r>
  <r>
    <x v="666"/>
    <n v="24822.23"/>
    <x v="2"/>
    <x v="641"/>
    <x v="646"/>
    <x v="38"/>
    <x v="2"/>
  </r>
  <r>
    <x v="667"/>
    <n v="28103.17"/>
    <x v="2"/>
    <x v="642"/>
    <x v="647"/>
    <x v="38"/>
    <x v="2"/>
  </r>
  <r>
    <x v="668"/>
    <n v="30270.51"/>
    <x v="2"/>
    <x v="643"/>
    <x v="648"/>
    <x v="38"/>
    <x v="2"/>
  </r>
  <r>
    <x v="669"/>
    <n v="37715.79"/>
    <x v="2"/>
    <x v="644"/>
    <x v="649"/>
    <x v="38"/>
    <x v="2"/>
  </r>
  <r>
    <x v="670"/>
    <n v="27180.76"/>
    <x v="2"/>
    <x v="645"/>
    <x v="650"/>
    <x v="38"/>
    <x v="2"/>
  </r>
  <r>
    <x v="671"/>
    <n v="34946.879999999997"/>
    <x v="2"/>
    <x v="646"/>
    <x v="651"/>
    <x v="38"/>
    <x v="2"/>
  </r>
  <r>
    <x v="672"/>
    <n v="25850.16"/>
    <x v="2"/>
    <x v="647"/>
    <x v="652"/>
    <x v="38"/>
    <x v="2"/>
  </r>
  <r>
    <x v="673"/>
    <n v="28595.15"/>
    <x v="2"/>
    <x v="648"/>
    <x v="653"/>
    <x v="38"/>
    <x v="2"/>
  </r>
  <r>
    <x v="674"/>
    <n v="24895"/>
    <x v="2"/>
    <x v="649"/>
    <x v="654"/>
    <x v="38"/>
    <x v="2"/>
  </r>
  <r>
    <x v="675"/>
    <n v="31677.43"/>
    <x v="2"/>
    <x v="650"/>
    <x v="655"/>
    <x v="38"/>
    <x v="2"/>
  </r>
  <r>
    <x v="676"/>
    <n v="35414.42"/>
    <x v="2"/>
    <x v="651"/>
    <x v="656"/>
    <x v="38"/>
    <x v="2"/>
  </r>
  <r>
    <x v="677"/>
    <n v="23722.62"/>
    <x v="2"/>
    <x v="652"/>
    <x v="657"/>
    <x v="38"/>
    <x v="2"/>
  </r>
  <r>
    <x v="678"/>
    <n v="17807.259999999998"/>
    <x v="2"/>
    <x v="653"/>
    <x v="658"/>
    <x v="38"/>
    <x v="2"/>
  </r>
  <r>
    <x v="679"/>
    <n v="31478.57"/>
    <x v="2"/>
    <x v="654"/>
    <x v="659"/>
    <x v="38"/>
    <x v="2"/>
  </r>
  <r>
    <x v="680"/>
    <n v="23898.07"/>
    <x v="2"/>
    <x v="655"/>
    <x v="660"/>
    <x v="38"/>
    <x v="2"/>
  </r>
  <r>
    <x v="681"/>
    <n v="55215.96"/>
    <x v="2"/>
    <x v="656"/>
    <x v="661"/>
    <x v="38"/>
    <x v="2"/>
  </r>
  <r>
    <x v="682"/>
    <n v="42517.72"/>
    <x v="2"/>
    <x v="657"/>
    <x v="662"/>
    <x v="38"/>
    <x v="2"/>
  </r>
  <r>
    <x v="683"/>
    <n v="45893.91"/>
    <x v="2"/>
    <x v="658"/>
    <x v="663"/>
    <x v="38"/>
    <x v="2"/>
  </r>
  <r>
    <x v="684"/>
    <n v="36121.360000000001"/>
    <x v="2"/>
    <x v="659"/>
    <x v="664"/>
    <x v="38"/>
    <x v="2"/>
  </r>
  <r>
    <x v="685"/>
    <n v="22159.15"/>
    <x v="2"/>
    <x v="660"/>
    <x v="665"/>
    <x v="38"/>
    <x v="2"/>
  </r>
  <r>
    <x v="686"/>
    <n v="45495.839999999997"/>
    <x v="2"/>
    <x v="661"/>
    <x v="666"/>
    <x v="38"/>
    <x v="2"/>
  </r>
  <r>
    <x v="687"/>
    <n v="19699.080000000002"/>
    <x v="2"/>
    <x v="662"/>
    <x v="667"/>
    <x v="38"/>
    <x v="2"/>
  </r>
  <r>
    <x v="688"/>
    <n v="29623.25"/>
    <x v="2"/>
    <x v="663"/>
    <x v="668"/>
    <x v="38"/>
    <x v="2"/>
  </r>
  <r>
    <x v="689"/>
    <n v="68499.34"/>
    <x v="2"/>
    <x v="664"/>
    <x v="669"/>
    <x v="38"/>
    <x v="2"/>
  </r>
  <r>
    <x v="690"/>
    <n v="36224.949999999997"/>
    <x v="2"/>
    <x v="665"/>
    <x v="670"/>
    <x v="38"/>
    <x v="2"/>
  </r>
  <r>
    <x v="691"/>
    <n v="61592.61"/>
    <x v="2"/>
    <x v="666"/>
    <x v="671"/>
    <x v="38"/>
    <x v="2"/>
  </r>
  <r>
    <x v="692"/>
    <n v="29070.02"/>
    <x v="2"/>
    <x v="667"/>
    <x v="672"/>
    <x v="38"/>
    <x v="2"/>
  </r>
  <r>
    <x v="693"/>
    <n v="39322.49"/>
    <x v="2"/>
    <x v="668"/>
    <x v="673"/>
    <x v="38"/>
    <x v="2"/>
  </r>
  <r>
    <x v="694"/>
    <n v="68802"/>
    <x v="2"/>
    <x v="669"/>
    <x v="674"/>
    <x v="38"/>
    <x v="2"/>
  </r>
  <r>
    <x v="695"/>
    <n v="28534.21"/>
    <x v="2"/>
    <x v="670"/>
    <x v="675"/>
    <x v="38"/>
    <x v="2"/>
  </r>
  <r>
    <x v="696"/>
    <n v="48893.78"/>
    <x v="2"/>
    <x v="671"/>
    <x v="676"/>
    <x v="38"/>
    <x v="2"/>
  </r>
  <r>
    <x v="697"/>
    <n v="40386.370000000003"/>
    <x v="2"/>
    <x v="672"/>
    <x v="677"/>
    <x v="38"/>
    <x v="2"/>
  </r>
  <r>
    <x v="698"/>
    <n v="37116.15"/>
    <x v="2"/>
    <x v="673"/>
    <x v="678"/>
    <x v="38"/>
    <x v="2"/>
  </r>
  <r>
    <x v="699"/>
    <n v="44976.44"/>
    <x v="2"/>
    <x v="674"/>
    <x v="679"/>
    <x v="38"/>
    <x v="2"/>
  </r>
  <r>
    <x v="700"/>
    <n v="87887.23"/>
    <x v="2"/>
    <x v="675"/>
    <x v="680"/>
    <x v="38"/>
    <x v="2"/>
  </r>
  <r>
    <x v="701"/>
    <n v="41201.120000000003"/>
    <x v="2"/>
    <x v="676"/>
    <x v="681"/>
    <x v="38"/>
    <x v="2"/>
  </r>
  <r>
    <x v="702"/>
    <n v="31250.71"/>
    <x v="2"/>
    <x v="677"/>
    <x v="682"/>
    <x v="38"/>
    <x v="2"/>
  </r>
  <r>
    <x v="703"/>
    <n v="43299.83"/>
    <x v="2"/>
    <x v="678"/>
    <x v="683"/>
    <x v="38"/>
    <x v="2"/>
  </r>
  <r>
    <x v="704"/>
    <n v="49398.55"/>
    <x v="2"/>
    <x v="679"/>
    <x v="684"/>
    <x v="38"/>
    <x v="2"/>
  </r>
  <r>
    <x v="705"/>
    <n v="38391.72"/>
    <x v="2"/>
    <x v="680"/>
    <x v="685"/>
    <x v="38"/>
    <x v="2"/>
  </r>
  <r>
    <x v="706"/>
    <n v="31299.49"/>
    <x v="2"/>
    <x v="681"/>
    <x v="686"/>
    <x v="38"/>
    <x v="2"/>
  </r>
  <r>
    <x v="707"/>
    <n v="36736.089999999997"/>
    <x v="2"/>
    <x v="682"/>
    <x v="687"/>
    <x v="38"/>
    <x v="2"/>
  </r>
  <r>
    <x v="708"/>
    <n v="31224.560000000001"/>
    <x v="2"/>
    <x v="683"/>
    <x v="688"/>
    <x v="38"/>
    <x v="2"/>
  </r>
  <r>
    <x v="709"/>
    <n v="64707.59"/>
    <x v="2"/>
    <x v="684"/>
    <x v="689"/>
    <x v="38"/>
    <x v="2"/>
  </r>
  <r>
    <x v="710"/>
    <n v="48293.33"/>
    <x v="2"/>
    <x v="685"/>
    <x v="690"/>
    <x v="38"/>
    <x v="2"/>
  </r>
  <r>
    <x v="711"/>
    <n v="52093.08"/>
    <x v="2"/>
    <x v="686"/>
    <x v="691"/>
    <x v="38"/>
    <x v="2"/>
  </r>
  <r>
    <x v="712"/>
    <n v="38527.730000000003"/>
    <x v="2"/>
    <x v="687"/>
    <x v="692"/>
    <x v="38"/>
    <x v="2"/>
  </r>
  <r>
    <x v="713"/>
    <n v="40468.47"/>
    <x v="2"/>
    <x v="688"/>
    <x v="693"/>
    <x v="38"/>
    <x v="2"/>
  </r>
  <r>
    <x v="714"/>
    <n v="61095.1"/>
    <x v="2"/>
    <x v="689"/>
    <x v="694"/>
    <x v="38"/>
    <x v="2"/>
  </r>
  <r>
    <x v="715"/>
    <n v="47083.01"/>
    <x v="2"/>
    <x v="690"/>
    <x v="695"/>
    <x v="38"/>
    <x v="2"/>
  </r>
  <r>
    <x v="716"/>
    <n v="34934.32"/>
    <x v="2"/>
    <x v="691"/>
    <x v="696"/>
    <x v="38"/>
    <x v="2"/>
  </r>
  <r>
    <x v="717"/>
    <n v="27096.34"/>
    <x v="2"/>
    <x v="692"/>
    <x v="697"/>
    <x v="38"/>
    <x v="2"/>
  </r>
  <r>
    <x v="718"/>
    <n v="40875.519999999997"/>
    <x v="2"/>
    <x v="693"/>
    <x v="698"/>
    <x v="38"/>
    <x v="2"/>
  </r>
  <r>
    <x v="719"/>
    <n v="37237.01"/>
    <x v="2"/>
    <x v="694"/>
    <x v="699"/>
    <x v="38"/>
    <x v="2"/>
  </r>
  <r>
    <x v="720"/>
    <n v="47744.97"/>
    <x v="2"/>
    <x v="695"/>
    <x v="700"/>
    <x v="38"/>
    <x v="2"/>
  </r>
  <r>
    <x v="721"/>
    <n v="49848.91"/>
    <x v="2"/>
    <x v="696"/>
    <x v="701"/>
    <x v="38"/>
    <x v="2"/>
  </r>
  <r>
    <x v="722"/>
    <n v="30231.22"/>
    <x v="2"/>
    <x v="697"/>
    <x v="702"/>
    <x v="38"/>
    <x v="2"/>
  </r>
  <r>
    <x v="723"/>
    <n v="44131.07"/>
    <x v="2"/>
    <x v="698"/>
    <x v="703"/>
    <x v="38"/>
    <x v="2"/>
  </r>
  <r>
    <x v="724"/>
    <n v="52262.15"/>
    <x v="2"/>
    <x v="699"/>
    <x v="704"/>
    <x v="38"/>
    <x v="2"/>
  </r>
  <r>
    <x v="725"/>
    <n v="47371.3"/>
    <x v="2"/>
    <x v="700"/>
    <x v="705"/>
    <x v="38"/>
    <x v="2"/>
  </r>
  <r>
    <x v="726"/>
    <n v="48480.08"/>
    <x v="2"/>
    <x v="701"/>
    <x v="706"/>
    <x v="38"/>
    <x v="2"/>
  </r>
  <r>
    <x v="727"/>
    <n v="46377.22"/>
    <x v="2"/>
    <x v="702"/>
    <x v="707"/>
    <x v="38"/>
    <x v="2"/>
  </r>
  <r>
    <x v="728"/>
    <n v="44945.84"/>
    <x v="2"/>
    <x v="703"/>
    <x v="708"/>
    <x v="38"/>
    <x v="2"/>
  </r>
  <r>
    <x v="729"/>
    <n v="46367.32"/>
    <x v="2"/>
    <x v="704"/>
    <x v="709"/>
    <x v="38"/>
    <x v="2"/>
  </r>
  <r>
    <x v="730"/>
    <n v="45267.3"/>
    <x v="2"/>
    <x v="705"/>
    <x v="710"/>
    <x v="38"/>
    <x v="2"/>
  </r>
  <r>
    <x v="731"/>
    <n v="53174.98"/>
    <x v="2"/>
    <x v="706"/>
    <x v="711"/>
    <x v="38"/>
    <x v="2"/>
  </r>
  <r>
    <x v="732"/>
    <n v="33660.07"/>
    <x v="2"/>
    <x v="707"/>
    <x v="712"/>
    <x v="38"/>
    <x v="2"/>
  </r>
  <r>
    <x v="733"/>
    <n v="48730.25"/>
    <x v="2"/>
    <x v="708"/>
    <x v="713"/>
    <x v="38"/>
    <x v="2"/>
  </r>
  <r>
    <x v="734"/>
    <n v="38311.199999999997"/>
    <x v="2"/>
    <x v="709"/>
    <x v="714"/>
    <x v="38"/>
    <x v="2"/>
  </r>
  <r>
    <x v="735"/>
    <n v="36815.58"/>
    <x v="2"/>
    <x v="710"/>
    <x v="715"/>
    <x v="38"/>
    <x v="2"/>
  </r>
  <r>
    <x v="736"/>
    <n v="88046.95"/>
    <x v="2"/>
    <x v="711"/>
    <x v="716"/>
    <x v="38"/>
    <x v="2"/>
  </r>
  <r>
    <x v="737"/>
    <n v="73664.75"/>
    <x v="2"/>
    <x v="712"/>
    <x v="717"/>
    <x v="38"/>
    <x v="2"/>
  </r>
  <r>
    <x v="738"/>
    <n v="65361.09"/>
    <x v="2"/>
    <x v="713"/>
    <x v="718"/>
    <x v="38"/>
    <x v="2"/>
  </r>
  <r>
    <x v="739"/>
    <n v="65283.89"/>
    <x v="2"/>
    <x v="714"/>
    <x v="719"/>
    <x v="38"/>
    <x v="2"/>
  </r>
  <r>
    <x v="740"/>
    <n v="93501.35"/>
    <x v="2"/>
    <x v="715"/>
    <x v="720"/>
    <x v="38"/>
    <x v="2"/>
  </r>
  <r>
    <x v="741"/>
    <n v="87840.6"/>
    <x v="2"/>
    <x v="716"/>
    <x v="721"/>
    <x v="38"/>
    <x v="2"/>
  </r>
  <r>
    <x v="742"/>
    <n v="65658.02"/>
    <x v="2"/>
    <x v="717"/>
    <x v="722"/>
    <x v="38"/>
    <x v="2"/>
  </r>
  <r>
    <x v="743"/>
    <n v="81262.2"/>
    <x v="2"/>
    <x v="718"/>
    <x v="723"/>
    <x v="38"/>
    <x v="2"/>
  </r>
  <r>
    <x v="744"/>
    <n v="55302.94"/>
    <x v="2"/>
    <x v="719"/>
    <x v="724"/>
    <x v="38"/>
    <x v="2"/>
  </r>
  <r>
    <x v="745"/>
    <n v="47453.67"/>
    <x v="2"/>
    <x v="720"/>
    <x v="725"/>
    <x v="38"/>
    <x v="2"/>
  </r>
  <r>
    <x v="746"/>
    <n v="36251.08"/>
    <x v="2"/>
    <x v="721"/>
    <x v="726"/>
    <x v="38"/>
    <x v="2"/>
  </r>
  <r>
    <x v="747"/>
    <n v="50154.42"/>
    <x v="2"/>
    <x v="722"/>
    <x v="727"/>
    <x v="38"/>
    <x v="2"/>
  </r>
  <r>
    <x v="748"/>
    <n v="63432.9"/>
    <x v="2"/>
    <x v="723"/>
    <x v="728"/>
    <x v="38"/>
    <x v="2"/>
  </r>
  <r>
    <x v="749"/>
    <n v="42436.03"/>
    <x v="2"/>
    <x v="724"/>
    <x v="729"/>
    <x v="38"/>
    <x v="2"/>
  </r>
  <r>
    <x v="750"/>
    <n v="60849"/>
    <x v="2"/>
    <x v="725"/>
    <x v="730"/>
    <x v="38"/>
    <x v="2"/>
  </r>
  <r>
    <x v="751"/>
    <n v="16634.23"/>
    <x v="2"/>
    <x v="726"/>
    <x v="731"/>
    <x v="38"/>
    <x v="2"/>
  </r>
  <r>
    <x v="752"/>
    <n v="33256.58"/>
    <x v="2"/>
    <x v="727"/>
    <x v="732"/>
    <x v="38"/>
    <x v="2"/>
  </r>
  <r>
    <x v="753"/>
    <n v="54315.58"/>
    <x v="2"/>
    <x v="728"/>
    <x v="733"/>
    <x v="38"/>
    <x v="2"/>
  </r>
  <r>
    <x v="754"/>
    <n v="34282.1"/>
    <x v="2"/>
    <x v="729"/>
    <x v="734"/>
    <x v="38"/>
    <x v="2"/>
  </r>
  <r>
    <x v="755"/>
    <n v="33062.28"/>
    <x v="2"/>
    <x v="730"/>
    <x v="735"/>
    <x v="38"/>
    <x v="2"/>
  </r>
  <r>
    <x v="756"/>
    <n v="39236.949999999997"/>
    <x v="2"/>
    <x v="731"/>
    <x v="736"/>
    <x v="38"/>
    <x v="2"/>
  </r>
  <r>
    <x v="757"/>
    <n v="37763.980000000003"/>
    <x v="2"/>
    <x v="732"/>
    <x v="737"/>
    <x v="38"/>
    <x v="2"/>
  </r>
  <r>
    <x v="758"/>
    <n v="43073.62"/>
    <x v="2"/>
    <x v="733"/>
    <x v="738"/>
    <x v="38"/>
    <x v="2"/>
  </r>
  <r>
    <x v="759"/>
    <n v="46697.35"/>
    <x v="2"/>
    <x v="734"/>
    <x v="739"/>
    <x v="38"/>
    <x v="2"/>
  </r>
  <r>
    <x v="760"/>
    <n v="51972.05"/>
    <x v="2"/>
    <x v="735"/>
    <x v="740"/>
    <x v="38"/>
    <x v="2"/>
  </r>
  <r>
    <x v="761"/>
    <n v="56055.27"/>
    <x v="2"/>
    <x v="736"/>
    <x v="741"/>
    <x v="38"/>
    <x v="2"/>
  </r>
  <r>
    <x v="762"/>
    <n v="36453.72"/>
    <x v="2"/>
    <x v="737"/>
    <x v="742"/>
    <x v="38"/>
    <x v="2"/>
  </r>
  <r>
    <x v="763"/>
    <n v="43387.59"/>
    <x v="2"/>
    <x v="738"/>
    <x v="743"/>
    <x v="38"/>
    <x v="2"/>
  </r>
  <r>
    <x v="764"/>
    <n v="48349.39"/>
    <x v="2"/>
    <x v="739"/>
    <x v="744"/>
    <x v="38"/>
    <x v="2"/>
  </r>
  <r>
    <x v="765"/>
    <n v="64324.65"/>
    <x v="2"/>
    <x v="740"/>
    <x v="745"/>
    <x v="38"/>
    <x v="2"/>
  </r>
  <r>
    <x v="766"/>
    <n v="99375.77"/>
    <x v="2"/>
    <x v="741"/>
    <x v="746"/>
    <x v="38"/>
    <x v="2"/>
  </r>
  <r>
    <x v="767"/>
    <n v="32954.620000000003"/>
    <x v="2"/>
    <x v="742"/>
    <x v="747"/>
    <x v="38"/>
    <x v="2"/>
  </r>
  <r>
    <x v="768"/>
    <n v="40079.32"/>
    <x v="2"/>
    <x v="743"/>
    <x v="748"/>
    <x v="38"/>
    <x v="2"/>
  </r>
  <r>
    <x v="769"/>
    <n v="56160.15"/>
    <x v="2"/>
    <x v="744"/>
    <x v="749"/>
    <x v="38"/>
    <x v="2"/>
  </r>
  <r>
    <x v="770"/>
    <n v="26142.73"/>
    <x v="2"/>
    <x v="745"/>
    <x v="750"/>
    <x v="38"/>
    <x v="2"/>
  </r>
  <r>
    <x v="771"/>
    <n v="47447.040000000001"/>
    <x v="2"/>
    <x v="746"/>
    <x v="751"/>
    <x v="38"/>
    <x v="2"/>
  </r>
  <r>
    <x v="772"/>
    <n v="43077.72"/>
    <x v="2"/>
    <x v="747"/>
    <x v="752"/>
    <x v="38"/>
    <x v="2"/>
  </r>
  <r>
    <x v="773"/>
    <n v="89213.66"/>
    <x v="2"/>
    <x v="748"/>
    <x v="753"/>
    <x v="38"/>
    <x v="2"/>
  </r>
  <r>
    <x v="774"/>
    <n v="92927.5"/>
    <x v="2"/>
    <x v="749"/>
    <x v="754"/>
    <x v="38"/>
    <x v="2"/>
  </r>
  <r>
    <x v="775"/>
    <n v="43713.32"/>
    <x v="2"/>
    <x v="750"/>
    <x v="755"/>
    <x v="38"/>
    <x v="2"/>
  </r>
  <r>
    <x v="776"/>
    <n v="58732.959999999999"/>
    <x v="2"/>
    <x v="751"/>
    <x v="756"/>
    <x v="38"/>
    <x v="2"/>
  </r>
  <r>
    <x v="777"/>
    <n v="48199.12"/>
    <x v="2"/>
    <x v="752"/>
    <x v="757"/>
    <x v="38"/>
    <x v="2"/>
  </r>
  <r>
    <x v="778"/>
    <n v="57021.99"/>
    <x v="2"/>
    <x v="753"/>
    <x v="758"/>
    <x v="38"/>
    <x v="2"/>
  </r>
  <r>
    <x v="779"/>
    <n v="62553.54"/>
    <x v="2"/>
    <x v="754"/>
    <x v="759"/>
    <x v="38"/>
    <x v="2"/>
  </r>
  <r>
    <x v="780"/>
    <n v="58079.71"/>
    <x v="2"/>
    <x v="755"/>
    <x v="760"/>
    <x v="38"/>
    <x v="2"/>
  </r>
  <r>
    <x v="781"/>
    <n v="46875.66"/>
    <x v="2"/>
    <x v="756"/>
    <x v="761"/>
    <x v="38"/>
    <x v="2"/>
  </r>
  <r>
    <x v="782"/>
    <n v="101879.43"/>
    <x v="2"/>
    <x v="757"/>
    <x v="762"/>
    <x v="38"/>
    <x v="2"/>
  </r>
  <r>
    <x v="783"/>
    <n v="39550.480000000003"/>
    <x v="2"/>
    <x v="758"/>
    <x v="763"/>
    <x v="38"/>
    <x v="2"/>
  </r>
  <r>
    <x v="784"/>
    <n v="38283.5"/>
    <x v="2"/>
    <x v="759"/>
    <x v="720"/>
    <x v="38"/>
    <x v="2"/>
  </r>
  <r>
    <x v="785"/>
    <n v="63855.3"/>
    <x v="2"/>
    <x v="760"/>
    <x v="764"/>
    <x v="38"/>
    <x v="2"/>
  </r>
  <r>
    <x v="786"/>
    <n v="71477.97"/>
    <x v="2"/>
    <x v="761"/>
    <x v="765"/>
    <x v="38"/>
    <x v="2"/>
  </r>
  <r>
    <x v="787"/>
    <n v="28663.65"/>
    <x v="2"/>
    <x v="762"/>
    <x v="766"/>
    <x v="38"/>
    <x v="2"/>
  </r>
  <r>
    <x v="788"/>
    <n v="46533.120000000003"/>
    <x v="2"/>
    <x v="763"/>
    <x v="767"/>
    <x v="38"/>
    <x v="2"/>
  </r>
  <r>
    <x v="789"/>
    <n v="55963.51"/>
    <x v="2"/>
    <x v="764"/>
    <x v="768"/>
    <x v="38"/>
    <x v="2"/>
  </r>
  <r>
    <x v="790"/>
    <n v="37554.559999999998"/>
    <x v="2"/>
    <x v="765"/>
    <x v="769"/>
    <x v="38"/>
    <x v="2"/>
  </r>
  <r>
    <x v="791"/>
    <n v="46779.79"/>
    <x v="2"/>
    <x v="766"/>
    <x v="770"/>
    <x v="38"/>
    <x v="2"/>
  </r>
  <r>
    <x v="792"/>
    <n v="55820.85"/>
    <x v="2"/>
    <x v="767"/>
    <x v="771"/>
    <x v="38"/>
    <x v="2"/>
  </r>
  <r>
    <x v="793"/>
    <n v="41266.47"/>
    <x v="2"/>
    <x v="768"/>
    <x v="772"/>
    <x v="38"/>
    <x v="2"/>
  </r>
  <r>
    <x v="794"/>
    <n v="54050.27"/>
    <x v="2"/>
    <x v="769"/>
    <x v="773"/>
    <x v="38"/>
    <x v="2"/>
  </r>
  <r>
    <x v="795"/>
    <n v="31711.46"/>
    <x v="2"/>
    <x v="770"/>
    <x v="774"/>
    <x v="38"/>
    <x v="2"/>
  </r>
  <r>
    <x v="796"/>
    <n v="31425.47"/>
    <x v="2"/>
    <x v="771"/>
    <x v="775"/>
    <x v="38"/>
    <x v="2"/>
  </r>
  <r>
    <x v="797"/>
    <n v="64946.94"/>
    <x v="2"/>
    <x v="772"/>
    <x v="776"/>
    <x v="38"/>
    <x v="2"/>
  </r>
  <r>
    <x v="798"/>
    <n v="37859.160000000003"/>
    <x v="2"/>
    <x v="773"/>
    <x v="777"/>
    <x v="38"/>
    <x v="2"/>
  </r>
  <r>
    <x v="799"/>
    <n v="28797.34"/>
    <x v="2"/>
    <x v="774"/>
    <x v="778"/>
    <x v="38"/>
    <x v="2"/>
  </r>
  <r>
    <x v="800"/>
    <n v="45385.26"/>
    <x v="2"/>
    <x v="775"/>
    <x v="779"/>
    <x v="38"/>
    <x v="2"/>
  </r>
  <r>
    <x v="801"/>
    <n v="58928.33"/>
    <x v="2"/>
    <x v="776"/>
    <x v="780"/>
    <x v="38"/>
    <x v="2"/>
  </r>
  <r>
    <x v="802"/>
    <n v="28437.37"/>
    <x v="2"/>
    <x v="777"/>
    <x v="781"/>
    <x v="38"/>
    <x v="2"/>
  </r>
  <r>
    <x v="803"/>
    <n v="58194.73"/>
    <x v="2"/>
    <x v="778"/>
    <x v="782"/>
    <x v="38"/>
    <x v="2"/>
  </r>
  <r>
    <x v="804"/>
    <n v="36349.279999999999"/>
    <x v="2"/>
    <x v="779"/>
    <x v="783"/>
    <x v="38"/>
    <x v="2"/>
  </r>
  <r>
    <x v="805"/>
    <n v="60723.07"/>
    <x v="2"/>
    <x v="780"/>
    <x v="784"/>
    <x v="38"/>
    <x v="2"/>
  </r>
  <r>
    <x v="806"/>
    <n v="32053.54"/>
    <x v="2"/>
    <x v="659"/>
    <x v="785"/>
    <x v="38"/>
    <x v="2"/>
  </r>
  <r>
    <x v="807"/>
    <n v="31333.31"/>
    <x v="2"/>
    <x v="781"/>
    <x v="786"/>
    <x v="38"/>
    <x v="2"/>
  </r>
  <r>
    <x v="808"/>
    <n v="31445.77"/>
    <x v="2"/>
    <x v="782"/>
    <x v="787"/>
    <x v="38"/>
    <x v="2"/>
  </r>
  <r>
    <x v="809"/>
    <n v="45146.31"/>
    <x v="2"/>
    <x v="783"/>
    <x v="788"/>
    <x v="38"/>
    <x v="2"/>
  </r>
  <r>
    <x v="810"/>
    <n v="53321.8"/>
    <x v="2"/>
    <x v="784"/>
    <x v="789"/>
    <x v="38"/>
    <x v="2"/>
  </r>
  <r>
    <x v="811"/>
    <n v="40738.839999999997"/>
    <x v="2"/>
    <x v="785"/>
    <x v="790"/>
    <x v="38"/>
    <x v="2"/>
  </r>
  <r>
    <x v="812"/>
    <n v="33519.19"/>
    <x v="2"/>
    <x v="786"/>
    <x v="791"/>
    <x v="38"/>
    <x v="2"/>
  </r>
  <r>
    <x v="813"/>
    <n v="43771.33"/>
    <x v="2"/>
    <x v="787"/>
    <x v="792"/>
    <x v="38"/>
    <x v="2"/>
  </r>
  <r>
    <x v="814"/>
    <n v="53565.85"/>
    <x v="2"/>
    <x v="788"/>
    <x v="793"/>
    <x v="38"/>
    <x v="2"/>
  </r>
  <r>
    <x v="815"/>
    <n v="22813.23"/>
    <x v="2"/>
    <x v="789"/>
    <x v="794"/>
    <x v="38"/>
    <x v="2"/>
  </r>
  <r>
    <x v="816"/>
    <n v="41731.519999999997"/>
    <x v="2"/>
    <x v="790"/>
    <x v="795"/>
    <x v="38"/>
    <x v="2"/>
  </r>
  <r>
    <x v="817"/>
    <n v="32316.36"/>
    <x v="2"/>
    <x v="791"/>
    <x v="796"/>
    <x v="38"/>
    <x v="2"/>
  </r>
  <r>
    <x v="818"/>
    <n v="64659.05"/>
    <x v="2"/>
    <x v="792"/>
    <x v="797"/>
    <x v="38"/>
    <x v="2"/>
  </r>
  <r>
    <x v="819"/>
    <n v="70798.48"/>
    <x v="2"/>
    <x v="793"/>
    <x v="798"/>
    <x v="38"/>
    <x v="2"/>
  </r>
  <r>
    <x v="820"/>
    <n v="64077.03"/>
    <x v="2"/>
    <x v="794"/>
    <x v="701"/>
    <x v="38"/>
    <x v="2"/>
  </r>
  <r>
    <x v="821"/>
    <n v="71898.59"/>
    <x v="2"/>
    <x v="795"/>
    <x v="799"/>
    <x v="38"/>
    <x v="2"/>
  </r>
  <r>
    <x v="822"/>
    <n v="101298.8"/>
    <x v="2"/>
    <x v="796"/>
    <x v="800"/>
    <x v="38"/>
    <x v="2"/>
  </r>
  <r>
    <x v="823"/>
    <n v="98118.59"/>
    <x v="2"/>
    <x v="34"/>
    <x v="34"/>
    <x v="38"/>
    <x v="2"/>
  </r>
  <r>
    <x v="824"/>
    <n v="65812.509999999995"/>
    <x v="2"/>
    <x v="797"/>
    <x v="801"/>
    <x v="38"/>
    <x v="2"/>
  </r>
  <r>
    <x v="825"/>
    <n v="57652.54"/>
    <x v="2"/>
    <x v="798"/>
    <x v="802"/>
    <x v="38"/>
    <x v="2"/>
  </r>
  <r>
    <x v="826"/>
    <n v="30829.59"/>
    <x v="2"/>
    <x v="799"/>
    <x v="803"/>
    <x v="38"/>
    <x v="2"/>
  </r>
  <r>
    <x v="827"/>
    <n v="56507.64"/>
    <x v="2"/>
    <x v="800"/>
    <x v="804"/>
    <x v="38"/>
    <x v="2"/>
  </r>
  <r>
    <x v="828"/>
    <n v="57353.18"/>
    <x v="2"/>
    <x v="801"/>
    <x v="805"/>
    <x v="38"/>
    <x v="2"/>
  </r>
  <r>
    <x v="829"/>
    <n v="122707.81"/>
    <x v="2"/>
    <x v="802"/>
    <x v="806"/>
    <x v="38"/>
    <x v="2"/>
  </r>
  <r>
    <x v="830"/>
    <n v="36156.660000000003"/>
    <x v="2"/>
    <x v="803"/>
    <x v="807"/>
    <x v="38"/>
    <x v="2"/>
  </r>
  <r>
    <x v="831"/>
    <n v="20805.78"/>
    <x v="2"/>
    <x v="804"/>
    <x v="808"/>
    <x v="38"/>
    <x v="2"/>
  </r>
  <r>
    <x v="832"/>
    <n v="136849.03"/>
    <x v="2"/>
    <x v="805"/>
    <x v="809"/>
    <x v="38"/>
    <x v="2"/>
  </r>
  <r>
    <x v="833"/>
    <n v="101302.72"/>
    <x v="2"/>
    <x v="806"/>
    <x v="810"/>
    <x v="38"/>
    <x v="2"/>
  </r>
  <r>
    <x v="834"/>
    <n v="107461.1"/>
    <x v="2"/>
    <x v="807"/>
    <x v="811"/>
    <x v="38"/>
    <x v="2"/>
  </r>
  <r>
    <x v="835"/>
    <n v="149788.79"/>
    <x v="2"/>
    <x v="808"/>
    <x v="812"/>
    <x v="38"/>
    <x v="2"/>
  </r>
  <r>
    <x v="836"/>
    <n v="87411.94"/>
    <x v="2"/>
    <x v="809"/>
    <x v="813"/>
    <x v="38"/>
    <x v="2"/>
  </r>
  <r>
    <x v="837"/>
    <n v="156539.92000000001"/>
    <x v="2"/>
    <x v="810"/>
    <x v="814"/>
    <x v="38"/>
    <x v="2"/>
  </r>
  <r>
    <x v="838"/>
    <n v="119996.73"/>
    <x v="2"/>
    <x v="811"/>
    <x v="815"/>
    <x v="38"/>
    <x v="2"/>
  </r>
  <r>
    <x v="839"/>
    <n v="78898.570000000007"/>
    <x v="2"/>
    <x v="812"/>
    <x v="816"/>
    <x v="38"/>
    <x v="2"/>
  </r>
  <r>
    <x v="840"/>
    <n v="69580.899999999994"/>
    <x v="2"/>
    <x v="813"/>
    <x v="817"/>
    <x v="38"/>
    <x v="2"/>
  </r>
  <r>
    <x v="841"/>
    <n v="90146.26"/>
    <x v="2"/>
    <x v="814"/>
    <x v="818"/>
    <x v="38"/>
    <x v="2"/>
  </r>
  <r>
    <x v="842"/>
    <n v="100917.57"/>
    <x v="2"/>
    <x v="454"/>
    <x v="819"/>
    <x v="38"/>
    <x v="2"/>
  </r>
  <r>
    <x v="843"/>
    <n v="71259.759999999995"/>
    <x v="2"/>
    <x v="815"/>
    <x v="820"/>
    <x v="38"/>
    <x v="2"/>
  </r>
  <r>
    <x v="844"/>
    <n v="84468.88"/>
    <x v="2"/>
    <x v="816"/>
    <x v="821"/>
    <x v="38"/>
    <x v="2"/>
  </r>
  <r>
    <x v="845"/>
    <n v="143036.41"/>
    <x v="2"/>
    <x v="817"/>
    <x v="822"/>
    <x v="38"/>
    <x v="2"/>
  </r>
  <r>
    <x v="846"/>
    <n v="118622.29"/>
    <x v="2"/>
    <x v="818"/>
    <x v="823"/>
    <x v="38"/>
    <x v="2"/>
  </r>
  <r>
    <x v="847"/>
    <n v="127763.82"/>
    <x v="2"/>
    <x v="819"/>
    <x v="824"/>
    <x v="38"/>
    <x v="2"/>
  </r>
  <r>
    <x v="848"/>
    <n v="104362.97"/>
    <x v="2"/>
    <x v="820"/>
    <x v="825"/>
    <x v="38"/>
    <x v="2"/>
  </r>
  <r>
    <x v="849"/>
    <n v="119354.52"/>
    <x v="2"/>
    <x v="735"/>
    <x v="826"/>
    <x v="38"/>
    <x v="2"/>
  </r>
  <r>
    <x v="850"/>
    <n v="85785.07"/>
    <x v="2"/>
    <x v="821"/>
    <x v="827"/>
    <x v="38"/>
    <x v="2"/>
  </r>
  <r>
    <x v="851"/>
    <n v="184809.66"/>
    <x v="2"/>
    <x v="822"/>
    <x v="828"/>
    <x v="38"/>
    <x v="2"/>
  </r>
  <r>
    <x v="852"/>
    <n v="161568.15"/>
    <x v="2"/>
    <x v="823"/>
    <x v="829"/>
    <x v="38"/>
    <x v="2"/>
  </r>
  <r>
    <x v="853"/>
    <n v="78806.16"/>
    <x v="2"/>
    <x v="824"/>
    <x v="830"/>
    <x v="38"/>
    <x v="2"/>
  </r>
  <r>
    <x v="854"/>
    <n v="167403.79"/>
    <x v="2"/>
    <x v="825"/>
    <x v="831"/>
    <x v="38"/>
    <x v="2"/>
  </r>
  <r>
    <x v="855"/>
    <n v="105682.85"/>
    <x v="2"/>
    <x v="826"/>
    <x v="832"/>
    <x v="38"/>
    <x v="2"/>
  </r>
  <r>
    <x v="856"/>
    <n v="139741.94"/>
    <x v="2"/>
    <x v="827"/>
    <x v="833"/>
    <x v="38"/>
    <x v="2"/>
  </r>
  <r>
    <x v="857"/>
    <n v="178546.65"/>
    <x v="2"/>
    <x v="828"/>
    <x v="834"/>
    <x v="38"/>
    <x v="2"/>
  </r>
  <r>
    <x v="858"/>
    <n v="130892.12"/>
    <x v="2"/>
    <x v="829"/>
    <x v="835"/>
    <x v="38"/>
    <x v="2"/>
  </r>
  <r>
    <x v="859"/>
    <n v="67790.100000000006"/>
    <x v="2"/>
    <x v="830"/>
    <x v="836"/>
    <x v="38"/>
    <x v="2"/>
  </r>
  <r>
    <x v="860"/>
    <n v="120532.21"/>
    <x v="2"/>
    <x v="629"/>
    <x v="634"/>
    <x v="38"/>
    <x v="2"/>
  </r>
  <r>
    <x v="861"/>
    <n v="62896.66"/>
    <x v="2"/>
    <x v="831"/>
    <x v="837"/>
    <x v="38"/>
    <x v="2"/>
  </r>
  <r>
    <x v="862"/>
    <n v="38388.050000000003"/>
    <x v="2"/>
    <x v="832"/>
    <x v="838"/>
    <x v="38"/>
    <x v="2"/>
  </r>
  <r>
    <x v="863"/>
    <n v="52727.701979999998"/>
    <x v="2"/>
    <x v="833"/>
    <x v="839"/>
    <x v="38"/>
    <x v="2"/>
  </r>
  <r>
    <x v="864"/>
    <n v="38564.81"/>
    <x v="2"/>
    <x v="789"/>
    <x v="840"/>
    <x v="38"/>
    <x v="2"/>
  </r>
  <r>
    <x v="865"/>
    <n v="62887.11"/>
    <x v="2"/>
    <x v="834"/>
    <x v="841"/>
    <x v="38"/>
    <x v="2"/>
  </r>
  <r>
    <x v="866"/>
    <n v="67470.509999999995"/>
    <x v="2"/>
    <x v="835"/>
    <x v="842"/>
    <x v="38"/>
    <x v="2"/>
  </r>
  <r>
    <x v="867"/>
    <n v="70783.78"/>
    <x v="2"/>
    <x v="836"/>
    <x v="773"/>
    <x v="38"/>
    <x v="2"/>
  </r>
  <r>
    <x v="868"/>
    <n v="114282.38"/>
    <x v="2"/>
    <x v="837"/>
    <x v="843"/>
    <x v="38"/>
    <x v="2"/>
  </r>
  <r>
    <x v="869"/>
    <n v="54637.55"/>
    <x v="2"/>
    <x v="838"/>
    <x v="844"/>
    <x v="38"/>
    <x v="2"/>
  </r>
  <r>
    <x v="870"/>
    <n v="43545.27"/>
    <x v="2"/>
    <x v="839"/>
    <x v="845"/>
    <x v="38"/>
    <x v="2"/>
  </r>
  <r>
    <x v="871"/>
    <n v="70476.61"/>
    <x v="2"/>
    <x v="840"/>
    <x v="846"/>
    <x v="38"/>
    <x v="2"/>
  </r>
  <r>
    <x v="872"/>
    <n v="49554.83"/>
    <x v="2"/>
    <x v="841"/>
    <x v="847"/>
    <x v="38"/>
    <x v="2"/>
  </r>
  <r>
    <x v="873"/>
    <n v="47250.41"/>
    <x v="2"/>
    <x v="842"/>
    <x v="848"/>
    <x v="38"/>
    <x v="2"/>
  </r>
  <r>
    <x v="874"/>
    <n v="93466.71"/>
    <x v="2"/>
    <x v="611"/>
    <x v="849"/>
    <x v="38"/>
    <x v="2"/>
  </r>
  <r>
    <x v="875"/>
    <n v="68217.86"/>
    <x v="2"/>
    <x v="843"/>
    <x v="850"/>
    <x v="38"/>
    <x v="2"/>
  </r>
  <r>
    <x v="876"/>
    <n v="48529.54"/>
    <x v="2"/>
    <x v="844"/>
    <x v="851"/>
    <x v="38"/>
    <x v="2"/>
  </r>
  <r>
    <x v="877"/>
    <n v="46203.91"/>
    <x v="2"/>
    <x v="845"/>
    <x v="852"/>
    <x v="38"/>
    <x v="2"/>
  </r>
  <r>
    <x v="878"/>
    <n v="87358.35"/>
    <x v="2"/>
    <x v="846"/>
    <x v="853"/>
    <x v="38"/>
    <x v="2"/>
  </r>
  <r>
    <x v="879"/>
    <n v="134926.96"/>
    <x v="2"/>
    <x v="847"/>
    <x v="854"/>
    <x v="38"/>
    <x v="2"/>
  </r>
  <r>
    <x v="880"/>
    <n v="76174.67"/>
    <x v="2"/>
    <x v="848"/>
    <x v="855"/>
    <x v="38"/>
    <x v="2"/>
  </r>
  <r>
    <x v="881"/>
    <n v="58430.74"/>
    <x v="2"/>
    <x v="849"/>
    <x v="856"/>
    <x v="38"/>
    <x v="2"/>
  </r>
  <r>
    <x v="882"/>
    <n v="63211.71"/>
    <x v="2"/>
    <x v="850"/>
    <x v="857"/>
    <x v="38"/>
    <x v="2"/>
  </r>
  <r>
    <x v="883"/>
    <n v="70889.09"/>
    <x v="2"/>
    <x v="629"/>
    <x v="634"/>
    <x v="38"/>
    <x v="2"/>
  </r>
  <r>
    <x v="884"/>
    <n v="61799.09"/>
    <x v="2"/>
    <x v="826"/>
    <x v="858"/>
    <x v="38"/>
    <x v="2"/>
  </r>
  <r>
    <x v="885"/>
    <n v="64165.78"/>
    <x v="2"/>
    <x v="851"/>
    <x v="859"/>
    <x v="38"/>
    <x v="2"/>
  </r>
  <r>
    <x v="886"/>
    <n v="82243.17"/>
    <x v="2"/>
    <x v="852"/>
    <x v="860"/>
    <x v="38"/>
    <x v="2"/>
  </r>
  <r>
    <x v="887"/>
    <n v="74941.350000000006"/>
    <x v="2"/>
    <x v="853"/>
    <x v="861"/>
    <x v="38"/>
    <x v="2"/>
  </r>
  <r>
    <x v="888"/>
    <n v="23728.98"/>
    <x v="2"/>
    <x v="854"/>
    <x v="862"/>
    <x v="38"/>
    <x v="2"/>
  </r>
  <r>
    <x v="889"/>
    <n v="14218.21"/>
    <x v="2"/>
    <x v="855"/>
    <x v="863"/>
    <x v="38"/>
    <x v="2"/>
  </r>
  <r>
    <x v="890"/>
    <n v="10073.52"/>
    <x v="2"/>
    <x v="856"/>
    <x v="864"/>
    <x v="38"/>
    <x v="2"/>
  </r>
  <r>
    <x v="891"/>
    <n v="10846.19"/>
    <x v="2"/>
    <x v="857"/>
    <x v="865"/>
    <x v="38"/>
    <x v="2"/>
  </r>
  <r>
    <x v="892"/>
    <n v="17132.080000000002"/>
    <x v="2"/>
    <x v="858"/>
    <x v="866"/>
    <x v="38"/>
    <x v="2"/>
  </r>
  <r>
    <x v="893"/>
    <m/>
    <x v="2"/>
    <x v="859"/>
    <x v="867"/>
    <x v="38"/>
    <x v="2"/>
  </r>
  <r>
    <x v="894"/>
    <n v="35328.86"/>
    <x v="2"/>
    <x v="860"/>
    <x v="868"/>
    <x v="38"/>
    <x v="2"/>
  </r>
  <r>
    <x v="895"/>
    <n v="21876"/>
    <x v="2"/>
    <x v="861"/>
    <x v="869"/>
    <x v="38"/>
    <x v="2"/>
  </r>
  <r>
    <x v="896"/>
    <n v="15010.77"/>
    <x v="2"/>
    <x v="862"/>
    <x v="870"/>
    <x v="38"/>
    <x v="2"/>
  </r>
  <r>
    <x v="897"/>
    <n v="12888.38"/>
    <x v="2"/>
    <x v="863"/>
    <x v="871"/>
    <x v="38"/>
    <x v="2"/>
  </r>
  <r>
    <x v="898"/>
    <n v="25191.01"/>
    <x v="2"/>
    <x v="864"/>
    <x v="872"/>
    <x v="38"/>
    <x v="2"/>
  </r>
  <r>
    <x v="899"/>
    <n v="28873.599999999999"/>
    <x v="2"/>
    <x v="865"/>
    <x v="873"/>
    <x v="38"/>
    <x v="2"/>
  </r>
  <r>
    <x v="900"/>
    <n v="18476.46"/>
    <x v="2"/>
    <x v="866"/>
    <x v="874"/>
    <x v="38"/>
    <x v="2"/>
  </r>
  <r>
    <x v="901"/>
    <n v="12452.28"/>
    <x v="2"/>
    <x v="867"/>
    <x v="875"/>
    <x v="38"/>
    <x v="2"/>
  </r>
  <r>
    <x v="902"/>
    <n v="24599"/>
    <x v="2"/>
    <x v="868"/>
    <x v="876"/>
    <x v="38"/>
    <x v="2"/>
  </r>
  <r>
    <x v="903"/>
    <n v="13354.78"/>
    <x v="2"/>
    <x v="869"/>
    <x v="877"/>
    <x v="38"/>
    <x v="2"/>
  </r>
  <r>
    <x v="904"/>
    <n v="11796.67"/>
    <x v="2"/>
    <x v="870"/>
    <x v="878"/>
    <x v="38"/>
    <x v="2"/>
  </r>
  <r>
    <x v="905"/>
    <n v="15648.65"/>
    <x v="2"/>
    <x v="871"/>
    <x v="879"/>
    <x v="38"/>
    <x v="2"/>
  </r>
  <r>
    <x v="906"/>
    <n v="14245.06"/>
    <x v="2"/>
    <x v="872"/>
    <x v="880"/>
    <x v="38"/>
    <x v="2"/>
  </r>
  <r>
    <x v="907"/>
    <n v="14729.88"/>
    <x v="2"/>
    <x v="873"/>
    <x v="881"/>
    <x v="38"/>
    <x v="2"/>
  </r>
  <r>
    <x v="908"/>
    <m/>
    <x v="2"/>
    <x v="874"/>
    <x v="882"/>
    <x v="38"/>
    <x v="2"/>
  </r>
  <r>
    <x v="909"/>
    <n v="12209.62"/>
    <x v="2"/>
    <x v="875"/>
    <x v="883"/>
    <x v="38"/>
    <x v="2"/>
  </r>
  <r>
    <x v="910"/>
    <n v="11691.07"/>
    <x v="2"/>
    <x v="876"/>
    <x v="884"/>
    <x v="38"/>
    <x v="2"/>
  </r>
  <r>
    <x v="911"/>
    <n v="24919.45"/>
    <x v="2"/>
    <x v="877"/>
    <x v="885"/>
    <x v="38"/>
    <x v="2"/>
  </r>
  <r>
    <x v="912"/>
    <m/>
    <x v="2"/>
    <x v="878"/>
    <x v="886"/>
    <x v="38"/>
    <x v="2"/>
  </r>
  <r>
    <x v="913"/>
    <n v="9939.2199999999993"/>
    <x v="2"/>
    <x v="879"/>
    <x v="887"/>
    <x v="38"/>
    <x v="2"/>
  </r>
  <r>
    <x v="914"/>
    <n v="18113.91"/>
    <x v="2"/>
    <x v="880"/>
    <x v="888"/>
    <x v="38"/>
    <x v="2"/>
  </r>
  <r>
    <x v="915"/>
    <n v="25269.49"/>
    <x v="2"/>
    <x v="881"/>
    <x v="889"/>
    <x v="38"/>
    <x v="2"/>
  </r>
  <r>
    <x v="916"/>
    <n v="13654.69"/>
    <x v="2"/>
    <x v="743"/>
    <x v="890"/>
    <x v="38"/>
    <x v="2"/>
  </r>
  <r>
    <x v="917"/>
    <n v="12729.9"/>
    <x v="2"/>
    <x v="882"/>
    <x v="891"/>
    <x v="38"/>
    <x v="2"/>
  </r>
  <r>
    <x v="918"/>
    <n v="16701.990000000002"/>
    <x v="2"/>
    <x v="883"/>
    <x v="892"/>
    <x v="38"/>
    <x v="2"/>
  </r>
  <r>
    <x v="919"/>
    <n v="13673.42"/>
    <x v="2"/>
    <x v="884"/>
    <x v="893"/>
    <x v="38"/>
    <x v="2"/>
  </r>
  <r>
    <x v="920"/>
    <m/>
    <x v="2"/>
    <x v="885"/>
    <x v="894"/>
    <x v="38"/>
    <x v="2"/>
  </r>
  <r>
    <x v="921"/>
    <n v="12834.97"/>
    <x v="2"/>
    <x v="886"/>
    <x v="895"/>
    <x v="38"/>
    <x v="2"/>
  </r>
  <r>
    <x v="922"/>
    <n v="14254.58"/>
    <x v="2"/>
    <x v="887"/>
    <x v="896"/>
    <x v="38"/>
    <x v="2"/>
  </r>
  <r>
    <x v="923"/>
    <n v="12150.84"/>
    <x v="2"/>
    <x v="888"/>
    <x v="897"/>
    <x v="38"/>
    <x v="2"/>
  </r>
  <r>
    <x v="924"/>
    <n v="9887.4599999999991"/>
    <x v="2"/>
    <x v="889"/>
    <x v="898"/>
    <x v="38"/>
    <x v="2"/>
  </r>
  <r>
    <x v="925"/>
    <n v="17882.650000000001"/>
    <x v="2"/>
    <x v="890"/>
    <x v="899"/>
    <x v="38"/>
    <x v="2"/>
  </r>
  <r>
    <x v="926"/>
    <n v="11428.15"/>
    <x v="2"/>
    <x v="891"/>
    <x v="900"/>
    <x v="38"/>
    <x v="2"/>
  </r>
  <r>
    <x v="927"/>
    <n v="11972.77"/>
    <x v="2"/>
    <x v="892"/>
    <x v="901"/>
    <x v="38"/>
    <x v="2"/>
  </r>
  <r>
    <x v="928"/>
    <m/>
    <x v="2"/>
    <x v="893"/>
    <x v="902"/>
    <x v="38"/>
    <x v="2"/>
  </r>
  <r>
    <x v="929"/>
    <n v="18560.419999999998"/>
    <x v="2"/>
    <x v="894"/>
    <x v="903"/>
    <x v="38"/>
    <x v="2"/>
  </r>
  <r>
    <x v="930"/>
    <m/>
    <x v="2"/>
    <x v="895"/>
    <x v="904"/>
    <x v="38"/>
    <x v="2"/>
  </r>
  <r>
    <x v="931"/>
    <n v="6513.27"/>
    <x v="2"/>
    <x v="896"/>
    <x v="905"/>
    <x v="38"/>
    <x v="2"/>
  </r>
  <r>
    <x v="932"/>
    <n v="15653.87"/>
    <x v="2"/>
    <x v="897"/>
    <x v="906"/>
    <x v="38"/>
    <x v="2"/>
  </r>
  <r>
    <x v="933"/>
    <n v="21845.43"/>
    <x v="2"/>
    <x v="898"/>
    <x v="907"/>
    <x v="38"/>
    <x v="2"/>
  </r>
  <r>
    <x v="934"/>
    <n v="27824.58"/>
    <x v="2"/>
    <x v="899"/>
    <x v="908"/>
    <x v="39"/>
    <x v="2"/>
  </r>
  <r>
    <x v="935"/>
    <n v="47994.33"/>
    <x v="2"/>
    <x v="900"/>
    <x v="909"/>
    <x v="39"/>
    <x v="2"/>
  </r>
  <r>
    <x v="936"/>
    <n v="138533.69"/>
    <x v="2"/>
    <x v="901"/>
    <x v="910"/>
    <x v="39"/>
    <x v="2"/>
  </r>
  <r>
    <x v="937"/>
    <n v="54886.2"/>
    <x v="2"/>
    <x v="902"/>
    <x v="911"/>
    <x v="39"/>
    <x v="2"/>
  </r>
  <r>
    <x v="938"/>
    <n v="113720.24"/>
    <x v="2"/>
    <x v="34"/>
    <x v="34"/>
    <x v="39"/>
    <x v="2"/>
  </r>
  <r>
    <x v="939"/>
    <n v="117654.24"/>
    <x v="2"/>
    <x v="903"/>
    <x v="912"/>
    <x v="39"/>
    <x v="2"/>
  </r>
  <r>
    <x v="940"/>
    <n v="157529.51"/>
    <x v="2"/>
    <x v="904"/>
    <x v="913"/>
    <x v="39"/>
    <x v="2"/>
  </r>
  <r>
    <x v="941"/>
    <n v="174638.25"/>
    <x v="2"/>
    <x v="905"/>
    <x v="914"/>
    <x v="39"/>
    <x v="2"/>
  </r>
  <r>
    <x v="942"/>
    <n v="221617.57"/>
    <x v="2"/>
    <x v="906"/>
    <x v="915"/>
    <x v="39"/>
    <x v="2"/>
  </r>
  <r>
    <x v="943"/>
    <n v="71793.899999999994"/>
    <x v="2"/>
    <x v="907"/>
    <x v="916"/>
    <x v="39"/>
    <x v="2"/>
  </r>
  <r>
    <x v="944"/>
    <n v="134102.57"/>
    <x v="2"/>
    <x v="908"/>
    <x v="917"/>
    <x v="39"/>
    <x v="2"/>
  </r>
  <r>
    <x v="945"/>
    <n v="11050.68"/>
    <x v="2"/>
    <x v="909"/>
    <x v="918"/>
    <x v="39"/>
    <x v="2"/>
  </r>
  <r>
    <x v="946"/>
    <n v="28794.47"/>
    <x v="2"/>
    <x v="910"/>
    <x v="919"/>
    <x v="39"/>
    <x v="2"/>
  </r>
  <r>
    <x v="947"/>
    <n v="131451.82999999999"/>
    <x v="2"/>
    <x v="911"/>
    <x v="920"/>
    <x v="40"/>
    <x v="2"/>
  </r>
  <r>
    <x v="948"/>
    <n v="32107.200000000001"/>
    <x v="2"/>
    <x v="912"/>
    <x v="921"/>
    <x v="41"/>
    <x v="2"/>
  </r>
  <r>
    <x v="949"/>
    <n v="48032.38"/>
    <x v="2"/>
    <x v="913"/>
    <x v="922"/>
    <x v="41"/>
    <x v="2"/>
  </r>
  <r>
    <x v="950"/>
    <n v="6442.5"/>
    <x v="2"/>
    <x v="914"/>
    <x v="923"/>
    <x v="41"/>
    <x v="2"/>
  </r>
  <r>
    <x v="951"/>
    <n v="14084.93"/>
    <x v="2"/>
    <x v="915"/>
    <x v="924"/>
    <x v="41"/>
    <x v="2"/>
  </r>
  <r>
    <x v="952"/>
    <n v="12692.36"/>
    <x v="2"/>
    <x v="916"/>
    <x v="925"/>
    <x v="41"/>
    <x v="2"/>
  </r>
  <r>
    <x v="953"/>
    <n v="5085.99"/>
    <x v="2"/>
    <x v="917"/>
    <x v="926"/>
    <x v="41"/>
    <x v="2"/>
  </r>
  <r>
    <x v="954"/>
    <n v="4119.8900000000003"/>
    <x v="2"/>
    <x v="918"/>
    <x v="927"/>
    <x v="41"/>
    <x v="2"/>
  </r>
  <r>
    <x v="955"/>
    <n v="48180.1"/>
    <x v="2"/>
    <x v="919"/>
    <x v="928"/>
    <x v="41"/>
    <x v="2"/>
  </r>
  <r>
    <x v="956"/>
    <n v="82966.740000000005"/>
    <x v="2"/>
    <x v="920"/>
    <x v="929"/>
    <x v="41"/>
    <x v="2"/>
  </r>
  <r>
    <x v="957"/>
    <n v="38535.51"/>
    <x v="2"/>
    <x v="921"/>
    <x v="930"/>
    <x v="41"/>
    <x v="2"/>
  </r>
  <r>
    <x v="958"/>
    <n v="29314.05"/>
    <x v="2"/>
    <x v="922"/>
    <x v="931"/>
    <x v="41"/>
    <x v="2"/>
  </r>
  <r>
    <x v="959"/>
    <n v="32795.65"/>
    <x v="2"/>
    <x v="923"/>
    <x v="932"/>
    <x v="41"/>
    <x v="2"/>
  </r>
  <r>
    <x v="960"/>
    <n v="31083.31"/>
    <x v="2"/>
    <x v="924"/>
    <x v="933"/>
    <x v="41"/>
    <x v="2"/>
  </r>
  <r>
    <x v="961"/>
    <n v="35026.639999999999"/>
    <x v="2"/>
    <x v="925"/>
    <x v="934"/>
    <x v="41"/>
    <x v="2"/>
  </r>
  <r>
    <x v="962"/>
    <n v="82602.240000000005"/>
    <x v="2"/>
    <x v="926"/>
    <x v="935"/>
    <x v="41"/>
    <x v="2"/>
  </r>
  <r>
    <x v="963"/>
    <n v="51282.42"/>
    <x v="2"/>
    <x v="927"/>
    <x v="936"/>
    <x v="41"/>
    <x v="2"/>
  </r>
  <r>
    <x v="964"/>
    <n v="43542.18"/>
    <x v="2"/>
    <x v="928"/>
    <x v="937"/>
    <x v="41"/>
    <x v="2"/>
  </r>
  <r>
    <x v="965"/>
    <n v="54637.93"/>
    <x v="2"/>
    <x v="929"/>
    <x v="938"/>
    <x v="41"/>
    <x v="2"/>
  </r>
  <r>
    <x v="966"/>
    <n v="39087"/>
    <x v="2"/>
    <x v="930"/>
    <x v="939"/>
    <x v="41"/>
    <x v="2"/>
  </r>
  <r>
    <x v="967"/>
    <n v="35266.39"/>
    <x v="2"/>
    <x v="931"/>
    <x v="940"/>
    <x v="41"/>
    <x v="2"/>
  </r>
  <r>
    <x v="968"/>
    <n v="41744.65"/>
    <x v="2"/>
    <x v="932"/>
    <x v="941"/>
    <x v="41"/>
    <x v="2"/>
  </r>
  <r>
    <x v="969"/>
    <n v="53303.02"/>
    <x v="2"/>
    <x v="933"/>
    <x v="942"/>
    <x v="41"/>
    <x v="2"/>
  </r>
  <r>
    <x v="970"/>
    <n v="60676.83"/>
    <x v="2"/>
    <x v="934"/>
    <x v="943"/>
    <x v="41"/>
    <x v="2"/>
  </r>
  <r>
    <x v="971"/>
    <n v="80078.929999999993"/>
    <x v="2"/>
    <x v="935"/>
    <x v="944"/>
    <x v="41"/>
    <x v="2"/>
  </r>
  <r>
    <x v="972"/>
    <n v="27658.98"/>
    <x v="2"/>
    <x v="936"/>
    <x v="945"/>
    <x v="41"/>
    <x v="2"/>
  </r>
  <r>
    <x v="973"/>
    <n v="79819.009999999995"/>
    <x v="2"/>
    <x v="937"/>
    <x v="946"/>
    <x v="41"/>
    <x v="2"/>
  </r>
  <r>
    <x v="974"/>
    <n v="48341.09"/>
    <x v="2"/>
    <x v="938"/>
    <x v="947"/>
    <x v="41"/>
    <x v="2"/>
  </r>
  <r>
    <x v="975"/>
    <n v="29602.38"/>
    <x v="2"/>
    <x v="939"/>
    <x v="948"/>
    <x v="41"/>
    <x v="2"/>
  </r>
  <r>
    <x v="976"/>
    <n v="100210.71"/>
    <x v="2"/>
    <x v="940"/>
    <x v="949"/>
    <x v="41"/>
    <x v="2"/>
  </r>
  <r>
    <x v="977"/>
    <n v="90750.67"/>
    <x v="2"/>
    <x v="941"/>
    <x v="950"/>
    <x v="41"/>
    <x v="2"/>
  </r>
  <r>
    <x v="978"/>
    <n v="39506.19"/>
    <x v="2"/>
    <x v="942"/>
    <x v="951"/>
    <x v="41"/>
    <x v="2"/>
  </r>
  <r>
    <x v="979"/>
    <n v="63835.9"/>
    <x v="2"/>
    <x v="943"/>
    <x v="952"/>
    <x v="41"/>
    <x v="2"/>
  </r>
  <r>
    <x v="980"/>
    <n v="44680.91"/>
    <x v="2"/>
    <x v="944"/>
    <x v="953"/>
    <x v="41"/>
    <x v="2"/>
  </r>
  <r>
    <x v="981"/>
    <n v="93538.61"/>
    <x v="2"/>
    <x v="945"/>
    <x v="954"/>
    <x v="41"/>
    <x v="2"/>
  </r>
  <r>
    <x v="982"/>
    <n v="71898.03"/>
    <x v="2"/>
    <x v="946"/>
    <x v="955"/>
    <x v="41"/>
    <x v="2"/>
  </r>
  <r>
    <x v="983"/>
    <m/>
    <x v="2"/>
    <x v="947"/>
    <x v="956"/>
    <x v="41"/>
    <x v="2"/>
  </r>
  <r>
    <x v="984"/>
    <n v="149324.26"/>
    <x v="2"/>
    <x v="948"/>
    <x v="957"/>
    <x v="41"/>
    <x v="2"/>
  </r>
  <r>
    <x v="985"/>
    <n v="68084.28"/>
    <x v="2"/>
    <x v="949"/>
    <x v="958"/>
    <x v="41"/>
    <x v="2"/>
  </r>
  <r>
    <x v="986"/>
    <n v="85370.95"/>
    <x v="2"/>
    <x v="950"/>
    <x v="959"/>
    <x v="41"/>
    <x v="2"/>
  </r>
  <r>
    <x v="987"/>
    <n v="86398.720000000001"/>
    <x v="2"/>
    <x v="951"/>
    <x v="960"/>
    <x v="41"/>
    <x v="2"/>
  </r>
  <r>
    <x v="988"/>
    <n v="115614.42"/>
    <x v="2"/>
    <x v="952"/>
    <x v="961"/>
    <x v="41"/>
    <x v="2"/>
  </r>
  <r>
    <x v="989"/>
    <n v="92717.19"/>
    <x v="2"/>
    <x v="953"/>
    <x v="962"/>
    <x v="41"/>
    <x v="2"/>
  </r>
  <r>
    <x v="990"/>
    <n v="89169.74"/>
    <x v="2"/>
    <x v="954"/>
    <x v="963"/>
    <x v="41"/>
    <x v="2"/>
  </r>
  <r>
    <x v="991"/>
    <n v="38396.71"/>
    <x v="2"/>
    <x v="955"/>
    <x v="964"/>
    <x v="41"/>
    <x v="2"/>
  </r>
  <r>
    <x v="992"/>
    <n v="79867.53"/>
    <x v="2"/>
    <x v="956"/>
    <x v="965"/>
    <x v="41"/>
    <x v="2"/>
  </r>
  <r>
    <x v="993"/>
    <n v="65331.28"/>
    <x v="2"/>
    <x v="957"/>
    <x v="966"/>
    <x v="41"/>
    <x v="2"/>
  </r>
  <r>
    <x v="994"/>
    <n v="42077.2"/>
    <x v="2"/>
    <x v="958"/>
    <x v="967"/>
    <x v="41"/>
    <x v="2"/>
  </r>
  <r>
    <x v="995"/>
    <n v="59102.52"/>
    <x v="2"/>
    <x v="959"/>
    <x v="968"/>
    <x v="41"/>
    <x v="2"/>
  </r>
  <r>
    <x v="996"/>
    <n v="49412.83"/>
    <x v="2"/>
    <x v="960"/>
    <x v="969"/>
    <x v="41"/>
    <x v="2"/>
  </r>
  <r>
    <x v="997"/>
    <n v="58600.12"/>
    <x v="2"/>
    <x v="961"/>
    <x v="970"/>
    <x v="41"/>
    <x v="2"/>
  </r>
  <r>
    <x v="998"/>
    <n v="27318.080000000002"/>
    <x v="2"/>
    <x v="962"/>
    <x v="969"/>
    <x v="41"/>
    <x v="2"/>
  </r>
  <r>
    <x v="999"/>
    <n v="72337.320000000007"/>
    <x v="2"/>
    <x v="963"/>
    <x v="971"/>
    <x v="41"/>
    <x v="2"/>
  </r>
  <r>
    <x v="1000"/>
    <n v="73747.899999999994"/>
    <x v="2"/>
    <x v="964"/>
    <x v="972"/>
    <x v="41"/>
    <x v="2"/>
  </r>
  <r>
    <x v="1001"/>
    <n v="27020.33"/>
    <x v="2"/>
    <x v="965"/>
    <x v="973"/>
    <x v="41"/>
    <x v="2"/>
  </r>
  <r>
    <x v="1002"/>
    <n v="7933.42"/>
    <x v="2"/>
    <x v="966"/>
    <x v="974"/>
    <x v="41"/>
    <x v="2"/>
  </r>
  <r>
    <x v="1003"/>
    <n v="13072.73"/>
    <x v="2"/>
    <x v="967"/>
    <x v="975"/>
    <x v="41"/>
    <x v="2"/>
  </r>
  <r>
    <x v="1004"/>
    <n v="34182.78"/>
    <x v="2"/>
    <x v="968"/>
    <x v="976"/>
    <x v="41"/>
    <x v="2"/>
  </r>
  <r>
    <x v="1005"/>
    <n v="11991.23"/>
    <x v="2"/>
    <x v="969"/>
    <x v="977"/>
    <x v="41"/>
    <x v="2"/>
  </r>
  <r>
    <x v="1006"/>
    <n v="15002.65"/>
    <x v="2"/>
    <x v="970"/>
    <x v="978"/>
    <x v="41"/>
    <x v="2"/>
  </r>
  <r>
    <x v="1007"/>
    <n v="8136.34"/>
    <x v="2"/>
    <x v="971"/>
    <x v="979"/>
    <x v="41"/>
    <x v="2"/>
  </r>
  <r>
    <x v="1008"/>
    <n v="19041.259999999998"/>
    <x v="2"/>
    <x v="972"/>
    <x v="980"/>
    <x v="41"/>
    <x v="2"/>
  </r>
  <r>
    <x v="1009"/>
    <n v="9377.64"/>
    <x v="2"/>
    <x v="973"/>
    <x v="981"/>
    <x v="41"/>
    <x v="2"/>
  </r>
  <r>
    <x v="1010"/>
    <n v="11078.57"/>
    <x v="2"/>
    <x v="974"/>
    <x v="982"/>
    <x v="41"/>
    <x v="2"/>
  </r>
  <r>
    <x v="1011"/>
    <n v="8876.2999999999993"/>
    <x v="2"/>
    <x v="959"/>
    <x v="968"/>
    <x v="41"/>
    <x v="2"/>
  </r>
  <r>
    <x v="1012"/>
    <n v="7713.35"/>
    <x v="2"/>
    <x v="975"/>
    <x v="983"/>
    <x v="41"/>
    <x v="2"/>
  </r>
  <r>
    <x v="1013"/>
    <n v="15316.69"/>
    <x v="2"/>
    <x v="976"/>
    <x v="944"/>
    <x v="41"/>
    <x v="2"/>
  </r>
  <r>
    <x v="1014"/>
    <n v="20858.14"/>
    <x v="2"/>
    <x v="977"/>
    <x v="984"/>
    <x v="41"/>
    <x v="2"/>
  </r>
  <r>
    <x v="1015"/>
    <n v="6920.44"/>
    <x v="2"/>
    <x v="922"/>
    <x v="985"/>
    <x v="41"/>
    <x v="2"/>
  </r>
  <r>
    <x v="1016"/>
    <n v="38738.769999999997"/>
    <x v="2"/>
    <x v="978"/>
    <x v="986"/>
    <x v="42"/>
    <x v="2"/>
  </r>
  <r>
    <x v="1017"/>
    <n v="27731.200000000001"/>
    <x v="2"/>
    <x v="979"/>
    <x v="987"/>
    <x v="42"/>
    <x v="2"/>
  </r>
  <r>
    <x v="1018"/>
    <n v="82987.45"/>
    <x v="2"/>
    <x v="980"/>
    <x v="988"/>
    <x v="42"/>
    <x v="2"/>
  </r>
  <r>
    <x v="1019"/>
    <n v="24423.279999999999"/>
    <x v="2"/>
    <x v="981"/>
    <x v="989"/>
    <x v="42"/>
    <x v="2"/>
  </r>
  <r>
    <x v="1020"/>
    <n v="14900.71"/>
    <x v="2"/>
    <x v="982"/>
    <x v="990"/>
    <x v="42"/>
    <x v="2"/>
  </r>
  <r>
    <x v="1021"/>
    <n v="6902"/>
    <x v="2"/>
    <x v="983"/>
    <x v="991"/>
    <x v="42"/>
    <x v="2"/>
  </r>
  <r>
    <x v="1022"/>
    <n v="3987.98"/>
    <x v="2"/>
    <x v="984"/>
    <x v="992"/>
    <x v="43"/>
    <x v="2"/>
  </r>
  <r>
    <x v="1023"/>
    <n v="52111.82"/>
    <x v="2"/>
    <x v="985"/>
    <x v="993"/>
    <x v="43"/>
    <x v="2"/>
  </r>
  <r>
    <x v="1024"/>
    <n v="10159.969999999999"/>
    <x v="2"/>
    <x v="986"/>
    <x v="994"/>
    <x v="43"/>
    <x v="2"/>
  </r>
  <r>
    <x v="1025"/>
    <n v="3955.3"/>
    <x v="2"/>
    <x v="987"/>
    <x v="995"/>
    <x v="43"/>
    <x v="2"/>
  </r>
  <r>
    <x v="1026"/>
    <n v="15225.92"/>
    <x v="2"/>
    <x v="988"/>
    <x v="996"/>
    <x v="44"/>
    <x v="2"/>
  </r>
  <r>
    <x v="1027"/>
    <n v="8533.89"/>
    <x v="2"/>
    <x v="989"/>
    <x v="997"/>
    <x v="44"/>
    <x v="2"/>
  </r>
  <r>
    <x v="1028"/>
    <n v="62466.69"/>
    <x v="2"/>
    <x v="34"/>
    <x v="34"/>
    <x v="45"/>
    <x v="2"/>
  </r>
  <r>
    <x v="1029"/>
    <n v="20528.66"/>
    <x v="2"/>
    <x v="990"/>
    <x v="998"/>
    <x v="45"/>
    <x v="2"/>
  </r>
  <r>
    <x v="1030"/>
    <n v="44369.279999999999"/>
    <x v="2"/>
    <x v="991"/>
    <x v="999"/>
    <x v="45"/>
    <x v="2"/>
  </r>
  <r>
    <x v="1031"/>
    <n v="36473.26"/>
    <x v="2"/>
    <x v="992"/>
    <x v="1000"/>
    <x v="45"/>
    <x v="2"/>
  </r>
  <r>
    <x v="1032"/>
    <n v="76595.259999999995"/>
    <x v="2"/>
    <x v="993"/>
    <x v="1001"/>
    <x v="45"/>
    <x v="2"/>
  </r>
  <r>
    <x v="1033"/>
    <n v="46233.7"/>
    <x v="2"/>
    <x v="994"/>
    <x v="1002"/>
    <x v="45"/>
    <x v="2"/>
  </r>
  <r>
    <x v="1034"/>
    <n v="169539.74"/>
    <x v="2"/>
    <x v="34"/>
    <x v="34"/>
    <x v="45"/>
    <x v="2"/>
  </r>
  <r>
    <x v="1035"/>
    <n v="60424.61"/>
    <x v="2"/>
    <x v="995"/>
    <x v="1003"/>
    <x v="45"/>
    <x v="2"/>
  </r>
  <r>
    <x v="1036"/>
    <n v="38506.129999999997"/>
    <x v="2"/>
    <x v="996"/>
    <x v="1004"/>
    <x v="45"/>
    <x v="2"/>
  </r>
  <r>
    <x v="1037"/>
    <n v="50375.6"/>
    <x v="2"/>
    <x v="997"/>
    <x v="1005"/>
    <x v="45"/>
    <x v="2"/>
  </r>
  <r>
    <x v="1038"/>
    <n v="105099.04"/>
    <x v="2"/>
    <x v="998"/>
    <x v="1006"/>
    <x v="45"/>
    <x v="2"/>
  </r>
  <r>
    <x v="1039"/>
    <n v="267171.26"/>
    <x v="2"/>
    <x v="999"/>
    <x v="1007"/>
    <x v="45"/>
    <x v="2"/>
  </r>
  <r>
    <x v="1040"/>
    <n v="327853.78999999998"/>
    <x v="2"/>
    <x v="1000"/>
    <x v="1008"/>
    <x v="45"/>
    <x v="2"/>
  </r>
  <r>
    <x v="1041"/>
    <n v="211411.26"/>
    <x v="2"/>
    <x v="1001"/>
    <x v="1009"/>
    <x v="45"/>
    <x v="2"/>
  </r>
  <r>
    <x v="1042"/>
    <n v="65709.42"/>
    <x v="2"/>
    <x v="1002"/>
    <x v="1010"/>
    <x v="45"/>
    <x v="2"/>
  </r>
  <r>
    <x v="1043"/>
    <n v="80329.61"/>
    <x v="2"/>
    <x v="1003"/>
    <x v="1011"/>
    <x v="45"/>
    <x v="2"/>
  </r>
  <r>
    <x v="1044"/>
    <n v="117395.37"/>
    <x v="2"/>
    <x v="1004"/>
    <x v="1012"/>
    <x v="45"/>
    <x v="2"/>
  </r>
  <r>
    <x v="1045"/>
    <n v="61314.84"/>
    <x v="2"/>
    <x v="1005"/>
    <x v="1013"/>
    <x v="45"/>
    <x v="2"/>
  </r>
  <r>
    <x v="1046"/>
    <n v="26149.41"/>
    <x v="2"/>
    <x v="34"/>
    <x v="34"/>
    <x v="45"/>
    <x v="2"/>
  </r>
  <r>
    <x v="1047"/>
    <n v="16879.77"/>
    <x v="2"/>
    <x v="1006"/>
    <x v="1014"/>
    <x v="45"/>
    <x v="2"/>
  </r>
  <r>
    <x v="1048"/>
    <n v="11295.22"/>
    <x v="2"/>
    <x v="1007"/>
    <x v="1015"/>
    <x v="45"/>
    <x v="2"/>
  </r>
  <r>
    <x v="1049"/>
    <n v="12382.69"/>
    <x v="2"/>
    <x v="1008"/>
    <x v="1016"/>
    <x v="45"/>
    <x v="2"/>
  </r>
  <r>
    <x v="1050"/>
    <n v="17694.39"/>
    <x v="2"/>
    <x v="1009"/>
    <x v="1017"/>
    <x v="45"/>
    <x v="2"/>
  </r>
  <r>
    <x v="1051"/>
    <n v="26498.37"/>
    <x v="2"/>
    <x v="1010"/>
    <x v="1018"/>
    <x v="45"/>
    <x v="2"/>
  </r>
  <r>
    <x v="1052"/>
    <n v="31697.279999999999"/>
    <x v="2"/>
    <x v="1011"/>
    <x v="1019"/>
    <x v="46"/>
    <x v="2"/>
  </r>
  <r>
    <x v="1053"/>
    <n v="42103.71"/>
    <x v="2"/>
    <x v="1012"/>
    <x v="1020"/>
    <x v="46"/>
    <x v="2"/>
  </r>
  <r>
    <x v="1054"/>
    <n v="51668.72"/>
    <x v="2"/>
    <x v="1013"/>
    <x v="1021"/>
    <x v="46"/>
    <x v="2"/>
  </r>
  <r>
    <x v="1055"/>
    <n v="61172.09"/>
    <x v="2"/>
    <x v="1014"/>
    <x v="1022"/>
    <x v="46"/>
    <x v="2"/>
  </r>
  <r>
    <x v="1056"/>
    <n v="14623.53"/>
    <x v="2"/>
    <x v="1015"/>
    <x v="1023"/>
    <x v="46"/>
    <x v="2"/>
  </r>
  <r>
    <x v="1057"/>
    <n v="30281.15"/>
    <x v="2"/>
    <x v="1016"/>
    <x v="1024"/>
    <x v="46"/>
    <x v="2"/>
  </r>
  <r>
    <x v="1058"/>
    <n v="22438.75"/>
    <x v="2"/>
    <x v="1017"/>
    <x v="1025"/>
    <x v="46"/>
    <x v="2"/>
  </r>
  <r>
    <x v="1059"/>
    <n v="31152.7"/>
    <x v="2"/>
    <x v="1018"/>
    <x v="1026"/>
    <x v="46"/>
    <x v="2"/>
  </r>
  <r>
    <x v="1060"/>
    <n v="43414.79"/>
    <x v="2"/>
    <x v="1019"/>
    <x v="1027"/>
    <x v="46"/>
    <x v="2"/>
  </r>
  <r>
    <x v="1061"/>
    <n v="24616.61"/>
    <x v="2"/>
    <x v="1020"/>
    <x v="1028"/>
    <x v="46"/>
    <x v="2"/>
  </r>
  <r>
    <x v="1062"/>
    <n v="48720.28"/>
    <x v="2"/>
    <x v="1021"/>
    <x v="1029"/>
    <x v="46"/>
    <x v="2"/>
  </r>
  <r>
    <x v="1063"/>
    <n v="40395.32"/>
    <x v="2"/>
    <x v="1022"/>
    <x v="1030"/>
    <x v="46"/>
    <x v="2"/>
  </r>
  <r>
    <x v="1064"/>
    <n v="47816.06"/>
    <x v="2"/>
    <x v="1023"/>
    <x v="1031"/>
    <x v="46"/>
    <x v="2"/>
  </r>
  <r>
    <x v="1065"/>
    <n v="43617.02"/>
    <x v="2"/>
    <x v="1024"/>
    <x v="1032"/>
    <x v="46"/>
    <x v="2"/>
  </r>
  <r>
    <x v="1066"/>
    <n v="41616.65"/>
    <x v="2"/>
    <x v="1025"/>
    <x v="1033"/>
    <x v="46"/>
    <x v="2"/>
  </r>
  <r>
    <x v="1067"/>
    <n v="57733.2"/>
    <x v="2"/>
    <x v="1026"/>
    <x v="1034"/>
    <x v="46"/>
    <x v="2"/>
  </r>
  <r>
    <x v="1068"/>
    <n v="64870.7"/>
    <x v="2"/>
    <x v="1027"/>
    <x v="1035"/>
    <x v="46"/>
    <x v="2"/>
  </r>
  <r>
    <x v="1069"/>
    <n v="35461.32"/>
    <x v="2"/>
    <x v="1028"/>
    <x v="1036"/>
    <x v="46"/>
    <x v="2"/>
  </r>
  <r>
    <x v="1070"/>
    <n v="70208.22"/>
    <x v="2"/>
    <x v="1029"/>
    <x v="1037"/>
    <x v="46"/>
    <x v="2"/>
  </r>
  <r>
    <x v="1071"/>
    <n v="61377.43"/>
    <x v="2"/>
    <x v="1030"/>
    <x v="1038"/>
    <x v="46"/>
    <x v="2"/>
  </r>
  <r>
    <x v="1072"/>
    <n v="42057.51"/>
    <x v="2"/>
    <x v="1031"/>
    <x v="1039"/>
    <x v="46"/>
    <x v="2"/>
  </r>
  <r>
    <x v="1073"/>
    <n v="33013.72"/>
    <x v="2"/>
    <x v="1032"/>
    <x v="1040"/>
    <x v="46"/>
    <x v="2"/>
  </r>
  <r>
    <x v="1074"/>
    <n v="44505.71"/>
    <x v="2"/>
    <x v="1033"/>
    <x v="1041"/>
    <x v="46"/>
    <x v="2"/>
  </r>
  <r>
    <x v="1075"/>
    <n v="44834.879999999997"/>
    <x v="2"/>
    <x v="1034"/>
    <x v="1042"/>
    <x v="46"/>
    <x v="2"/>
  </r>
  <r>
    <x v="1076"/>
    <n v="41862.449999999997"/>
    <x v="2"/>
    <x v="1035"/>
    <x v="1043"/>
    <x v="46"/>
    <x v="2"/>
  </r>
  <r>
    <x v="1077"/>
    <n v="62757.73"/>
    <x v="2"/>
    <x v="1036"/>
    <x v="1044"/>
    <x v="46"/>
    <x v="2"/>
  </r>
  <r>
    <x v="1078"/>
    <n v="46615.65"/>
    <x v="2"/>
    <x v="1037"/>
    <x v="1045"/>
    <x v="46"/>
    <x v="2"/>
  </r>
  <r>
    <x v="1079"/>
    <n v="53230.65"/>
    <x v="2"/>
    <x v="1038"/>
    <x v="1046"/>
    <x v="46"/>
    <x v="2"/>
  </r>
  <r>
    <x v="1080"/>
    <n v="24617.75"/>
    <x v="2"/>
    <x v="1039"/>
    <x v="1047"/>
    <x v="46"/>
    <x v="2"/>
  </r>
  <r>
    <x v="1081"/>
    <n v="118153.44"/>
    <x v="2"/>
    <x v="1040"/>
    <x v="1048"/>
    <x v="46"/>
    <x v="2"/>
  </r>
  <r>
    <x v="1082"/>
    <n v="144116.23000000001"/>
    <x v="2"/>
    <x v="1041"/>
    <x v="1049"/>
    <x v="46"/>
    <x v="2"/>
  </r>
  <r>
    <x v="1083"/>
    <n v="114187.4"/>
    <x v="2"/>
    <x v="1042"/>
    <x v="1050"/>
    <x v="46"/>
    <x v="2"/>
  </r>
  <r>
    <x v="1084"/>
    <n v="93940.69"/>
    <x v="2"/>
    <x v="1043"/>
    <x v="1051"/>
    <x v="46"/>
    <x v="2"/>
  </r>
  <r>
    <x v="1085"/>
    <n v="90213.41"/>
    <x v="2"/>
    <x v="1044"/>
    <x v="1052"/>
    <x v="46"/>
    <x v="2"/>
  </r>
  <r>
    <x v="1086"/>
    <n v="124909.34"/>
    <x v="2"/>
    <x v="1045"/>
    <x v="1053"/>
    <x v="46"/>
    <x v="2"/>
  </r>
  <r>
    <x v="1087"/>
    <n v="76059.600000000006"/>
    <x v="2"/>
    <x v="1046"/>
    <x v="1054"/>
    <x v="46"/>
    <x v="2"/>
  </r>
  <r>
    <x v="1088"/>
    <n v="97060.57"/>
    <x v="2"/>
    <x v="1047"/>
    <x v="1055"/>
    <x v="46"/>
    <x v="2"/>
  </r>
  <r>
    <x v="1089"/>
    <n v="33744.42"/>
    <x v="2"/>
    <x v="1048"/>
    <x v="1056"/>
    <x v="46"/>
    <x v="2"/>
  </r>
  <r>
    <x v="1090"/>
    <n v="194160.34"/>
    <x v="2"/>
    <x v="1049"/>
    <x v="1057"/>
    <x v="46"/>
    <x v="2"/>
  </r>
  <r>
    <x v="1091"/>
    <n v="83682.2"/>
    <x v="2"/>
    <x v="1050"/>
    <x v="1058"/>
    <x v="46"/>
    <x v="2"/>
  </r>
  <r>
    <x v="1092"/>
    <n v="22287.97"/>
    <x v="2"/>
    <x v="1051"/>
    <x v="1059"/>
    <x v="46"/>
    <x v="2"/>
  </r>
  <r>
    <x v="1093"/>
    <n v="28450.31"/>
    <x v="2"/>
    <x v="1052"/>
    <x v="1060"/>
    <x v="46"/>
    <x v="2"/>
  </r>
  <r>
    <x v="1094"/>
    <n v="17711.28"/>
    <x v="2"/>
    <x v="1053"/>
    <x v="1061"/>
    <x v="46"/>
    <x v="2"/>
  </r>
  <r>
    <x v="1095"/>
    <n v="14485.37"/>
    <x v="2"/>
    <x v="1054"/>
    <x v="1062"/>
    <x v="46"/>
    <x v="2"/>
  </r>
  <r>
    <x v="1096"/>
    <n v="6583.07"/>
    <x v="2"/>
    <x v="1055"/>
    <x v="1063"/>
    <x v="46"/>
    <x v="2"/>
  </r>
  <r>
    <x v="1097"/>
    <n v="54753.27"/>
    <x v="2"/>
    <x v="1056"/>
    <x v="1064"/>
    <x v="47"/>
    <x v="2"/>
  </r>
  <r>
    <x v="1098"/>
    <n v="62943.32"/>
    <x v="2"/>
    <x v="1057"/>
    <x v="1065"/>
    <x v="47"/>
    <x v="2"/>
  </r>
  <r>
    <x v="1099"/>
    <n v="47185.279999999999"/>
    <x v="2"/>
    <x v="1058"/>
    <x v="1066"/>
    <x v="47"/>
    <x v="2"/>
  </r>
  <r>
    <x v="1100"/>
    <n v="34735.800000000003"/>
    <x v="2"/>
    <x v="1059"/>
    <x v="1067"/>
    <x v="47"/>
    <x v="2"/>
  </r>
  <r>
    <x v="1101"/>
    <n v="61102.62"/>
    <x v="2"/>
    <x v="1060"/>
    <x v="1068"/>
    <x v="47"/>
    <x v="2"/>
  </r>
  <r>
    <x v="1102"/>
    <n v="85233.84"/>
    <x v="2"/>
    <x v="1061"/>
    <x v="1069"/>
    <x v="47"/>
    <x v="2"/>
  </r>
  <r>
    <x v="1103"/>
    <n v="76261.570000000007"/>
    <x v="2"/>
    <x v="1062"/>
    <x v="1070"/>
    <x v="47"/>
    <x v="2"/>
  </r>
  <r>
    <x v="1104"/>
    <n v="103648.4736"/>
    <x v="2"/>
    <x v="1063"/>
    <x v="1071"/>
    <x v="48"/>
    <x v="2"/>
  </r>
  <r>
    <x v="1105"/>
    <n v="17681.93"/>
    <x v="2"/>
    <x v="1064"/>
    <x v="1072"/>
    <x v="49"/>
    <x v="2"/>
  </r>
  <r>
    <x v="1106"/>
    <n v="29322.42"/>
    <x v="2"/>
    <x v="1065"/>
    <x v="1073"/>
    <x v="49"/>
    <x v="2"/>
  </r>
  <r>
    <x v="1107"/>
    <n v="51960.88"/>
    <x v="2"/>
    <x v="1066"/>
    <x v="1074"/>
    <x v="49"/>
    <x v="2"/>
  </r>
  <r>
    <x v="1108"/>
    <n v="66206.05"/>
    <x v="3"/>
    <x v="1067"/>
    <x v="1075"/>
    <x v="50"/>
    <x v="1"/>
  </r>
  <r>
    <x v="1109"/>
    <n v="43672.83"/>
    <x v="3"/>
    <x v="1068"/>
    <x v="1076"/>
    <x v="50"/>
    <x v="1"/>
  </r>
  <r>
    <x v="1110"/>
    <n v="44009.82"/>
    <x v="3"/>
    <x v="1069"/>
    <x v="1077"/>
    <x v="50"/>
    <x v="1"/>
  </r>
  <r>
    <x v="1111"/>
    <n v="55296.71"/>
    <x v="3"/>
    <x v="1070"/>
    <x v="1078"/>
    <x v="50"/>
    <x v="1"/>
  </r>
  <r>
    <x v="1112"/>
    <n v="57235.83"/>
    <x v="3"/>
    <x v="1071"/>
    <x v="1079"/>
    <x v="50"/>
    <x v="1"/>
  </r>
  <r>
    <x v="1113"/>
    <n v="44014.46"/>
    <x v="3"/>
    <x v="1072"/>
    <x v="1080"/>
    <x v="50"/>
    <x v="1"/>
  </r>
  <r>
    <x v="1114"/>
    <n v="60348.68"/>
    <x v="3"/>
    <x v="1073"/>
    <x v="1081"/>
    <x v="50"/>
    <x v="1"/>
  </r>
  <r>
    <x v="1115"/>
    <n v="56081.79"/>
    <x v="3"/>
    <x v="1074"/>
    <x v="1082"/>
    <x v="50"/>
    <x v="1"/>
  </r>
  <r>
    <x v="1116"/>
    <n v="96677.16"/>
    <x v="3"/>
    <x v="1075"/>
    <x v="1083"/>
    <x v="50"/>
    <x v="1"/>
  </r>
  <r>
    <x v="1117"/>
    <n v="83203.34"/>
    <x v="3"/>
    <x v="1076"/>
    <x v="1084"/>
    <x v="50"/>
    <x v="1"/>
  </r>
  <r>
    <x v="1118"/>
    <n v="60739.79"/>
    <x v="3"/>
    <x v="1077"/>
    <x v="1085"/>
    <x v="50"/>
    <x v="1"/>
  </r>
  <r>
    <x v="1119"/>
    <m/>
    <x v="3"/>
    <x v="1078"/>
    <x v="1086"/>
    <x v="50"/>
    <x v="1"/>
  </r>
  <r>
    <x v="1120"/>
    <n v="11056.75"/>
    <x v="3"/>
    <x v="1079"/>
    <x v="1087"/>
    <x v="50"/>
    <x v="1"/>
  </r>
  <r>
    <x v="1121"/>
    <n v="75553.7"/>
    <x v="3"/>
    <x v="1080"/>
    <x v="1088"/>
    <x v="50"/>
    <x v="1"/>
  </r>
  <r>
    <x v="1122"/>
    <n v="76832.160000000003"/>
    <x v="3"/>
    <x v="1081"/>
    <x v="1089"/>
    <x v="50"/>
    <x v="1"/>
  </r>
  <r>
    <x v="1123"/>
    <n v="57651.65"/>
    <x v="3"/>
    <x v="1082"/>
    <x v="1090"/>
    <x v="50"/>
    <x v="1"/>
  </r>
  <r>
    <x v="1124"/>
    <n v="61332.17"/>
    <x v="3"/>
    <x v="1083"/>
    <x v="1091"/>
    <x v="50"/>
    <x v="1"/>
  </r>
  <r>
    <x v="1125"/>
    <n v="54528.78"/>
    <x v="3"/>
    <x v="1084"/>
    <x v="1092"/>
    <x v="50"/>
    <x v="1"/>
  </r>
  <r>
    <x v="1126"/>
    <n v="98242.17"/>
    <x v="3"/>
    <x v="1085"/>
    <x v="1093"/>
    <x v="50"/>
    <x v="1"/>
  </r>
  <r>
    <x v="1127"/>
    <n v="79882.399999999994"/>
    <x v="3"/>
    <x v="1086"/>
    <x v="1094"/>
    <x v="50"/>
    <x v="1"/>
  </r>
  <r>
    <x v="1128"/>
    <n v="137932.44"/>
    <x v="3"/>
    <x v="1087"/>
    <x v="1095"/>
    <x v="50"/>
    <x v="1"/>
  </r>
  <r>
    <x v="1129"/>
    <n v="64250.49"/>
    <x v="3"/>
    <x v="1088"/>
    <x v="1096"/>
    <x v="50"/>
    <x v="1"/>
  </r>
  <r>
    <x v="1130"/>
    <n v="42289.15"/>
    <x v="3"/>
    <x v="1089"/>
    <x v="1097"/>
    <x v="50"/>
    <x v="1"/>
  </r>
  <r>
    <x v="1131"/>
    <n v="39879.839999999997"/>
    <x v="3"/>
    <x v="1090"/>
    <x v="1098"/>
    <x v="50"/>
    <x v="1"/>
  </r>
  <r>
    <x v="1132"/>
    <n v="77614.17"/>
    <x v="3"/>
    <x v="1091"/>
    <x v="1099"/>
    <x v="50"/>
    <x v="1"/>
  </r>
  <r>
    <x v="1133"/>
    <n v="18921.62"/>
    <x v="3"/>
    <x v="1092"/>
    <x v="1100"/>
    <x v="50"/>
    <x v="1"/>
  </r>
  <r>
    <x v="1134"/>
    <n v="35825.68"/>
    <x v="3"/>
    <x v="1093"/>
    <x v="1101"/>
    <x v="50"/>
    <x v="1"/>
  </r>
  <r>
    <x v="1135"/>
    <n v="46531.82"/>
    <x v="3"/>
    <x v="1094"/>
    <x v="1102"/>
    <x v="50"/>
    <x v="1"/>
  </r>
  <r>
    <x v="1136"/>
    <n v="58625.2"/>
    <x v="3"/>
    <x v="1095"/>
    <x v="1103"/>
    <x v="50"/>
    <x v="1"/>
  </r>
  <r>
    <x v="1137"/>
    <n v="48778.92"/>
    <x v="3"/>
    <x v="1096"/>
    <x v="1104"/>
    <x v="50"/>
    <x v="1"/>
  </r>
  <r>
    <x v="1138"/>
    <n v="111621.61"/>
    <x v="3"/>
    <x v="1097"/>
    <x v="1105"/>
    <x v="50"/>
    <x v="1"/>
  </r>
  <r>
    <x v="1139"/>
    <n v="115319.98"/>
    <x v="3"/>
    <x v="1098"/>
    <x v="1106"/>
    <x v="50"/>
    <x v="1"/>
  </r>
  <r>
    <x v="1140"/>
    <n v="122633.19"/>
    <x v="3"/>
    <x v="1099"/>
    <x v="1107"/>
    <x v="50"/>
    <x v="1"/>
  </r>
  <r>
    <x v="1141"/>
    <n v="81245.87"/>
    <x v="3"/>
    <x v="1100"/>
    <x v="1092"/>
    <x v="50"/>
    <x v="1"/>
  </r>
  <r>
    <x v="1142"/>
    <n v="121253.79"/>
    <x v="3"/>
    <x v="1101"/>
    <x v="1108"/>
    <x v="50"/>
    <x v="1"/>
  </r>
  <r>
    <x v="1143"/>
    <n v="115450.32"/>
    <x v="3"/>
    <x v="1102"/>
    <x v="1109"/>
    <x v="50"/>
    <x v="1"/>
  </r>
  <r>
    <x v="1144"/>
    <n v="32594.79"/>
    <x v="3"/>
    <x v="1103"/>
    <x v="1110"/>
    <x v="50"/>
    <x v="1"/>
  </r>
  <r>
    <x v="1145"/>
    <n v="38226.15"/>
    <x v="3"/>
    <x v="1104"/>
    <x v="1111"/>
    <x v="50"/>
    <x v="1"/>
  </r>
  <r>
    <x v="1146"/>
    <n v="59368.85"/>
    <x v="3"/>
    <x v="1105"/>
    <x v="1112"/>
    <x v="50"/>
    <x v="1"/>
  </r>
  <r>
    <x v="1147"/>
    <n v="65004.47"/>
    <x v="3"/>
    <x v="1106"/>
    <x v="1113"/>
    <x v="50"/>
    <x v="1"/>
  </r>
  <r>
    <x v="1148"/>
    <n v="122407.94"/>
    <x v="3"/>
    <x v="1107"/>
    <x v="1114"/>
    <x v="50"/>
    <x v="1"/>
  </r>
  <r>
    <x v="1149"/>
    <n v="63959.41"/>
    <x v="3"/>
    <x v="1108"/>
    <x v="1115"/>
    <x v="50"/>
    <x v="1"/>
  </r>
  <r>
    <x v="1150"/>
    <n v="58314.39"/>
    <x v="3"/>
    <x v="1109"/>
    <x v="1116"/>
    <x v="50"/>
    <x v="1"/>
  </r>
  <r>
    <x v="1151"/>
    <n v="12060.21"/>
    <x v="3"/>
    <x v="1110"/>
    <x v="1117"/>
    <x v="50"/>
    <x v="1"/>
  </r>
  <r>
    <x v="1152"/>
    <m/>
    <x v="3"/>
    <x v="1111"/>
    <x v="1118"/>
    <x v="50"/>
    <x v="1"/>
  </r>
  <r>
    <x v="1153"/>
    <n v="718.05"/>
    <x v="3"/>
    <x v="1112"/>
    <x v="1119"/>
    <x v="50"/>
    <x v="1"/>
  </r>
  <r>
    <x v="1154"/>
    <n v="9489.24"/>
    <x v="3"/>
    <x v="1113"/>
    <x v="1120"/>
    <x v="50"/>
    <x v="1"/>
  </r>
  <r>
    <x v="1155"/>
    <n v="10081.08"/>
    <x v="3"/>
    <x v="1114"/>
    <x v="1121"/>
    <x v="50"/>
    <x v="1"/>
  </r>
  <r>
    <x v="1156"/>
    <n v="1778.21"/>
    <x v="3"/>
    <x v="1115"/>
    <x v="1122"/>
    <x v="50"/>
    <x v="1"/>
  </r>
  <r>
    <x v="1157"/>
    <n v="11533.4"/>
    <x v="3"/>
    <x v="1116"/>
    <x v="1123"/>
    <x v="50"/>
    <x v="1"/>
  </r>
  <r>
    <x v="1158"/>
    <n v="9940.0300000000007"/>
    <x v="3"/>
    <x v="1117"/>
    <x v="1124"/>
    <x v="50"/>
    <x v="1"/>
  </r>
  <r>
    <x v="1159"/>
    <n v="98717.19"/>
    <x v="3"/>
    <x v="1118"/>
    <x v="1125"/>
    <x v="51"/>
    <x v="1"/>
  </r>
  <r>
    <x v="1160"/>
    <n v="56065.56"/>
    <x v="3"/>
    <x v="1119"/>
    <x v="1126"/>
    <x v="51"/>
    <x v="1"/>
  </r>
  <r>
    <x v="1161"/>
    <n v="18851.87"/>
    <x v="3"/>
    <x v="1120"/>
    <x v="1127"/>
    <x v="51"/>
    <x v="1"/>
  </r>
  <r>
    <x v="1162"/>
    <n v="35093.620000000003"/>
    <x v="3"/>
    <x v="1121"/>
    <x v="1128"/>
    <x v="51"/>
    <x v="1"/>
  </r>
  <r>
    <x v="1163"/>
    <n v="42028.27"/>
    <x v="3"/>
    <x v="1122"/>
    <x v="1129"/>
    <x v="51"/>
    <x v="1"/>
  </r>
  <r>
    <x v="1164"/>
    <n v="42729.18"/>
    <x v="3"/>
    <x v="1123"/>
    <x v="1130"/>
    <x v="51"/>
    <x v="1"/>
  </r>
  <r>
    <x v="1165"/>
    <n v="34126.44"/>
    <x v="3"/>
    <x v="1124"/>
    <x v="1131"/>
    <x v="51"/>
    <x v="1"/>
  </r>
  <r>
    <x v="1166"/>
    <n v="115793.15"/>
    <x v="3"/>
    <x v="1125"/>
    <x v="1132"/>
    <x v="51"/>
    <x v="1"/>
  </r>
  <r>
    <x v="1167"/>
    <n v="43024.106099999997"/>
    <x v="3"/>
    <x v="1126"/>
    <x v="1133"/>
    <x v="51"/>
    <x v="1"/>
  </r>
  <r>
    <x v="1168"/>
    <n v="88923.1"/>
    <x v="3"/>
    <x v="1127"/>
    <x v="1134"/>
    <x v="51"/>
    <x v="1"/>
  </r>
  <r>
    <x v="1169"/>
    <n v="60348.86"/>
    <x v="3"/>
    <x v="1128"/>
    <x v="1135"/>
    <x v="51"/>
    <x v="1"/>
  </r>
  <r>
    <x v="1170"/>
    <n v="33401.519999999997"/>
    <x v="3"/>
    <x v="1129"/>
    <x v="1136"/>
    <x v="51"/>
    <x v="1"/>
  </r>
  <r>
    <x v="1171"/>
    <n v="52416.58"/>
    <x v="3"/>
    <x v="1130"/>
    <x v="1137"/>
    <x v="51"/>
    <x v="1"/>
  </r>
  <r>
    <x v="1172"/>
    <n v="10148.75"/>
    <x v="3"/>
    <x v="1131"/>
    <x v="1138"/>
    <x v="51"/>
    <x v="1"/>
  </r>
  <r>
    <x v="1173"/>
    <n v="16969.64"/>
    <x v="3"/>
    <x v="1132"/>
    <x v="1139"/>
    <x v="51"/>
    <x v="1"/>
  </r>
  <r>
    <x v="1174"/>
    <n v="8807.9599999999991"/>
    <x v="3"/>
    <x v="1133"/>
    <x v="1140"/>
    <x v="51"/>
    <x v="1"/>
  </r>
  <r>
    <x v="1175"/>
    <n v="59847.9"/>
    <x v="3"/>
    <x v="1134"/>
    <x v="1141"/>
    <x v="52"/>
    <x v="1"/>
  </r>
  <r>
    <x v="1176"/>
    <n v="62174.59"/>
    <x v="3"/>
    <x v="1135"/>
    <x v="1142"/>
    <x v="52"/>
    <x v="1"/>
  </r>
  <r>
    <x v="1177"/>
    <n v="51952.39"/>
    <x v="3"/>
    <x v="1136"/>
    <x v="1143"/>
    <x v="52"/>
    <x v="1"/>
  </r>
  <r>
    <x v="1178"/>
    <n v="88024.39"/>
    <x v="3"/>
    <x v="1137"/>
    <x v="1144"/>
    <x v="52"/>
    <x v="1"/>
  </r>
  <r>
    <x v="1179"/>
    <n v="89686.11"/>
    <x v="3"/>
    <x v="1138"/>
    <x v="1145"/>
    <x v="52"/>
    <x v="1"/>
  </r>
  <r>
    <x v="1180"/>
    <n v="82790.67"/>
    <x v="3"/>
    <x v="1139"/>
    <x v="1146"/>
    <x v="52"/>
    <x v="1"/>
  </r>
  <r>
    <x v="1181"/>
    <n v="78954.289999999994"/>
    <x v="3"/>
    <x v="1140"/>
    <x v="1147"/>
    <x v="52"/>
    <x v="1"/>
  </r>
  <r>
    <x v="1182"/>
    <n v="78312.399999999994"/>
    <x v="3"/>
    <x v="1141"/>
    <x v="1148"/>
    <x v="52"/>
    <x v="1"/>
  </r>
  <r>
    <x v="1183"/>
    <n v="26597.19"/>
    <x v="3"/>
    <x v="1142"/>
    <x v="1149"/>
    <x v="52"/>
    <x v="1"/>
  </r>
  <r>
    <x v="1184"/>
    <n v="30360.06"/>
    <x v="3"/>
    <x v="1143"/>
    <x v="1150"/>
    <x v="52"/>
    <x v="1"/>
  </r>
  <r>
    <x v="1185"/>
    <n v="48708.91"/>
    <x v="3"/>
    <x v="1144"/>
    <x v="1151"/>
    <x v="52"/>
    <x v="1"/>
  </r>
  <r>
    <x v="1186"/>
    <n v="39018.910000000003"/>
    <x v="3"/>
    <x v="1145"/>
    <x v="1152"/>
    <x v="52"/>
    <x v="1"/>
  </r>
  <r>
    <x v="1187"/>
    <n v="34765.760000000002"/>
    <x v="3"/>
    <x v="1146"/>
    <x v="1153"/>
    <x v="52"/>
    <x v="1"/>
  </r>
  <r>
    <x v="1188"/>
    <n v="46544.82"/>
    <x v="3"/>
    <x v="1147"/>
    <x v="1154"/>
    <x v="52"/>
    <x v="1"/>
  </r>
  <r>
    <x v="1189"/>
    <n v="123614.58"/>
    <x v="3"/>
    <x v="1148"/>
    <x v="1155"/>
    <x v="52"/>
    <x v="1"/>
  </r>
  <r>
    <x v="1190"/>
    <n v="57021.21"/>
    <x v="3"/>
    <x v="1149"/>
    <x v="1156"/>
    <x v="52"/>
    <x v="1"/>
  </r>
  <r>
    <x v="1191"/>
    <n v="76025.83"/>
    <x v="3"/>
    <x v="1150"/>
    <x v="1157"/>
    <x v="52"/>
    <x v="1"/>
  </r>
  <r>
    <x v="1192"/>
    <n v="43438.44"/>
    <x v="3"/>
    <x v="1151"/>
    <x v="1158"/>
    <x v="52"/>
    <x v="1"/>
  </r>
  <r>
    <x v="1193"/>
    <n v="10747.21"/>
    <x v="3"/>
    <x v="1152"/>
    <x v="1159"/>
    <x v="52"/>
    <x v="1"/>
  </r>
  <r>
    <x v="1194"/>
    <n v="16599.79"/>
    <x v="3"/>
    <x v="1153"/>
    <x v="1160"/>
    <x v="52"/>
    <x v="1"/>
  </r>
  <r>
    <x v="1195"/>
    <m/>
    <x v="3"/>
    <x v="1154"/>
    <x v="1161"/>
    <x v="52"/>
    <x v="1"/>
  </r>
  <r>
    <x v="1196"/>
    <n v="57481"/>
    <x v="3"/>
    <x v="1155"/>
    <x v="1162"/>
    <x v="53"/>
    <x v="1"/>
  </r>
  <r>
    <x v="1197"/>
    <n v="47905.8"/>
    <x v="3"/>
    <x v="1156"/>
    <x v="1163"/>
    <x v="53"/>
    <x v="1"/>
  </r>
  <r>
    <x v="1198"/>
    <n v="40609.94"/>
    <x v="3"/>
    <x v="1157"/>
    <x v="1164"/>
    <x v="53"/>
    <x v="1"/>
  </r>
  <r>
    <x v="1199"/>
    <n v="77313.399999999994"/>
    <x v="3"/>
    <x v="1158"/>
    <x v="1165"/>
    <x v="53"/>
    <x v="1"/>
  </r>
  <r>
    <x v="1200"/>
    <n v="75627.5"/>
    <x v="3"/>
    <x v="1159"/>
    <x v="1166"/>
    <x v="53"/>
    <x v="1"/>
  </r>
  <r>
    <x v="1201"/>
    <n v="118251.72"/>
    <x v="3"/>
    <x v="1160"/>
    <x v="1167"/>
    <x v="53"/>
    <x v="1"/>
  </r>
  <r>
    <x v="1202"/>
    <n v="75264.02"/>
    <x v="3"/>
    <x v="1161"/>
    <x v="1168"/>
    <x v="53"/>
    <x v="1"/>
  </r>
  <r>
    <x v="1203"/>
    <n v="58077.83"/>
    <x v="3"/>
    <x v="1162"/>
    <x v="1169"/>
    <x v="53"/>
    <x v="1"/>
  </r>
  <r>
    <x v="1204"/>
    <n v="105160.89"/>
    <x v="3"/>
    <x v="1163"/>
    <x v="1170"/>
    <x v="54"/>
    <x v="1"/>
  </r>
  <r>
    <x v="1205"/>
    <n v="81965.820000000007"/>
    <x v="3"/>
    <x v="1164"/>
    <x v="1171"/>
    <x v="54"/>
    <x v="1"/>
  </r>
  <r>
    <x v="1206"/>
    <n v="73572.45"/>
    <x v="3"/>
    <x v="1165"/>
    <x v="1172"/>
    <x v="54"/>
    <x v="1"/>
  </r>
  <r>
    <x v="1207"/>
    <n v="123004.49"/>
    <x v="3"/>
    <x v="1166"/>
    <x v="1173"/>
    <x v="54"/>
    <x v="1"/>
  </r>
  <r>
    <x v="1208"/>
    <n v="61066.57"/>
    <x v="3"/>
    <x v="1167"/>
    <x v="1174"/>
    <x v="54"/>
    <x v="1"/>
  </r>
  <r>
    <x v="1209"/>
    <n v="111872.87"/>
    <x v="3"/>
    <x v="1168"/>
    <x v="1175"/>
    <x v="54"/>
    <x v="1"/>
  </r>
  <r>
    <x v="1210"/>
    <n v="8894.1299999999992"/>
    <x v="3"/>
    <x v="1169"/>
    <x v="1176"/>
    <x v="54"/>
    <x v="1"/>
  </r>
  <r>
    <x v="1211"/>
    <n v="36053.82"/>
    <x v="3"/>
    <x v="1170"/>
    <x v="1177"/>
    <x v="55"/>
    <x v="1"/>
  </r>
  <r>
    <x v="1212"/>
    <n v="49410.06"/>
    <x v="3"/>
    <x v="1171"/>
    <x v="1178"/>
    <x v="55"/>
    <x v="1"/>
  </r>
  <r>
    <x v="1213"/>
    <n v="68401.960000000006"/>
    <x v="3"/>
    <x v="1172"/>
    <x v="1179"/>
    <x v="55"/>
    <x v="1"/>
  </r>
  <r>
    <x v="1214"/>
    <n v="59877.68"/>
    <x v="3"/>
    <x v="1173"/>
    <x v="1180"/>
    <x v="55"/>
    <x v="1"/>
  </r>
  <r>
    <x v="1215"/>
    <n v="46466.86"/>
    <x v="3"/>
    <x v="1174"/>
    <x v="1181"/>
    <x v="55"/>
    <x v="1"/>
  </r>
  <r>
    <x v="1216"/>
    <n v="67443.12"/>
    <x v="3"/>
    <x v="1175"/>
    <x v="1182"/>
    <x v="55"/>
    <x v="1"/>
  </r>
  <r>
    <x v="1217"/>
    <n v="36104.36"/>
    <x v="3"/>
    <x v="1170"/>
    <x v="1183"/>
    <x v="55"/>
    <x v="1"/>
  </r>
  <r>
    <x v="1218"/>
    <n v="108205.84"/>
    <x v="3"/>
    <x v="1176"/>
    <x v="1184"/>
    <x v="55"/>
    <x v="1"/>
  </r>
  <r>
    <x v="1219"/>
    <n v="101927.59"/>
    <x v="3"/>
    <x v="1177"/>
    <x v="1185"/>
    <x v="55"/>
    <x v="1"/>
  </r>
  <r>
    <x v="1220"/>
    <n v="29297.16"/>
    <x v="3"/>
    <x v="1178"/>
    <x v="1186"/>
    <x v="55"/>
    <x v="1"/>
  </r>
  <r>
    <x v="1221"/>
    <n v="53763.75"/>
    <x v="3"/>
    <x v="1179"/>
    <x v="1187"/>
    <x v="55"/>
    <x v="1"/>
  </r>
  <r>
    <x v="1222"/>
    <m/>
    <x v="3"/>
    <x v="1180"/>
    <x v="1188"/>
    <x v="55"/>
    <x v="1"/>
  </r>
  <r>
    <x v="1223"/>
    <n v="76547.88"/>
    <x v="3"/>
    <x v="1181"/>
    <x v="1189"/>
    <x v="56"/>
    <x v="1"/>
  </r>
  <r>
    <x v="1224"/>
    <n v="64080.54"/>
    <x v="3"/>
    <x v="1182"/>
    <x v="1190"/>
    <x v="56"/>
    <x v="1"/>
  </r>
  <r>
    <x v="1225"/>
    <n v="81838.61"/>
    <x v="3"/>
    <x v="1183"/>
    <x v="1191"/>
    <x v="56"/>
    <x v="1"/>
  </r>
  <r>
    <x v="1226"/>
    <n v="61606.52"/>
    <x v="3"/>
    <x v="1184"/>
    <x v="1192"/>
    <x v="57"/>
    <x v="1"/>
  </r>
  <r>
    <x v="1227"/>
    <n v="85325.52"/>
    <x v="3"/>
    <x v="1185"/>
    <x v="1193"/>
    <x v="57"/>
    <x v="1"/>
  </r>
  <r>
    <x v="1228"/>
    <n v="91112.34"/>
    <x v="3"/>
    <x v="1186"/>
    <x v="1194"/>
    <x v="57"/>
    <x v="1"/>
  </r>
  <r>
    <x v="1229"/>
    <m/>
    <x v="4"/>
    <x v="1187"/>
    <x v="1195"/>
    <x v="58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9">
  <r>
    <s v="Cloudline Provisions 83056 :  7969 WALERGA RD, ANTELOPE, CA"/>
    <n v="72882.95"/>
    <x v="0"/>
    <n v="38.714034730000002"/>
    <n v="-121.3647156"/>
    <x v="0"/>
    <s v="CA"/>
  </r>
  <r>
    <s v="Cloudline Provisions 83906 :  7670 WATT AVE, ANTELOPE, CA"/>
    <n v="102161.62"/>
    <x v="0"/>
    <n v="38.706619850000003"/>
    <n v="-121.3827888"/>
    <x v="0"/>
    <s v="CA"/>
  </r>
  <r>
    <s v="Cactus &amp; Clover 519 :  7901 WALERGA RD, ANTELOPE, CA"/>
    <n v="66148.350000000006"/>
    <x v="0"/>
    <n v="38.71203311"/>
    <n v="-121.3645223"/>
    <x v="0"/>
    <s v="CA"/>
  </r>
  <r>
    <s v="Willow &amp; Wren Apothecary 6086 :  4300 ELEVERTA RD, ANTELOPE, CA"/>
    <n v="4169.4799999999996"/>
    <x v="0"/>
    <n v="38.713129029999997"/>
    <n v="-121.3631465"/>
    <x v="0"/>
    <s v="CA"/>
  </r>
  <r>
    <s v="Mr Fantastic's Emporium 23010 :  5101 MARCONI AVE, CARMICHAEL, CA"/>
    <n v="58705.04"/>
    <x v="0"/>
    <n v="38.617530909999999"/>
    <n v="-121.3451551"/>
    <x v="1"/>
    <s v="CA"/>
  </r>
  <r>
    <s v="Cloudline Provisions 358 :  5150 MANZANITA AVE, CARMICHAEL, CA"/>
    <n v="27651.599999999999"/>
    <x v="0"/>
    <n v="38.6601"/>
    <n v="-121.3272144"/>
    <x v="1"/>
    <s v="CA"/>
  </r>
  <r>
    <s v="Cloudline Provisions 5337 :  6337 FAIR OAKS BLVD, CARMICHAEL, CA"/>
    <n v="45741.82"/>
    <x v="0"/>
    <n v="38.61598772"/>
    <n v="-121.3287804"/>
    <x v="1"/>
    <s v="CA"/>
  </r>
  <r>
    <s v="Cloudline Provisions 82688 :  4101 MANZANITA AVE, CARMICHAEL, CA"/>
    <n v="45438.5"/>
    <x v="0"/>
    <n v="38.639195710000003"/>
    <n v="-121.3282104"/>
    <x v="1"/>
    <s v="CA"/>
  </r>
  <r>
    <s v="Cactus &amp; Clover 511 :  4005 MANZANITA AVE, CARMICHAEL, CA"/>
    <n v="37934.07"/>
    <x v="0"/>
    <n v="38.63798276"/>
    <n v="-121.32824340000001"/>
    <x v="1"/>
    <s v="CA"/>
  </r>
  <r>
    <s v="Gusty Grove 485 :  4708 MANZANITA AVE, CARMICHAEL, CA"/>
    <n v="52203.83"/>
    <x v="0"/>
    <n v="38.650142279999997"/>
    <n v="-121.32755950000001"/>
    <x v="1"/>
    <s v="CA"/>
  </r>
  <r>
    <s v="Flicker’s Finds 431 :  5159 FAIR OAKS BLVD, CARMICHAEL, CA"/>
    <n v="40987.79"/>
    <x v="0"/>
    <n v="38.597314789999999"/>
    <n v="-121.3443094"/>
    <x v="1"/>
    <s v="CA"/>
  </r>
  <r>
    <s v="Willow &amp; Wren Apothecary 6044 :  4010 MANZANITA AVE, CARMICHAEL, CA"/>
    <n v="2311.8200000000002"/>
    <x v="0"/>
    <n v="38.637231800000002"/>
    <n v="-121.3277444"/>
    <x v="1"/>
    <s v="CA"/>
  </r>
  <r>
    <s v="Haven Hearth Goods 1560 :  4040 MANZANITA AVE, CARMICHAEL, CA"/>
    <n v="71172.399999999994"/>
    <x v="0"/>
    <n v="38.638042640000002"/>
    <n v="-121.3277197"/>
    <x v="1"/>
    <s v="CA"/>
  </r>
  <r>
    <s v="Pebble &amp; Pine Pharmacy 6658 :  6325 FAIR OAKS BLVD, CARMICHAEL, CA"/>
    <n v="4200.49"/>
    <x v="0"/>
    <n v="38.615941800000002"/>
    <n v="-121.328819"/>
    <x v="1"/>
    <s v="CA"/>
  </r>
  <r>
    <s v="Mr Fantastic's Emporium 14060 :  6401 ANTELOPE RD, CITRUS HEIGHTS, CA"/>
    <n v="66570.63"/>
    <x v="0"/>
    <n v="38.70756471"/>
    <n v="-121.31474660000001"/>
    <x v="2"/>
    <s v="CA"/>
  </r>
  <r>
    <s v="Mr Fantastic's Emporium 19156 :  6882 SUNRISE BLVD, CITRUS HEIGHTS, CA"/>
    <n v="45729.01"/>
    <x v="0"/>
    <n v="38.691407650000002"/>
    <n v="-121.2713543"/>
    <x v="2"/>
    <s v="CA"/>
  </r>
  <r>
    <s v="Mr Fantastic's Emporium 22979 :  6701 AUBURN BLVD, CITRUS HEIGHTS, CA"/>
    <n v="65555.850000000006"/>
    <x v="0"/>
    <n v="38.687832999999998"/>
    <n v="-121.30772949999999"/>
    <x v="2"/>
    <s v="CA"/>
  </r>
  <r>
    <s v="Mr Fantastic's Emporium 24815 :  6180 AUBURN BLVD, CITRUS HEIGHTS, CA"/>
    <n v="50253.23"/>
    <x v="0"/>
    <n v="38.678498329999996"/>
    <n v="-121.3211115"/>
    <x v="2"/>
    <s v="CA"/>
  </r>
  <r>
    <s v="Mr Fantastic's Emporium 34575 :  7598 GREENBACK, CITRUS HEIGHTS, CA"/>
    <n v="47354.720000000001"/>
    <x v="0"/>
    <n v="38.678062869999998"/>
    <n v="-121.2847385"/>
    <x v="2"/>
    <s v="CA"/>
  </r>
  <r>
    <s v="Mr Fantastic's Emporium 34677 :  6035 SAN JUAN, CITRUS HEIGHTS, CA"/>
    <n v="50143.44"/>
    <x v="0"/>
    <n v="38.675997070000001"/>
    <n v="-121.29264619999999"/>
    <x v="2"/>
    <s v="CA"/>
  </r>
  <r>
    <s v="Cloudline Provisions 6159 :  6140 GREENBACK LN, CITRUS HEIGHTS, CA"/>
    <n v="34695.53"/>
    <x v="0"/>
    <n v="38.679059270000003"/>
    <n v="-121.3211105"/>
    <x v="2"/>
    <s v="CA"/>
  </r>
  <r>
    <s v="Cloudline Provisions 83402 :  5440 SAN JUAN AVE, CITRUS HEIGHTS, CA"/>
    <n v="65782.77"/>
    <x v="0"/>
    <n v="38.664865540000001"/>
    <n v="-121.2921149"/>
    <x v="2"/>
    <s v="CA"/>
  </r>
  <r>
    <s v="Penny’s Pantry 550167 :  7901 MADISON AVE, CITRUS HEIGHTS, CA"/>
    <n v="38398.910000000003"/>
    <x v="0"/>
    <n v="38.664147100000001"/>
    <n v="-121.2719936"/>
    <x v="2"/>
    <s v="CA"/>
  </r>
  <r>
    <s v="Gusty Grove 420 :  6982 SUNRISE BLVD, CITRUS HEIGHTS, CA"/>
    <n v="42729.88"/>
    <x v="0"/>
    <n v="38.692966509999998"/>
    <n v="-121.27137500000001"/>
    <x v="2"/>
    <s v="CA"/>
  </r>
  <r>
    <s v="Flicker’s Finds 239 :  7847 LICHEN DR, CITRUS HEIGHTS, CA"/>
    <n v="61003.5"/>
    <x v="0"/>
    <n v="38.708533039999999"/>
    <n v="-121.3126326"/>
    <x v="2"/>
    <s v="CA"/>
  </r>
  <r>
    <s v="Haven Hearth Goods 1531 :  7301 GREENBACK LN, CITRUS HEIGHTS, CA"/>
    <n v="59581.16"/>
    <x v="0"/>
    <n v="38.678477110000003"/>
    <n v="-121.2944428"/>
    <x v="2"/>
    <s v="CA"/>
  </r>
  <r>
    <s v="Maplewood Mercantile 1121 :  5837 SUNRISE BLVD, CITRUS HEIGHTS, CA"/>
    <n v="105637.8"/>
    <x v="0"/>
    <n v="38.671858810000003"/>
    <n v="-121.2717596"/>
    <x v="2"/>
    <s v="CA"/>
  </r>
  <r>
    <s v="Pebble &amp; Pine Pharmacy 5152 :  6144 DEWEY DR, CITRUS HEIGHTS, CA"/>
    <n v="24000.07"/>
    <x v="0"/>
    <n v="38.677500000000002"/>
    <n v="-121.3101443"/>
    <x v="2"/>
    <s v="CA"/>
  </r>
  <r>
    <s v="Pebble &amp; Pine Pharmacy 5774 :  7787 SUNRISE BLVD, CITRUS HEIGHTS, CA"/>
    <n v="13980.16"/>
    <x v="0"/>
    <n v="38.706910000000001"/>
    <n v="-121.2720157"/>
    <x v="2"/>
    <s v="CA"/>
  </r>
  <r>
    <s v="Pebble &amp; Pine Pharmacy 7191 :  6199 SUNRISE BLVD, CITRUS HEIGHTS, CA"/>
    <m/>
    <x v="0"/>
    <n v="38.677340000000001"/>
    <n v="-121.2718057"/>
    <x v="2"/>
    <s v="CA"/>
  </r>
  <r>
    <s v="Mr Fantastic's Emporium 38399 :  9146 HARBOUR POINT DR, ELK GROVE, CA"/>
    <n v="32524.87"/>
    <x v="0"/>
    <n v="38.425863870000001"/>
    <n v="-121.48081809999999"/>
    <x v="3"/>
    <s v="CA"/>
  </r>
  <r>
    <s v="Mr Fantastic's Emporium 39573 :  8475 ELK GROVE BLVD, ELK GROVE, CA"/>
    <n v="34119.61"/>
    <x v="0"/>
    <n v="38.409238989999999"/>
    <n v="-121.390356"/>
    <x v="3"/>
    <s v="CA"/>
  </r>
  <r>
    <s v="Mr Fantastic's Emporium 41227 :  8100 SHELDON RD, ELK GROVE, CA"/>
    <n v="67661.460000000006"/>
    <x v="0"/>
    <n v="38.437862869999996"/>
    <n v="-121.408338"/>
    <x v="3"/>
    <s v="CA"/>
  </r>
  <r>
    <s v="Mr Fantastic's Emporium 41228 :  8344 POWER INN RD, ELK GROVE, CA"/>
    <n v="56041.66"/>
    <x v="0"/>
    <n v="38.45452942"/>
    <n v="-121.4057723"/>
    <x v="3"/>
    <s v="CA"/>
  </r>
  <r>
    <s v="Cloudline Provisions 7192 :  8798 CALVINE RD, ELK GROVE, CA"/>
    <n v="7051.6"/>
    <x v="0"/>
    <s v="N/A"/>
    <s v="N/A"/>
    <x v="3"/>
    <s v="CA"/>
  </r>
  <r>
    <s v="Cloudline Provisions 82356 :  9590 HARBOR PT, ELK GROVE, CA"/>
    <n v="80337.73"/>
    <x v="0"/>
    <n v="38.428660000000001"/>
    <n v="-121.44399"/>
    <x v="3"/>
    <s v="CA"/>
  </r>
  <r>
    <s v="Cloudline Provisions 82959 :  9215 ELK GRV, ELK GROVE, CA"/>
    <n v="47156.88"/>
    <x v="0"/>
    <n v="38.43779"/>
    <n v="-121.29986"/>
    <x v="3"/>
    <s v="CA"/>
  </r>
  <r>
    <s v="Cloudline Provisions 83008 :  10421 GRANTLINE RD, ELK GROVE, CA"/>
    <n v="145562.99"/>
    <x v="0"/>
    <n v="38.380915369999997"/>
    <n v="-121.35420000000001"/>
    <x v="3"/>
    <s v="CA"/>
  </r>
  <r>
    <s v="Cloudline Provisions 83451 :  8361 SHELDON RD, ELK GROVE, CA"/>
    <n v="66556.34"/>
    <x v="0"/>
    <n v="38.43823098"/>
    <n v="-121.3964849"/>
    <x v="3"/>
    <s v="CA"/>
  </r>
  <r>
    <s v="Cloudline Provisions 83829 :  10057 BRUCEVILLLE RD, ELK GROVE, CA"/>
    <n v="80448.23"/>
    <x v="0"/>
    <n v="38.390783839999997"/>
    <n v="-121.4173246"/>
    <x v="3"/>
    <s v="CA"/>
  </r>
  <r>
    <s v="Cloudline Provisions 83830 :  8500 ELK GROVE BLVD, ELK GROVE, CA"/>
    <n v="12314.61"/>
    <x v="0"/>
    <n v="38.408842919999998"/>
    <n v="-121.3894653"/>
    <x v="3"/>
    <s v="CA"/>
  </r>
  <r>
    <s v="Cactus &amp; Clover 516 :  5100 LAGUNA BLVD, ELK GROVE, CA"/>
    <n v="31578"/>
    <x v="0"/>
    <n v="38.422992270000002"/>
    <n v="-121.44614489999999"/>
    <x v="3"/>
    <s v="CA"/>
  </r>
  <r>
    <s v="Cactus &amp; Clover 523 :  8425 ELK GROVE FLORIN RD, ELK GROVE, CA"/>
    <n v="36540.230000000003"/>
    <x v="0"/>
    <n v="38.450649239999997"/>
    <n v="-121.37144410000001"/>
    <x v="3"/>
    <s v="CA"/>
  </r>
  <r>
    <s v="Cactus &amp; Clover 525 :  9435 ELK GROVE BLVD, ELK GROVE, CA"/>
    <n v="50864.54"/>
    <x v="0"/>
    <n v="38.409227129999998"/>
    <n v="-121.35177"/>
    <x v="3"/>
    <s v="CA"/>
  </r>
  <r>
    <s v="Flicker’s Finds 443 :  4900 ELK GROVE BLVD, ELK GROVE, CA"/>
    <n v="43992.77"/>
    <x v="0"/>
    <n v="38.408472869999997"/>
    <n v="-121.44862000000001"/>
    <x v="3"/>
    <s v="CA"/>
  </r>
  <r>
    <s v="Haven Hearth Goods 1647 :  5021 LAGUNA BLVD, ELK GROVE, CA"/>
    <n v="49564.06"/>
    <x v="0"/>
    <n v="38.42341425"/>
    <n v="-121.4474731"/>
    <x v="3"/>
    <s v="CA"/>
  </r>
  <r>
    <s v="Haven Hearth Goods 94 :  10050 BRUCEVILLE RD, ELK GROVE, CA"/>
    <n v="44150.86"/>
    <x v="0"/>
    <s v="N/A"/>
    <s v="N/A"/>
    <x v="3"/>
    <s v="CA"/>
  </r>
  <r>
    <s v="Dune &amp; Drift Market 605 :  9160 ELK GROVE FLORIN RD, ELK GROVE, CA"/>
    <n v="41747.21"/>
    <x v="0"/>
    <n v="38.42501"/>
    <n v="-121.37184499999999"/>
    <x v="3"/>
    <s v="CA"/>
  </r>
  <r>
    <s v="Maplewood Mercantile 1025 :  7505 LAGUNA BLVD, ELK GROVE, CA"/>
    <n v="117734.01"/>
    <x v="0"/>
    <n v="38.423673360000002"/>
    <n v="-121.4160347"/>
    <x v="3"/>
    <s v="CA"/>
  </r>
  <r>
    <s v="Pebble &amp; Pine Pharmacy 5499 :  7299 LAGUNA BLVD, ELK GROVE, CA"/>
    <n v="37266.82"/>
    <x v="0"/>
    <n v="38.42366123"/>
    <n v="-121.41862570000001"/>
    <x v="3"/>
    <s v="CA"/>
  </r>
  <r>
    <s v="Pebble &amp; Pine Pharmacy 6142 :  9200 ELK GROVE FLORIN RD, ELK GROVE, CA"/>
    <n v="14256.47"/>
    <x v="0"/>
    <n v="38.423400229999999"/>
    <n v="-121.37185460000001"/>
    <x v="3"/>
    <s v="CA"/>
  </r>
  <r>
    <s v="Pebble &amp; Pine Pharmacy 6419 :  9180 FRANKLIN BLVD, ELK GROVE, CA"/>
    <n v="24592.07"/>
    <x v="0"/>
    <n v="38.423280099999999"/>
    <n v="-121.44822310000001"/>
    <x v="3"/>
    <s v="CA"/>
  </r>
  <r>
    <s v="Pebble &amp; Pine Pharmacy 6612 :  8400 ELK GROVE FLORIN RD, ELK GROVE, CA"/>
    <n v="14373.95"/>
    <x v="0"/>
    <n v="38.452518980000001"/>
    <n v="-121.3719451"/>
    <x v="3"/>
    <s v="CA"/>
  </r>
  <r>
    <s v="Mr Fantastic's Emporium 18328 :  8500 MADISON AVE, FAIR OAKS, CA"/>
    <n v="71640.820000000007"/>
    <x v="0"/>
    <n v="38.664092869999998"/>
    <n v="-121.24388999999999"/>
    <x v="4"/>
    <s v="CA"/>
  </r>
  <r>
    <s v="Cloudline Provisions 2126 :  4400 SUNRISE BLVD, FAIR OAKS, CA"/>
    <n v="33870.01"/>
    <x v="0"/>
    <n v="38.645088610000002"/>
    <n v="-121.271725"/>
    <x v="4"/>
    <s v="CA"/>
  </r>
  <r>
    <s v="Flicker’s Finds 417 :  4840 SAN JUAN AVE, FAIR OAKS, CA"/>
    <n v="48368.2"/>
    <x v="0"/>
    <n v="38.654029999999999"/>
    <n v="-121.2919144"/>
    <x v="4"/>
    <s v="CA"/>
  </r>
  <r>
    <s v="Flicker’s Finds 421 :  8870 MADISON AVE, FAIR OAKS, CA"/>
    <n v="45323.77"/>
    <x v="0"/>
    <n v="38.66374287"/>
    <n v="-121.22684"/>
    <x v="4"/>
    <s v="CA"/>
  </r>
  <r>
    <s v="Haven Hearth Goods 1846 :  8925 MADISON AVE, FAIR OAKS, CA"/>
    <n v="65109.25"/>
    <x v="0"/>
    <n v="38.664233950000003"/>
    <n v="-121.2233925"/>
    <x v="4"/>
    <s v="CA"/>
  </r>
  <r>
    <s v="Haven Hearth Goods 1895 :  5450 DEWEY DR, FAIR OAKS, CA"/>
    <n v="99284.71"/>
    <x v="0"/>
    <n v="38.665099259999998"/>
    <n v="-121.30839229999999"/>
    <x v="4"/>
    <s v="CA"/>
  </r>
  <r>
    <s v="Cloudline Provisions 82173 :  13401 FOLSOM BLVD, FOLSOM, CA"/>
    <n v="46558.85"/>
    <x v="0"/>
    <n v="38.65687483"/>
    <n v="-121.1826097"/>
    <x v="5"/>
    <s v="CA"/>
  </r>
  <r>
    <s v="Cloudline Provisions 83962 :  301 E BIDWELL ST, FOLSOM, CA"/>
    <n v="23301.09"/>
    <x v="0"/>
    <n v="38.674182870000003"/>
    <n v="-121.16909"/>
    <x v="5"/>
    <s v="CA"/>
  </r>
  <r>
    <s v="Cactus &amp; Clover 524 :  2760 E BIDWELL ST, FOLSOM, CA"/>
    <n v="40248.639999999999"/>
    <x v="0"/>
    <n v="38.654675730000001"/>
    <n v="-121.122927"/>
    <x v="5"/>
    <s v="CA"/>
  </r>
  <r>
    <s v="Flicker’s Finds 409 :  715 E BIDWELL ST, FOLSOM, CA"/>
    <n v="20846.97"/>
    <x v="0"/>
    <n v="38.670999479999999"/>
    <n v="-121.1591195"/>
    <x v="5"/>
    <s v="CA"/>
  </r>
  <r>
    <s v="Flicker’s Finds 410 :  25025 BLUE RAVINE RD, FOLSOM, CA"/>
    <n v="42516.15"/>
    <x v="0"/>
    <n v="38.689776770000002"/>
    <n v="-121.1236239"/>
    <x v="5"/>
    <s v="CA"/>
  </r>
  <r>
    <s v="Willow &amp; Wren Apothecary 6266 :  526 E BIDWELL ST, FOLSOM, CA"/>
    <n v="2151.1"/>
    <x v="0"/>
    <n v="38.673445299999997"/>
    <n v="-121.1651146"/>
    <x v="5"/>
    <s v="CA"/>
  </r>
  <r>
    <s v="Haven Hearth Goods 1794 :  1850 PRAIRIE CITY RD, FOLSOM, CA"/>
    <n v="55748.4"/>
    <x v="0"/>
    <n v="38.650968749999997"/>
    <n v="-121.1646999"/>
    <x v="5"/>
    <s v="CA"/>
  </r>
  <r>
    <s v="Maplewood Mercantile 1098 :  430 BLUE RAVINE RD, FOLSOM, CA"/>
    <n v="74237.34"/>
    <x v="0"/>
    <n v="38.670947320000003"/>
    <n v="-121.1519902"/>
    <x v="5"/>
    <s v="CA"/>
  </r>
  <r>
    <s v="Pebble &amp; Pine Pharmacy 6417 :  1100 RILEY ST, FOLSOM, CA"/>
    <m/>
    <x v="0"/>
    <n v="38.670631020000002"/>
    <n v="-121.16512969999999"/>
    <x v="5"/>
    <s v="CA"/>
  </r>
  <r>
    <s v="Pebble &amp; Pine Pharmacy 9048 :  2595 E BIDWELL ST, FOLSOM, CA"/>
    <n v="11999.01"/>
    <x v="0"/>
    <n v="38.65874797"/>
    <n v="-121.12943129999999"/>
    <x v="5"/>
    <s v="CA"/>
  </r>
  <r>
    <s v="Mr Fantastic's Emporium 39576 :  301 PINE ST, GALT, CA"/>
    <n v="49500.33"/>
    <x v="0"/>
    <n v="38.253288830000002"/>
    <n v="-121.2950408"/>
    <x v="6"/>
    <s v="CA"/>
  </r>
  <r>
    <s v="Cloudline Provisions 83815 :  12821 E STOCKTON BLVD, GALT, CA"/>
    <n v="146922.21"/>
    <x v="0"/>
    <n v="38.289918540000002"/>
    <n v="-121.3104361"/>
    <x v="6"/>
    <s v="CA"/>
  </r>
  <r>
    <s v="Penny’s Pantry 550117 :  602 4TH ST, GALT, CA"/>
    <n v="42413.23"/>
    <x v="0"/>
    <n v="38.24907529"/>
    <n v="-121.3045705"/>
    <x v="6"/>
    <s v="CA"/>
  </r>
  <r>
    <s v="Flicker’s Finds 302 :  10430 TWIN CITIES RD, GALT, CA"/>
    <n v="35954.97"/>
    <x v="0"/>
    <n v="38.29094216"/>
    <n v="-121.3070163"/>
    <x v="6"/>
    <s v="CA"/>
  </r>
  <r>
    <s v="Dune &amp; Drift Market 72 :  1059 C ST, GALT, CA"/>
    <n v="60762.39"/>
    <x v="0"/>
    <n v="38.253267119999997"/>
    <n v="-121.2971019"/>
    <x v="6"/>
    <s v="CA"/>
  </r>
  <r>
    <s v="Mr Fantastic's Emporium 39207 :  2401 SUNRISE BLVD, GOLD RIVER, CA"/>
    <n v="50438.06"/>
    <x v="0"/>
    <n v="38.615452329999997"/>
    <n v="-121.2688112"/>
    <x v="7"/>
    <s v="CA"/>
  </r>
  <r>
    <s v="Cloudline Provisions 83041 :  2295 SUNRISE BLVD, GOLD RIVER, CA"/>
    <n v="70345.990000000005"/>
    <x v="0"/>
    <n v="38.618716710000001"/>
    <n v="-121.26776529999999"/>
    <x v="7"/>
    <s v="CA"/>
  </r>
  <r>
    <s v="Cactus &amp; Clover 522 :  2155 GOLDEN CENTRE LN, GOLD RIVER, CA"/>
    <n v="32717.4"/>
    <x v="0"/>
    <n v="38.625669139999999"/>
    <n v="-121.2625843"/>
    <x v="7"/>
    <s v="CA"/>
  </r>
  <r>
    <s v="Zippy’s Corner 1069401 :  MCCLELLAN AFB MAIN/CL6, MCCLELLAN AFB, CA"/>
    <m/>
    <x v="0"/>
    <n v="38.662469999999999"/>
    <n v="-121.40212"/>
    <x v="8"/>
    <s v="CA"/>
  </r>
  <r>
    <s v="Bright Barrel Market 32 :  (KL1) MCCLELLAN AFB CA, MCCLELLAN AFB, CA"/>
    <n v="27352.51"/>
    <x v="0"/>
    <n v="38.662469999999999"/>
    <n v="-121.40212"/>
    <x v="8"/>
    <s v="CA"/>
  </r>
  <r>
    <s v="Mr Fantastic's Emporium 16081 :  4900 WATT AVE, NORTH HIGHLANDS, CA"/>
    <n v="50074.47"/>
    <x v="0"/>
    <n v="38.654130000000002"/>
    <n v="-121.3826744"/>
    <x v="9"/>
    <s v="CA"/>
  </r>
  <r>
    <s v="Mr Fantastic's Emporium 23015 :  3601 ELKHORN BLVD, NORTH HIGHLANDS, CA"/>
    <n v="59251.47"/>
    <x v="0"/>
    <n v="38.69052713"/>
    <n v="-121.38279"/>
    <x v="9"/>
    <s v="CA"/>
  </r>
  <r>
    <s v="Cloudline Provisions 7122 :  3140 ELKHORN BLVD, NORTH HIGHLANDS, CA"/>
    <n v="104731.24"/>
    <x v="0"/>
    <n v="38.690102869999997"/>
    <n v="-121.39346999999999"/>
    <x v="9"/>
    <s v="CA"/>
  </r>
  <r>
    <s v="Cloudline Provisions 83233 :  4745 WATT AVE, NORTH HIGHLANDS, CA"/>
    <n v="77698.81"/>
    <x v="0"/>
    <n v="38.651260000000001"/>
    <n v="-121.38319559999999"/>
    <x v="9"/>
    <s v="CA"/>
  </r>
  <r>
    <s v="Cloudline Provisions 83953 :  4261 ELKHORN BLVD, NORTH HIGHLANDS, CA"/>
    <n v="17080.939999999999"/>
    <x v="0"/>
    <n v="38.694687129999998"/>
    <n v="-121.3648"/>
    <x v="9"/>
    <s v="CA"/>
  </r>
  <r>
    <s v="Gusty Grove 497 :  7477 WATT AVE, NORTH HIGHLANDS, CA"/>
    <n v="66403.88"/>
    <x v="0"/>
    <n v="38.702751540000001"/>
    <n v="-121.3830857"/>
    <x v="9"/>
    <s v="CA"/>
  </r>
  <r>
    <s v="Willow &amp; Wren Apothecary 6054 :  6639 WATT AVE, NORTH HIGHLANDS, CA"/>
    <n v="3410.38"/>
    <x v="0"/>
    <n v="38.687989999999999"/>
    <n v="-121.3831357"/>
    <x v="9"/>
    <s v="CA"/>
  </r>
  <r>
    <s v="Glowstone Supplies 43087 :  4250 MADISON AVE, NORTH HIGHLANDS, CA"/>
    <n v="28219.55"/>
    <x v="0"/>
    <n v="38.660893350000002"/>
    <n v="-121.3646962"/>
    <x v="9"/>
    <s v="CA"/>
  </r>
  <r>
    <s v="Glowstone Supplies 46318 :  7550 WATT AVE, NORTH HIGHLANDS, CA"/>
    <n v="20048.21"/>
    <x v="0"/>
    <n v="38.703189999999999"/>
    <n v="-121.38259429999999"/>
    <x v="9"/>
    <s v="CA"/>
  </r>
  <r>
    <s v="Pebble &amp; Pine Pharmacy 10693 :  6819 WATT AVE, NORTH HIGHLANDS, CA"/>
    <m/>
    <x v="0"/>
    <n v="38.691310000000001"/>
    <n v="-121.38312569999999"/>
    <x v="9"/>
    <s v="CA"/>
  </r>
  <r>
    <s v="Mr Fantastic's Emporium 14068 :  6840 WOODMORE OAKS, ORANGEVALE, CA"/>
    <n v="56182.59"/>
    <x v="0"/>
    <n v="38.691400629999997"/>
    <n v="-121.2552597"/>
    <x v="10"/>
    <s v="CA"/>
  </r>
  <r>
    <s v="Mr Fantastic's Emporium 38703 :  9396 GREENBACK LN, ORANGEVALE, CA"/>
    <n v="64151.24"/>
    <x v="0"/>
    <n v="38.677987340000001"/>
    <n v="-121.20310859999999"/>
    <x v="10"/>
    <s v="CA"/>
  </r>
  <r>
    <s v="Cloudline Provisions 82530 :  9401 MADISON AVE, ORANGEVALE, CA"/>
    <n v="53098.04"/>
    <x v="0"/>
    <n v="38.672687400000001"/>
    <n v="-121.2018894"/>
    <x v="10"/>
    <s v="CA"/>
  </r>
  <r>
    <s v="Penny’s Pantry 551126 :  8696 GREENBACK LN, ORANGEVALE, CA"/>
    <n v="52616.72"/>
    <x v="0"/>
    <n v="38.678362870000001"/>
    <n v="-121.2351575"/>
    <x v="10"/>
    <s v="CA"/>
  </r>
  <r>
    <s v="Mr Fantastic's Emporium 14098 :  10246 MILLS STATION RD, RANCHO CORDOVA, CA"/>
    <n v="59092.61"/>
    <x v="0"/>
    <n v="38.583558709999998"/>
    <n v="-121.3087292"/>
    <x v="11"/>
    <s v="CA"/>
  </r>
  <r>
    <s v="Mr Fantastic's Emporium 35347 :  11079 FOLSOM BLVD, RANCHO CORDOVA, CA"/>
    <n v="37636.15"/>
    <x v="0"/>
    <n v="38.604497369999997"/>
    <n v="-121.2721477"/>
    <x v="11"/>
    <s v="CA"/>
  </r>
  <r>
    <s v="Mr Fantastic's Emporium 42143 :  3251 SUNRISE BLVD, RANCHO CORDOVA, CA"/>
    <n v="90218.51"/>
    <x v="0"/>
    <n v="38.585360520000002"/>
    <n v="-121.26503510000001"/>
    <x v="11"/>
    <s v="CA"/>
  </r>
  <r>
    <s v="Cloudline Provisions 7029 :  4000 SUNRISE BLVD, RANCHO CORDOVA, CA"/>
    <n v="72402.570000000007"/>
    <x v="0"/>
    <n v="38.55796522"/>
    <n v="-121.2431838"/>
    <x v="11"/>
    <s v="CA"/>
  </r>
  <r>
    <s v="Cloudline Provisions 82803 :  3099 SUNRISE BLVD, RANCHO CORDOVA, CA"/>
    <n v="71949.86"/>
    <x v="0"/>
    <n v="38.590055139999997"/>
    <n v="-121.2652047"/>
    <x v="11"/>
    <s v="CA"/>
  </r>
  <r>
    <s v="Cloudline Provisions 82949 :  2896 ZINFANDEL DR, RANCHO CORDOVA, CA"/>
    <n v="41327.599999999999"/>
    <x v="0"/>
    <n v="38.593646739999997"/>
    <n v="-121.2881402"/>
    <x v="11"/>
    <s v="CA"/>
  </r>
  <r>
    <s v="Cloudline Provisions 83262 :  12210 TRIBUTARY POINTE, RANCHO CORDOVA, CA"/>
    <n v="48044.77"/>
    <x v="0"/>
    <n v="38.632067499999998"/>
    <n v="-121.21928339999999"/>
    <x v="11"/>
    <s v="CA"/>
  </r>
  <r>
    <s v="Flicker’s Finds 440 :  4030 SUNRISE BLVD, RANCHO CORDOVA, CA"/>
    <n v="61330.33"/>
    <x v="0"/>
    <n v="38.556929619999998"/>
    <n v="-121.2431273"/>
    <x v="11"/>
    <s v="CA"/>
  </r>
  <r>
    <s v="Willow &amp; Wren Apothecary 6059 :  2111 GOLDEN CENTRE LN, RANCHO CORDOVA, CA"/>
    <n v="2386.54"/>
    <x v="0"/>
    <n v="38.625880389999999"/>
    <n v="-121.2626029"/>
    <x v="11"/>
    <s v="CA"/>
  </r>
  <r>
    <s v="Haven Hearth Goods 1746 :  10635 FOLSOM BLVD, RANCHO CORDOVA, CA"/>
    <n v="87773.440000000002"/>
    <x v="0"/>
    <n v="38.594642870000001"/>
    <n v="-121.2921645"/>
    <x v="11"/>
    <s v="CA"/>
  </r>
  <r>
    <s v="Maplewood Mercantile 2463 :  10881 OLSON DR, RANCHO CORDOVA, CA"/>
    <n v="83232.929999999993"/>
    <x v="0"/>
    <n v="38.594545359999998"/>
    <n v="-121.2842335"/>
    <x v="11"/>
    <s v="CA"/>
  </r>
  <r>
    <s v="Pebble &amp; Pine Pharmacy 15195 :  10701 FOLSOM BLVD, RANCHO CORDOVA, CA"/>
    <m/>
    <x v="0"/>
    <n v="38.596242660000001"/>
    <n v="-121.2889285"/>
    <x v="11"/>
    <s v="CA"/>
  </r>
  <r>
    <s v="Pebble &amp; Pine Pharmacy 9532 :  4050 SUNRISE BLVD, RANCHO CORDOVA, CA"/>
    <n v="18054.82"/>
    <x v="0"/>
    <n v="38.55582854"/>
    <n v="-121.2431254"/>
    <x v="11"/>
    <s v="CA"/>
  </r>
  <r>
    <s v="Flicker’s Finds 530 :  7315 MURIETA DR, RANCHO MURIETA, CA"/>
    <n v="38098.07"/>
    <x v="0"/>
    <n v="38.492138240000003"/>
    <n v="-121.0995242"/>
    <x v="12"/>
    <s v="CA"/>
  </r>
  <r>
    <s v="Mr Fantastic's Emporium 23615 :  348 ELKHORN BLVD, RIO LINDA, CA"/>
    <n v="59189.760000000002"/>
    <x v="0"/>
    <n v="38.683720270000002"/>
    <n v="-121.45741200000001"/>
    <x v="13"/>
    <s v="CA"/>
  </r>
  <r>
    <s v="Willow &amp; Wren Apothecary 6788 :  4620 RIO LINDA BLVD, RIO LINDA, CA"/>
    <n v="4219.6400000000003"/>
    <x v="0"/>
    <n v="38.689579999999999"/>
    <n v="-121.45581"/>
    <x v="13"/>
    <s v="CA"/>
  </r>
  <r>
    <s v="Mr Fantastic's Emporium 14107 :  1199 43RD AVE, SACRAMENTO, CA"/>
    <n v="58709.89"/>
    <x v="0"/>
    <n v="38.516048400000003"/>
    <n v="-121.5144485"/>
    <x v="14"/>
    <s v="CA"/>
  </r>
  <r>
    <s v="Mr Fantastic's Emporium 14119 :  6591 WYNDHAM DR, SACRAMENTO, CA"/>
    <n v="39568.57"/>
    <x v="0"/>
    <n v="38.468642869999996"/>
    <n v="-121.4261869"/>
    <x v="14"/>
    <s v="CA"/>
  </r>
  <r>
    <s v="Mr Fantastic's Emporium 16350 :  7700 LA RIVIERA DR, SACRAMENTO, CA"/>
    <n v="34578.53"/>
    <x v="0"/>
    <n v="38.556351569999997"/>
    <n v="-121.4103951"/>
    <x v="14"/>
    <s v="CA"/>
  </r>
  <r>
    <s v="Mr Fantastic's Emporium 18185 :  5791 BROADWAY, SACRAMENTO, CA"/>
    <n v="51921.87"/>
    <x v="0"/>
    <n v="38.546887130000002"/>
    <n v="-121.43805500000001"/>
    <x v="14"/>
    <s v="CA"/>
  </r>
  <r>
    <s v="Mr Fantastic's Emporium 23040 :  2544 ARDEN WAY, SACRAMENTO, CA"/>
    <n v="44255.01"/>
    <x v="0"/>
    <n v="38.595832870000002"/>
    <n v="-121.40233000000001"/>
    <x v="14"/>
    <s v="CA"/>
  </r>
  <r>
    <s v="Mr Fantastic's Emporium 23226 :  3405 BRADSHAW RD, SACRAMENTO, CA"/>
    <n v="52878.93"/>
    <x v="0"/>
    <n v="38.561852500000001"/>
    <n v="-121.3358546"/>
    <x v="14"/>
    <s v="CA"/>
  </r>
  <r>
    <s v="Mr Fantastic's Emporium 23233 :  8499 GERBER RD, SACRAMENTO, CA"/>
    <n v="45595.85"/>
    <x v="0"/>
    <n v="38.481907130000003"/>
    <n v="-121.39024000000001"/>
    <x v="14"/>
    <s v="CA"/>
  </r>
  <r>
    <s v="Mr Fantastic's Emporium 23265 :  2450 NGATE BLVD, SACRAMENTO, CA"/>
    <n v="45097.89"/>
    <x v="0"/>
    <n v="38.614879999999999"/>
    <n v="-121.51416"/>
    <x v="14"/>
    <s v="CA"/>
  </r>
  <r>
    <s v="Mr Fantastic's Emporium 24147 :  5080 AUBURN BLVD, SACRAMENTO, CA"/>
    <n v="54650.35"/>
    <x v="0"/>
    <n v="38.661245440000002"/>
    <n v="-121.3461069"/>
    <x v="14"/>
    <s v="CA"/>
  </r>
  <r>
    <s v="Mr Fantastic's Emporium 24276 :  3448 WATT AVE, SACRAMENTO, CA"/>
    <n v="41955.41"/>
    <x v="0"/>
    <n v="38.627629310000003"/>
    <n v="-121.38269699999999"/>
    <x v="14"/>
    <s v="CA"/>
  </r>
  <r>
    <s v="Mr Fantastic's Emporium 24604 :  9210 KIEFER BLVD, SACRAMENTO, CA"/>
    <n v="50777.09"/>
    <x v="0"/>
    <n v="38.547113590000002"/>
    <n v="-121.35777299999999"/>
    <x v="14"/>
    <s v="CA"/>
  </r>
  <r>
    <s v="Mr Fantastic's Emporium 26598 :  5579 MACK RD, SACRAMENTO, CA"/>
    <n v="39994"/>
    <x v="0"/>
    <n v="38.474447130000001"/>
    <n v="-121.43603400000001"/>
    <x v="14"/>
    <s v="CA"/>
  </r>
  <r>
    <s v="Mr Fantastic's Emporium 29253 :  5581 HILLSDALE, SACRAMENTO, CA"/>
    <n v="52311.519999999997"/>
    <x v="0"/>
    <n v="38.66974708"/>
    <n v="-121.36132360000001"/>
    <x v="14"/>
    <s v="CA"/>
  </r>
  <r>
    <s v="Mr Fantastic's Emporium 32836 :  5500 FLORIN PERKINS RD, SACRAMENTO, CA"/>
    <n v="80985.039999999994"/>
    <x v="0"/>
    <n v="38.525592949999997"/>
    <n v="-121.3909903"/>
    <x v="14"/>
    <s v="CA"/>
  </r>
  <r>
    <s v="Mr Fantastic's Emporium 33315 :  5501 AUBURN BLVD, SACRAMENTO, CA"/>
    <n v="64783.73"/>
    <x v="0"/>
    <n v="38.668637990000001"/>
    <n v="-121.3362731"/>
    <x v="14"/>
    <s v="CA"/>
  </r>
  <r>
    <s v="Mr Fantastic's Emporium 34492 :  2005 MARCONI AVE, SACRAMENTO, CA"/>
    <n v="58649.65"/>
    <x v="0"/>
    <n v="38.620002659999997"/>
    <n v="-121.4189715"/>
    <x v="14"/>
    <s v="CA"/>
  </r>
  <r>
    <s v="Mr Fantastic's Emporium 34629 :  5820 ANTELOPE RD, SACRAMENTO, CA"/>
    <n v="50236.27"/>
    <x v="0"/>
    <n v="38.704243499999997"/>
    <n v="-121.3285097"/>
    <x v="14"/>
    <s v="CA"/>
  </r>
  <r>
    <s v="Mr Fantastic's Emporium 35351 :  6955 WALERGA RD, SACRAMENTO, CA"/>
    <n v="71579.600000000006"/>
    <x v="0"/>
    <n v="38.693420000000003"/>
    <n v="-121.3639257"/>
    <x v="14"/>
    <s v="CA"/>
  </r>
  <r>
    <s v="Mr Fantastic's Emporium 35481 :  1341 J ST, SACRAMENTO, CA"/>
    <n v="50081.53"/>
    <x v="0"/>
    <n v="38.578970060000003"/>
    <n v="-121.4879365"/>
    <x v="14"/>
    <s v="CA"/>
  </r>
  <r>
    <s v="Mr Fantastic's Emporium 35491 :  2160 EL CAMINO AVE, SACRAMENTO, CA"/>
    <n v="33999.440000000002"/>
    <x v="0"/>
    <n v="38.625410000000002"/>
    <n v="-121.38473999999999"/>
    <x v="14"/>
    <s v="CA"/>
  </r>
  <r>
    <s v="Mr Fantastic's Emporium 36868 :  6500 FOLSOM BLVD, SACRAMENTO, CA"/>
    <n v="46729.05"/>
    <x v="0"/>
    <n v="38.554121000000002"/>
    <n v="-121.42748949999999"/>
    <x v="14"/>
    <s v="CA"/>
  </r>
  <r>
    <s v="Mr Fantastic's Emporium 37217 :  1301 HOWE AVE, SACRAMENTO, CA"/>
    <n v="59543.78"/>
    <x v="0"/>
    <n v="38.589260000000003"/>
    <n v="-121.4156354"/>
    <x v="14"/>
    <s v="CA"/>
  </r>
  <r>
    <s v="Mr Fantastic's Emporium 37620 :  2401 FRUITRIDGE RD, SACRAMENTO, CA"/>
    <n v="60849.18"/>
    <x v="0"/>
    <n v="38.524967119999999"/>
    <n v="-121.4831125"/>
    <x v="14"/>
    <s v="CA"/>
  </r>
  <r>
    <s v="Mr Fantastic's Emporium 38424 :  802 J ST, SACRAMENTO, CA"/>
    <n v="71746.55"/>
    <x v="0"/>
    <n v="38.580850230000003"/>
    <n v="-121.4961356"/>
    <x v="14"/>
    <s v="CA"/>
  </r>
  <r>
    <s v="Mr Fantastic's Emporium 38788 :  7171 STOCKTON BLVD, SACRAMENTO, CA"/>
    <n v="10956.6142"/>
    <x v="0"/>
    <n v="38.496588699999997"/>
    <n v="-121.42905159999999"/>
    <x v="14"/>
    <s v="CA"/>
  </r>
  <r>
    <s v="Mr Fantastic's Emporium 39155 :  5550 S WATT AVE, SACRAMENTO, CA"/>
    <n v="56411.93"/>
    <x v="0"/>
    <n v="38.526433259999997"/>
    <n v="-121.37050600000001"/>
    <x v="14"/>
    <s v="CA"/>
  </r>
  <r>
    <s v="Mr Fantastic's Emporium 39425 :  9199 FOLSOM BLVD, SACRAMENTO, CA"/>
    <n v="55409.67"/>
    <x v="0"/>
    <n v="38.561592220000001"/>
    <n v="-121.35867949999999"/>
    <x v="14"/>
    <s v="CA"/>
  </r>
  <r>
    <s v="Mr Fantastic's Emporium 39572 :  1300 FULTON AVE, SACRAMENTO, CA"/>
    <n v="28586.71"/>
    <x v="0"/>
    <n v="38.588740000000001"/>
    <n v="-121.4012546"/>
    <x v="14"/>
    <s v="CA"/>
  </r>
  <r>
    <s v="Mr Fantastic's Emporium 39887 :  3449 EL CAMINO AVE, SACRAMENTO, CA"/>
    <n v="60364.480000000003"/>
    <x v="0"/>
    <n v="38.625410000000002"/>
    <n v="-121.38473999999999"/>
    <x v="14"/>
    <s v="CA"/>
  </r>
  <r>
    <s v="Mr Fantastic's Emporium 41251 :  8498 FLORIN RD, SACRAMENTO, CA"/>
    <n v="50835.3"/>
    <x v="0"/>
    <n v="38.495952870000004"/>
    <n v="-121.39064"/>
    <x v="14"/>
    <s v="CA"/>
  </r>
  <r>
    <s v="Mr Fantastic's Emporium 41288 :  4140 NORTHGATE BLVD, SACRAMENTO, CA"/>
    <n v="104543.89"/>
    <x v="0"/>
    <n v="38.64489425"/>
    <n v="-121.4755704"/>
    <x v="14"/>
    <s v="CA"/>
  </r>
  <r>
    <s v="Mr Fantastic's Emporium 42011 :  3311 W EL CAMINO AVE, SACRAMENTO, CA"/>
    <n v="68422.460000000006"/>
    <x v="0"/>
    <n v="38.614237129999999"/>
    <n v="-121.5290557"/>
    <x v="14"/>
    <s v="CA"/>
  </r>
  <r>
    <s v="Mr Fantastic's Emporium 42175 :  1911 COSUMNES RIVER BLVD, SACRAMENTO, CA"/>
    <n v="86300.79"/>
    <x v="0"/>
    <n v="38.448039999999999"/>
    <n v="-121.49518999999999"/>
    <x v="14"/>
    <s v="CA"/>
  </r>
  <r>
    <s v="Cloudline Provisions 2068 :  2100 BROADWAY, SACRAMENTO, CA"/>
    <n v="24081.15"/>
    <x v="0"/>
    <n v="38.559566840000002"/>
    <n v="-121.48542689999999"/>
    <x v="14"/>
    <s v="CA"/>
  </r>
  <r>
    <s v="Cloudline Provisions 2166 :  1855 WATT AVE, SACRAMENTO, CA"/>
    <n v="34655.18"/>
    <x v="0"/>
    <n v="38.598806670000002"/>
    <n v="-121.3832755"/>
    <x v="14"/>
    <s v="CA"/>
  </r>
  <r>
    <s v="Cloudline Provisions 4398 :  3921 WATT AVE, SACRAMENTO, CA"/>
    <n v="43975.3"/>
    <x v="0"/>
    <n v="38.636275599999998"/>
    <n v="-121.3832226"/>
    <x v="14"/>
    <s v="CA"/>
  </r>
  <r>
    <s v="Cloudline Provisions 442 :  4224 MARCONI AVE, SACRAMENTO, CA"/>
    <n v="38040.720000000001"/>
    <x v="0"/>
    <n v="38.617494690000001"/>
    <n v="-121.36568130000001"/>
    <x v="14"/>
    <s v="CA"/>
  </r>
  <r>
    <s v="Cloudline Provisions 5424 :  8024 ELDER CREEK RD, SACRAMENTO, CA"/>
    <n v="69785"/>
    <x v="0"/>
    <n v="38.510332869999999"/>
    <n v="-121.40944500000001"/>
    <x v="14"/>
    <s v="CA"/>
  </r>
  <r>
    <s v="Cloudline Provisions 5503 :  8121 FLORIN RD, SACRAMENTO, CA"/>
    <n v="47873.67"/>
    <x v="0"/>
    <n v="38.496216580000002"/>
    <n v="-121.4080026"/>
    <x v="14"/>
    <s v="CA"/>
  </r>
  <r>
    <s v="Cloudline Provisions 7062 :  6240 FREEPORT BLVD, SACRAMENTO, CA"/>
    <n v="49312.59"/>
    <x v="0"/>
    <n v="38.51396321"/>
    <n v="-121.5009443"/>
    <x v="14"/>
    <s v="CA"/>
  </r>
  <r>
    <s v="Cloudline Provisions 7099 :  4420 MACK RD, SACRAMENTO, CA"/>
    <n v="49694.69"/>
    <x v="0"/>
    <s v="N/A"/>
    <s v="N/A"/>
    <x v="14"/>
    <s v="CA"/>
  </r>
  <r>
    <s v="Cloudline Provisions 7131 :  9670 KIEFER BLVD, SACRAMENTO, CA"/>
    <n v="89343.27"/>
    <x v="0"/>
    <n v="38.543689479999998"/>
    <n v="-121.3345118"/>
    <x v="14"/>
    <s v="CA"/>
  </r>
  <r>
    <s v="Cloudline Provisions 7173 :  8105 DELTA SHORES CIR S, SACRAMENTO, CA"/>
    <n v="58058.63"/>
    <x v="0"/>
    <n v="38.46615843"/>
    <n v="-121.49042559999999"/>
    <x v="14"/>
    <s v="CA"/>
  </r>
  <r>
    <s v="Cloudline Provisions 82335 :  4421 FLORIN RD, SACRAMENTO, CA"/>
    <n v="40541.03"/>
    <x v="0"/>
    <n v="38.496277130000003"/>
    <n v="-121.45445770000001"/>
    <x v="14"/>
    <s v="CA"/>
  </r>
  <r>
    <s v="Cloudline Provisions 82362 :  5399 FRUITRIDGE RD, SACRAMENTO, CA"/>
    <n v="34737.839999999997"/>
    <x v="0"/>
    <n v="38.52516713"/>
    <n v="-121.44304889999999"/>
    <x v="14"/>
    <s v="CA"/>
  </r>
  <r>
    <s v="Cloudline Provisions 82450 :  2701 ORCHARD LN, SACRAMENTO, CA"/>
    <n v="36368.53"/>
    <x v="0"/>
    <n v="38.613510159999997"/>
    <n v="-121.5302946"/>
    <x v="14"/>
    <s v="CA"/>
  </r>
  <r>
    <s v="Cloudline Provisions 82538 :  3800 47TH AVE, SACRAMENTO, CA"/>
    <n v="69771.72"/>
    <x v="0"/>
    <n v="38.510172869999998"/>
    <n v="-121.46405"/>
    <x v="14"/>
    <s v="CA"/>
  </r>
  <r>
    <s v="Cloudline Provisions 82675 :  4000 NORWOOD AVE, SACRAMENTO, CA"/>
    <n v="107045.36"/>
    <x v="0"/>
    <n v="38.640502499999997"/>
    <n v="-121.4567344"/>
    <x v="14"/>
    <s v="CA"/>
  </r>
  <r>
    <s v="Cloudline Provisions 82749 :  8880 FRUITRIDGE RD, SACRAMENTO, CA"/>
    <n v="43279.74"/>
    <x v="0"/>
    <n v="38.525072870000002"/>
    <n v="-121.37132"/>
    <x v="14"/>
    <s v="CA"/>
  </r>
  <r>
    <s v="Cloudline Provisions 82812 :  2200 EL CAMINO AVE, SACRAMENTO, CA"/>
    <n v="63734.19"/>
    <x v="0"/>
    <n v="38.625410000000002"/>
    <n v="-121.38473999999999"/>
    <x v="14"/>
    <s v="CA"/>
  </r>
  <r>
    <s v="Cloudline Provisions 82821 :  2225 W 16ST ST, SACRAMENTO, CA"/>
    <n v="62348.28"/>
    <x v="0"/>
    <n v="38.56409515"/>
    <n v="-121.4911065"/>
    <x v="14"/>
    <s v="CA"/>
  </r>
  <r>
    <s v="Cloudline Provisions 82973 :  3501 NORTHGATE BLVD, SACRAMENTO, CA"/>
    <n v="60480.75"/>
    <x v="0"/>
    <n v="38.629640000000002"/>
    <n v="-121.4758255"/>
    <x v="14"/>
    <s v="CA"/>
  </r>
  <r>
    <s v="Cloudline Provisions 82975 :  4747 NORTHGATE BLVD, SACRAMENTO, CA"/>
    <n v="85947.5"/>
    <x v="0"/>
    <n v="38.654727010000002"/>
    <n v="-121.4782742"/>
    <x v="14"/>
    <s v="CA"/>
  </r>
  <r>
    <s v="Cloudline Provisions 83059 :  6100 AIRPORT BLVD, SACRAMENTO, CA"/>
    <n v="124253.57"/>
    <x v="0"/>
    <n v="38.676893659999998"/>
    <n v="-121.59066559999999"/>
    <x v="14"/>
    <s v="CA"/>
  </r>
  <r>
    <s v="Cloudline Provisions 83080 :  6698 MACK RD, SACRAMENTO, CA"/>
    <n v="77267.179999999993"/>
    <x v="0"/>
    <n v="38.474042879999999"/>
    <n v="-121.4260476"/>
    <x v="14"/>
    <s v="CA"/>
  </r>
  <r>
    <s v="Cloudline Provisions 83191 :  2838 J ST, SACRAMENTO, CA"/>
    <n v="69631.789999999994"/>
    <x v="0"/>
    <n v="38.573357870000002"/>
    <n v="-121.46796689999999"/>
    <x v="14"/>
    <s v="CA"/>
  </r>
  <r>
    <s v="Cloudline Provisions 83193 :  8100 GERBER RD, SACRAMENTO, CA"/>
    <n v="42618.95"/>
    <x v="0"/>
    <n v="38.481482870000001"/>
    <n v="-121.40868"/>
    <x v="14"/>
    <s v="CA"/>
  </r>
  <r>
    <s v="Cloudline Provisions 83238 :  1949 ARDEN WAY, SACRAMENTO, CA"/>
    <n v="50365.65"/>
    <x v="0"/>
    <n v="38.597123199999999"/>
    <n v="-121.42122449999999"/>
    <x v="14"/>
    <s v="CA"/>
  </r>
  <r>
    <s v="Cloudline Provisions 83438 :  3501 FAIR OAKS BLVD, SACRAMENTO, CA"/>
    <n v="42780.28"/>
    <x v="0"/>
    <n v="38.574302869999997"/>
    <n v="-121.3829934"/>
    <x v="14"/>
    <s v="CA"/>
  </r>
  <r>
    <s v="Cloudline Provisions 83555 :  2933 65TH ST, SACRAMENTO, CA"/>
    <n v="65536.399999999994"/>
    <x v="0"/>
    <n v="38.547904389999999"/>
    <n v="-121.4276515"/>
    <x v="14"/>
    <s v="CA"/>
  </r>
  <r>
    <s v="Cloudline Provisions 83666 :  1391 FLORIN RD, SACRAMENTO, CA"/>
    <n v="47905.4"/>
    <x v="0"/>
    <n v="38.495877129999997"/>
    <n v="-121.50373999999999"/>
    <x v="14"/>
    <s v="CA"/>
  </r>
  <r>
    <s v="Cloudline Provisions 83689 :  4700 MADISON AVE, SACRAMENTO, CA"/>
    <n v="49238.26"/>
    <x v="0"/>
    <n v="38.660772899999998"/>
    <n v="-121.3551538"/>
    <x v="14"/>
    <s v="CA"/>
  </r>
  <r>
    <s v="Cloudline Provisions 83939 :  5625 FLORION RD, SACRAMENTO, CA"/>
    <n v="85727.77"/>
    <x v="0"/>
    <n v="38.496342980000001"/>
    <n v="-121.4403047"/>
    <x v="14"/>
    <s v="CA"/>
  </r>
  <r>
    <s v="Cloudline Provisions 83940 :  300 EL CAMINO AVE, SACRAMENTO, CA"/>
    <n v="49407.16"/>
    <x v="0"/>
    <n v="38.605699999999999"/>
    <n v="-121.44364"/>
    <x v="14"/>
    <s v="CA"/>
  </r>
  <r>
    <s v="Cactus &amp; Clover 501 :  6231 FRUITRIDGE RD, SACRAMENTO, CA"/>
    <n v="61066.61"/>
    <x v="0"/>
    <n v="38.525203189999999"/>
    <n v="-121.4320653"/>
    <x v="14"/>
    <s v="CA"/>
  </r>
  <r>
    <s v="Cactus &amp; Clover 502 :  4320 ARDEN WAY, SACRAMENTO, CA"/>
    <n v="27547.72"/>
    <x v="0"/>
    <n v="38.595382870000002"/>
    <n v="-121.36366"/>
    <x v="14"/>
    <s v="CA"/>
  </r>
  <r>
    <s v="Cactus &amp; Clover 506 :  1301 FLORIN RD, SACRAMENTO, CA"/>
    <n v="49697.279999999999"/>
    <x v="0"/>
    <n v="38.495791230000002"/>
    <n v="-121.509114"/>
    <x v="14"/>
    <s v="CA"/>
  </r>
  <r>
    <s v="Cactus &amp; Clover 510 :  1540 W EL CAMINO AVE, SACRAMENTO, CA"/>
    <n v="63738.49"/>
    <x v="0"/>
    <n v="38.614879999999999"/>
    <n v="-121.51416"/>
    <x v="14"/>
    <s v="CA"/>
  </r>
  <r>
    <s v="Cactus &amp; Clover 514 :  7465 RUSH RIVER DR, SACRAMENTO, CA"/>
    <n v="55177.06"/>
    <x v="0"/>
    <n v="38.48652225"/>
    <n v="-121.53654040000001"/>
    <x v="14"/>
    <s v="CA"/>
  </r>
  <r>
    <s v="Cactus &amp; Clover 528 :  3250 ARENA BLVD, SACRAMENTO, CA"/>
    <n v="61667.41"/>
    <x v="0"/>
    <n v="38.642822870000003"/>
    <n v="-121.53292519999999"/>
    <x v="14"/>
    <s v="CA"/>
  </r>
  <r>
    <s v="Penny’s Pantry 550111 :  3920 FRUITRIDGE RD, SACRAMENTO, CA"/>
    <n v="10633.18"/>
    <x v="0"/>
    <n v="38.524799870000002"/>
    <n v="-121.4624104"/>
    <x v="14"/>
    <s v="CA"/>
  </r>
  <r>
    <s v="Penny’s Pantry 550135 :  5764 ANTELOPE RD, SACRAMENTO, CA"/>
    <n v="28452.53"/>
    <x v="0"/>
    <n v="38.704593029999998"/>
    <n v="-121.3274457"/>
    <x v="14"/>
    <s v="CA"/>
  </r>
  <r>
    <s v="Penny’s Pantry 550139 :  1290 FULTON AVE, SACRAMENTO, CA"/>
    <n v="40057.85"/>
    <x v="0"/>
    <n v="38.588611999999998"/>
    <n v="-121.4012546"/>
    <x v="14"/>
    <s v="CA"/>
  </r>
  <r>
    <s v="Penny’s Pantry 550162 :  8500 FLORIN RD, SACRAMENTO, CA"/>
    <n v="27902.66"/>
    <x v="0"/>
    <n v="38.495942890000002"/>
    <n v="-121.39049319999999"/>
    <x v="14"/>
    <s v="CA"/>
  </r>
  <r>
    <s v="Penny’s Pantry 551096 :  3296 MARYSVILLE BLVD, SACRAMENTO, CA"/>
    <n v="22904.2"/>
    <x v="0"/>
    <n v="38.628700690000002"/>
    <n v="-121.4315423"/>
    <x v="14"/>
    <s v="CA"/>
  </r>
  <r>
    <s v="Gusty Grove 464 :  3860 FLORIN RD, SACRAMENTO, CA"/>
    <n v="71637.789999999994"/>
    <x v="0"/>
    <n v="38.49585287"/>
    <n v="-121.4619416"/>
    <x v="14"/>
    <s v="CA"/>
  </r>
  <r>
    <s v="Gusty Grove 488 :  3291 TRUXEL RD, SACRAMENTO, CA"/>
    <n v="68656.600000000006"/>
    <x v="0"/>
    <n v="38.627212569999998"/>
    <n v="-121.4981635"/>
    <x v="14"/>
    <s v="CA"/>
  </r>
  <r>
    <s v="Hatch &amp; Harvest 355 :  3625 NGATE BLVD, SACRAMENTO, CA"/>
    <n v="100501.68"/>
    <x v="0"/>
    <n v="38.643329999999999"/>
    <n v="-121.52281000000001"/>
    <x v="14"/>
    <s v="CA"/>
  </r>
  <r>
    <s v="Hatch &amp; Harvest 371 :  8122 GERBER RD, SACRAMENTO, CA"/>
    <n v="42923.32"/>
    <x v="0"/>
    <n v="38.481482870000001"/>
    <n v="-121.40745"/>
    <x v="14"/>
    <s v="CA"/>
  </r>
  <r>
    <s v="Hatch &amp; Harvest 501 :  5330 STOCKTON BLVD, SACRAMENTO, CA"/>
    <n v="42233.62"/>
    <x v="0"/>
    <n v="38.527221009999998"/>
    <n v="-121.44380580000001"/>
    <x v="14"/>
    <s v="CA"/>
  </r>
  <r>
    <s v="Hatch &amp; Harvest 532 :  7421 W STOCKTON BLVD, SACRAMENTO, CA"/>
    <n v="54930.7"/>
    <x v="0"/>
    <n v="38.455533619999997"/>
    <n v="-121.4159081"/>
    <x v="14"/>
    <s v="CA"/>
  </r>
  <r>
    <s v="Flicker’s Finds 415 :  4690 FREEPORT BLVD, SACRAMENTO, CA"/>
    <n v="47995.360000000001"/>
    <x v="0"/>
    <n v="38.53253093"/>
    <n v="-121.4948509"/>
    <x v="14"/>
    <s v="CA"/>
  </r>
  <r>
    <s v="Flicker’s Finds 416 :  3518 MARCONI AVE, SACRAMENTO, CA"/>
    <n v="36336.400000000001"/>
    <x v="0"/>
    <n v="38.61760005"/>
    <n v="-121.3819032"/>
    <x v="14"/>
    <s v="CA"/>
  </r>
  <r>
    <s v="Flicker’s Finds 420 :  8391 FOLSOM BLVD, SACRAMENTO, CA"/>
    <n v="57181.43"/>
    <x v="0"/>
    <n v="38.547295179999999"/>
    <n v="-121.39421230000001"/>
    <x v="14"/>
    <s v="CA"/>
  </r>
  <r>
    <s v="Flicker’s Finds 435 :  2075 FAIR OAKS BLVD, SACRAMENTO, CA"/>
    <n v="42834.97"/>
    <x v="0"/>
    <n v="38.5737971"/>
    <n v="-121.4165089"/>
    <x v="14"/>
    <s v="CA"/>
  </r>
  <r>
    <s v="Flicker’s Finds 447 :  4650 NATOMAS BLVD, SACRAMENTO, CA"/>
    <n v="64902.51"/>
    <x v="0"/>
    <n v="38.657340920000003"/>
    <n v="-121.51179260000001"/>
    <x v="14"/>
    <s v="CA"/>
  </r>
  <r>
    <s v="Willow &amp; Wren Apothecary 6081 :  9133 KIEFER BLVD, SACRAMENTO, CA"/>
    <n v="1498.34"/>
    <x v="0"/>
    <n v="38.547397099999998"/>
    <n v="-121.3608838"/>
    <x v="14"/>
    <s v="CA"/>
  </r>
  <r>
    <s v="Willow &amp; Wren Apothecary 6083 :  7860 GERBER RD, SACRAMENTO, CA"/>
    <n v="2972.76"/>
    <x v="0"/>
    <n v="38.481482870000001"/>
    <n v="-121.4111338"/>
    <x v="14"/>
    <s v="CA"/>
  </r>
  <r>
    <s v="Willow &amp; Wren Apothecary 6084 :  980 FLORIN RD, SACRAMENTO, CA"/>
    <n v="4211.38"/>
    <x v="0"/>
    <n v="38.495554749999997"/>
    <n v="-121.522854"/>
    <x v="14"/>
    <s v="CA"/>
  </r>
  <r>
    <s v="Willow &amp; Wren Apothecary 6228 :  4221 NORWOOD AVE, SACRAMENTO, CA"/>
    <n v="4413.57"/>
    <x v="0"/>
    <n v="38.644642560000001"/>
    <n v="-121.4570726"/>
    <x v="14"/>
    <s v="CA"/>
  </r>
  <r>
    <s v="Willow &amp; Wren Apothecary 6403 :  4241 MARCONI AVE, SACRAMENTO, CA"/>
    <n v="4576.32"/>
    <x v="0"/>
    <n v="38.61774484"/>
    <n v="-121.3656826"/>
    <x v="14"/>
    <s v="CA"/>
  </r>
  <r>
    <s v="Willow &amp; Wren Apothecary 6448 :  2751 DEL PASO RD, SACRAMENTO, CA"/>
    <n v="3185.15"/>
    <x v="0"/>
    <n v="38.656127130000002"/>
    <n v="-121.52325"/>
    <x v="14"/>
    <s v="CA"/>
  </r>
  <r>
    <s v="Willow &amp; Wren Apothecary 6520 :  4830 J ST, SACRAMENTO, CA"/>
    <n v="2739.06"/>
    <x v="0"/>
    <n v="38.566815839999997"/>
    <n v="-121.4434712"/>
    <x v="14"/>
    <s v="CA"/>
  </r>
  <r>
    <s v="Haven Hearth Goods 1289 :  8377 ELK GROVE FLORIN RD, SACRAMENTO, CA"/>
    <n v="81834.429999999993"/>
    <x v="0"/>
    <n v="38.45349401"/>
    <n v="-121.3714524"/>
    <x v="14"/>
    <s v="CA"/>
  </r>
  <r>
    <s v="Haven Hearth Goods 1530 :  3320 ARDEN WAY, SACRAMENTO, CA"/>
    <n v="70539.63"/>
    <x v="0"/>
    <n v="38.595634279999999"/>
    <n v="-121.3862136"/>
    <x v="14"/>
    <s v="CA"/>
  </r>
  <r>
    <s v="Haven Hearth Goods 190 :  424 HOWE AVE, SACRAMENTO, CA"/>
    <n v="57714.91"/>
    <x v="0"/>
    <n v="38.572594209999998"/>
    <n v="-121.4138375"/>
    <x v="14"/>
    <s v="CA"/>
  </r>
  <r>
    <s v="Haven Hearth Goods 2242 :  1025 ALHAMBRA BLVD, SACRAMENTO, CA"/>
    <n v="54386.23"/>
    <x v="0"/>
    <n v="38.572213699999999"/>
    <n v="-121.4653014"/>
    <x v="14"/>
    <s v="CA"/>
  </r>
  <r>
    <s v="Haven Hearth Goods 2263 :  5345 ELKHORN BLVD, SACRAMENTO, CA"/>
    <n v="60257.51"/>
    <x v="0"/>
    <n v="38.685657329999998"/>
    <n v="-121.340234"/>
    <x v="14"/>
    <s v="CA"/>
  </r>
  <r>
    <s v="Haven Hearth Goods 2684 :  1814 19TH ST, SACRAMENTO, CA"/>
    <n v="92758.5"/>
    <x v="0"/>
    <n v="38.567735499999998"/>
    <n v="-121.4854504"/>
    <x v="14"/>
    <s v="CA"/>
  </r>
  <r>
    <s v="Haven Hearth Goods 2697 :  2851 DEL PASO RD, SACRAMENTO, CA"/>
    <n v="122629.23"/>
    <x v="0"/>
    <n v="38.656117119999998"/>
    <n v="-121.5243426"/>
    <x v="14"/>
    <s v="CA"/>
  </r>
  <r>
    <s v="Haven Hearth Goods 3013 :  3680 CROCKER DR, SACRAMENTO, CA"/>
    <n v="69472.429999999993"/>
    <x v="0"/>
    <n v="38.54097582"/>
    <n v="-121.4822911"/>
    <x v="14"/>
    <s v="CA"/>
  </r>
  <r>
    <s v="Dune &amp; Drift Market 619 :  7960 GERBER RD, SACRAMENTO, CA"/>
    <n v="34236.39"/>
    <x v="0"/>
    <n v="38.481482870000001"/>
    <n v="-121.4104313"/>
    <x v="14"/>
    <s v="CA"/>
  </r>
  <r>
    <s v="Dune &amp; Drift Market 622 :  5600 FOLSOM BLVD, SACRAMENTO, CA"/>
    <n v="56251.7"/>
    <x v="0"/>
    <n v="38.558313200000001"/>
    <n v="-121.4381368"/>
    <x v="14"/>
    <s v="CA"/>
  </r>
  <r>
    <s v="Dune &amp; Drift Market 623 :  9137 KIEFER BLVD, SACRAMENTO, CA"/>
    <n v="58840.38"/>
    <x v="0"/>
    <n v="38.547403099999997"/>
    <n v="-121.3606078"/>
    <x v="14"/>
    <s v="CA"/>
  </r>
  <r>
    <s v="Dune &amp; Drift Market 625 :  2501 FAIROAKS BLVD, SACRAMENTO, CA"/>
    <n v="58141.3"/>
    <x v="0"/>
    <n v="38.574467759999997"/>
    <n v="-121.4039054"/>
    <x v="14"/>
    <s v="CA"/>
  </r>
  <r>
    <s v="Glowstone Supplies 43061 :  2281 EL CAMINO AVE, SACRAMENTO, CA"/>
    <n v="32708.12"/>
    <x v="0"/>
    <n v="38.625410000000002"/>
    <n v="-121.38473999999999"/>
    <x v="14"/>
    <s v="CA"/>
  </r>
  <r>
    <s v="Glowstone Supplies 43092 :  2650 GATEWAY OAKS DR, SACRAMENTO, CA"/>
    <n v="41662.410000000003"/>
    <x v="0"/>
    <n v="38.613108150000002"/>
    <n v="-121.51671090000001"/>
    <x v="14"/>
    <s v="CA"/>
  </r>
  <r>
    <s v="Glowstone Supplies 46790 :  2600 ARDEN WAY, SACRAMENTO, CA"/>
    <n v="35538.730000000003"/>
    <x v="0"/>
    <n v="38.595822869999999"/>
    <n v="-121.40142"/>
    <x v="14"/>
    <s v="CA"/>
  </r>
  <r>
    <s v="Bramble &amp; Co. 3384 :  1707 J ST, SACRAMENTO, CA"/>
    <n v="46329.24"/>
    <x v="0"/>
    <n v="38.577752879999998"/>
    <n v="-121.4833467"/>
    <x v="14"/>
    <s v="CA"/>
  </r>
  <r>
    <s v="Maplewood Mercantile 1527 :  8101 COSUMNES RIVER BLVD, SACRAMENTO, CA"/>
    <n v="79047.100000000006"/>
    <x v="0"/>
    <n v="38.457446779999998"/>
    <n v="-121.4142775"/>
    <x v="14"/>
    <s v="CA"/>
  </r>
  <r>
    <s v="Maplewood Mercantile 2115 :  3601 N FREEWAY BLVD, SACRAMENTO, CA"/>
    <n v="134211.85"/>
    <x v="0"/>
    <n v="38.639957129999999"/>
    <n v="-121.49963"/>
    <x v="14"/>
    <s v="CA"/>
  </r>
  <r>
    <s v="Maplewood Mercantile 2492 :  6507 4TH AVE, SACRAMENTO, CA"/>
    <n v="127172.04"/>
    <x v="0"/>
    <n v="38.548497130000001"/>
    <n v="-121.4265072"/>
    <x v="14"/>
    <s v="CA"/>
  </r>
  <r>
    <s v="Maplewood Mercantile 310 :  2505 RIVERSIDE BLVD, SACRAMENTO, CA"/>
    <n v="89281.85"/>
    <x v="0"/>
    <n v="38.563022789999998"/>
    <n v="-121.4983428"/>
    <x v="14"/>
    <s v="CA"/>
  </r>
  <r>
    <s v="Maplewood Mercantile 311 :  5001 MADISON AVE, SACRAMENTO, CA"/>
    <n v="63096.75"/>
    <x v="0"/>
    <n v="38.661107129999998"/>
    <n v="-121.34919840000001"/>
    <x v="14"/>
    <s v="CA"/>
  </r>
  <r>
    <s v="Maplewood Mercantile 312 :  1919 FULTON AVE, SACRAMENTO, CA"/>
    <n v="93745.11"/>
    <x v="0"/>
    <n v="38.600403999999997"/>
    <n v="-121.40171549999999"/>
    <x v="14"/>
    <s v="CA"/>
  </r>
  <r>
    <s v="Pebble &amp; Pine Pharmacy 10114 :  3521 DEL PASO RD, SACRAMENTO, CA"/>
    <n v="23004.41"/>
    <x v="0"/>
    <n v="38.655917119999998"/>
    <n v="-121.5414127"/>
    <x v="14"/>
    <s v="CA"/>
  </r>
  <r>
    <s v="Pebble &amp; Pine Pharmacy 10716 :  250 FLORIN RD, SACRAMENTO, CA"/>
    <n v="12431.66"/>
    <x v="0"/>
    <n v="38.509352560000004"/>
    <n v="-121.5426842"/>
    <x v="14"/>
    <s v="CA"/>
  </r>
  <r>
    <s v="Pebble &amp; Pine Pharmacy 11262 :  840 EL CAMINO AVE, SACRAMENTO, CA"/>
    <m/>
    <x v="0"/>
    <n v="38.605699999999999"/>
    <n v="-121.44364"/>
    <x v="14"/>
    <s v="CA"/>
  </r>
  <r>
    <s v="Pebble &amp; Pine Pharmacy 4136 :  1919 FRUITRIDGE RD, SACRAMENTO, CA"/>
    <n v="13222.35"/>
    <x v="0"/>
    <n v="38.524907130000003"/>
    <n v="-121.495825"/>
    <x v="14"/>
    <s v="CA"/>
  </r>
  <r>
    <s v="Pebble &amp; Pine Pharmacy 4170 :  4200 ARDEN WAY, SACRAMENTO, CA"/>
    <n v="14100.95"/>
    <x v="0"/>
    <n v="38.595412899999999"/>
    <n v="-121.3659038"/>
    <x v="14"/>
    <s v="CA"/>
  </r>
  <r>
    <s v="Pebble &amp; Pine Pharmacy 5036 :  4495 MACK RD, SACRAMENTO, CA"/>
    <n v="17817.740000000002"/>
    <x v="0"/>
    <n v="38.47453608"/>
    <n v="-121.4508709"/>
    <x v="14"/>
    <s v="CA"/>
  </r>
  <r>
    <s v="Pebble &amp; Pine Pharmacy 5374 :  2900 STOCKTON BLVD, SACRAMENTO, CA"/>
    <n v="9930.9599999999991"/>
    <x v="0"/>
    <n v="38.548052689999999"/>
    <n v="-121.4545068"/>
    <x v="14"/>
    <s v="CA"/>
  </r>
  <r>
    <s v="Pebble &amp; Pine Pharmacy 5500 :  4331 ANTELOPE RD, SACRAMENTO, CA"/>
    <n v="17562.060000000001"/>
    <x v="0"/>
    <n v="38.704067129999999"/>
    <n v="-121.3630433"/>
    <x v="14"/>
    <s v="CA"/>
  </r>
  <r>
    <s v="Pebble &amp; Pine Pharmacy 6193 :  2201 ARDEN WAY, SACRAMENTO, CA"/>
    <m/>
    <x v="0"/>
    <n v="38.596357130000001"/>
    <n v="-121.41522999999999"/>
    <x v="14"/>
    <s v="CA"/>
  </r>
  <r>
    <s v="Pebble &amp; Pine Pharmacy 6613 :  1401 BROADWAY, SACRAMENTO, CA"/>
    <n v="756.57"/>
    <x v="0"/>
    <n v="38.562482490000001"/>
    <n v="-121.49495469999999"/>
    <x v="14"/>
    <s v="CA"/>
  </r>
  <r>
    <s v="Pebble &amp; Pine Pharmacy 6706 :  7155 24TH ST, SACRAMENTO, CA"/>
    <n v="591.73"/>
    <x v="0"/>
    <n v="38.496462860000001"/>
    <n v="-121.4825048"/>
    <x v="14"/>
    <s v="CA"/>
  </r>
  <r>
    <s v="Mr Fantastic's Emporium 32267 :  10998 STATE HIGHWAY 9, BRECKENRIDGE, CO"/>
    <n v="81454.69"/>
    <x v="1"/>
    <n v="39.494226849999997"/>
    <n v="-106.0454625"/>
    <x v="15"/>
    <s v="CO"/>
  </r>
  <r>
    <s v="Echo Stop Supplies 430 :  400 N PKWY, BRECKENRIDGE, CO"/>
    <n v="172242.9"/>
    <x v="1"/>
    <n v="39.470930000000003"/>
    <n v="-106.01689"/>
    <x v="15"/>
    <s v="CO"/>
  </r>
  <r>
    <s v="Echo Stop Supplies 420 :  300 DILLON RIDGE RD, DILLON, CO"/>
    <n v="131596.57"/>
    <x v="1"/>
    <n v="39.630274810000003"/>
    <n v="-106.0565874"/>
    <x v="16"/>
    <s v="CO"/>
  </r>
  <r>
    <s v="Pebble &amp; Pine Pharmacy 11326 :  269 DILLON RIDGE RD, DILLON, CO"/>
    <n v="7962.31"/>
    <x v="1"/>
    <n v="39.630003590000001"/>
    <n v="-106.05772109999999"/>
    <x v="16"/>
    <s v="CO"/>
  </r>
  <r>
    <s v="Mr Fantastic's Emporium 17284 :  741 N SMT, FRISCO, CO"/>
    <n v="44705.22"/>
    <x v="1"/>
    <n v="39.498649999999998"/>
    <n v="-106.16679000000001"/>
    <x v="17"/>
    <s v="CO"/>
  </r>
  <r>
    <s v="Bluebell Bazaar 2740633 :  1012 SUMMIT RD, FRISCO, CO"/>
    <n v="19913.72"/>
    <x v="1"/>
    <n v="39.589377900000002"/>
    <n v="-106.095412"/>
    <x v="17"/>
    <s v="CO"/>
  </r>
  <r>
    <s v="Penny’s Pantry 750048 :  201 W MAIN ST, FRISCO, CO"/>
    <n v="34668.21"/>
    <x v="1"/>
    <n v="39.57537859"/>
    <n v="-106.106754"/>
    <x v="17"/>
    <s v="CO"/>
  </r>
  <r>
    <s v="Haven Hearth Goods 836 :  1008 N SUMMIT BLVD, FRISCO, CO"/>
    <n v="67705.919999999998"/>
    <x v="1"/>
    <n v="39.589341900000001"/>
    <n v="-106.0954067"/>
    <x v="17"/>
    <s v="CO"/>
  </r>
  <r>
    <s v="Mr Fantastic's Emporium 23963 :  201 BLUE RIVER PKWY, SILVERTHORNE, CO"/>
    <n v="41271.03"/>
    <x v="1"/>
    <n v="39.628949900000002"/>
    <n v="-106.0712363"/>
    <x v="18"/>
    <s v="CO"/>
  </r>
  <r>
    <s v="Mr Fantastic's Emporium 39033 :  120 BLUE RIVER PKWY, SILVERTHORNE, CO"/>
    <n v="75964.55"/>
    <x v="1"/>
    <n v="39.629022210000002"/>
    <n v="-106.0691815"/>
    <x v="18"/>
    <s v="CO"/>
  </r>
  <r>
    <s v="Mr Fantastic's Emporium 39853 :  180 STEPHENS WAY, SILVERTHORNE, CO"/>
    <n v="49093.89"/>
    <x v="1"/>
    <n v="39.627207370000001"/>
    <n v="-106.0710155"/>
    <x v="18"/>
    <s v="CO"/>
  </r>
  <r>
    <s v="Maplewood Mercantile 1525 :  715 BLUE RIVER PKWY, SILVERTHORNE, CO"/>
    <n v="61955.86"/>
    <x v="1"/>
    <n v="39.636927909999997"/>
    <n v="-106.0765165"/>
    <x v="18"/>
    <s v="CO"/>
  </r>
  <r>
    <s v="Bluebell Bazaar 2706671 :  39414 N DAISY MOUNTAIN DR, ANTHEM, AZ"/>
    <n v="93364.66"/>
    <x v="2"/>
    <n v="33.842823709999998"/>
    <n v="-112.13825540000001"/>
    <x v="19"/>
    <s v="AZ"/>
  </r>
  <r>
    <s v="Bluebell Bazaar 2709189 :  3502 W ANTHEM WAY, ANTHEM, AZ"/>
    <n v="79552.75"/>
    <x v="2"/>
    <n v="33.865234460000003"/>
    <n v="-112.1352919"/>
    <x v="19"/>
    <s v="AZ"/>
  </r>
  <r>
    <s v="Bluebell Bazaar 2709192 :  4135 W ANTHEM WAY, ANTHEM, AZ"/>
    <n v="91602.71"/>
    <x v="2"/>
    <n v="33.87088619"/>
    <n v="-112.14929739999999"/>
    <x v="19"/>
    <s v="AZ"/>
  </r>
  <r>
    <s v="Haven Hearth Goods 3334 :  3655 W ANTHEM WAY, ANTHEM, AZ"/>
    <n v="41695.769999999997"/>
    <x v="2"/>
    <n v="33.866203939999998"/>
    <n v="-112.13784769999999"/>
    <x v="19"/>
    <s v="AZ"/>
  </r>
  <r>
    <s v="Pebble &amp; Pine Pharmacy 7516 :  2411 W ANTHEM WAY, ANTHEM, AZ"/>
    <n v="11679.6"/>
    <x v="2"/>
    <n v="33.859399779999997"/>
    <n v="-112.1115203"/>
    <x v="19"/>
    <s v="AZ"/>
  </r>
  <r>
    <s v="Rusty Cart Grocers 83 :  323 E MAIN ST, AVONDALE, AZ"/>
    <n v="11885.88"/>
    <x v="2"/>
    <n v="33.431132329999997"/>
    <n v="-112.34574259999999"/>
    <x v="20"/>
    <s v="AZ"/>
  </r>
  <r>
    <s v="Rusty Cart Grocers 93 :  1450 N DYSART RD, AVONDALE, AZ"/>
    <n v="38411.51"/>
    <x v="2"/>
    <n v="33.449143329999998"/>
    <n v="-112.3412644"/>
    <x v="20"/>
    <s v="AZ"/>
  </r>
  <r>
    <s v="Bluebell Bazaar 2700243 :  11025 W BUCKEYE, AVONDALE, AZ"/>
    <n v="36286.42"/>
    <x v="2"/>
    <n v="33.435342869999999"/>
    <n v="-112.29768"/>
    <x v="20"/>
    <s v="AZ"/>
  </r>
  <r>
    <s v="Bluebell Bazaar 2700822 :  3 E MAIN ST, AVONDALE, AZ"/>
    <n v="45021.32"/>
    <x v="2"/>
    <n v="33.429109009999998"/>
    <n v="-112.3492852"/>
    <x v="20"/>
    <s v="AZ"/>
  </r>
  <r>
    <s v="Bluebell Bazaar 2701225 :  12301 W LOWER BUCKEYE RD, AVONDALE, AZ"/>
    <n v="63224.79"/>
    <x v="2"/>
    <n v="33.420412880000001"/>
    <n v="-112.3242723"/>
    <x v="20"/>
    <s v="AZ"/>
  </r>
  <r>
    <s v="Bluebell Bazaar 2702893 :  51 E VAN BUREN, AVONDALE, AZ"/>
    <n v="43729.87"/>
    <x v="2"/>
    <n v="33.449702870000003"/>
    <n v="-112.34923999999999"/>
    <x v="20"/>
    <s v="AZ"/>
  </r>
  <r>
    <s v="Bluebell Bazaar 2706645 :  1595 N DYSART RD, AVONDALE, AZ"/>
    <n v="54970.89"/>
    <x v="2"/>
    <n v="33.46416833"/>
    <n v="-112.3406856"/>
    <x v="20"/>
    <s v="AZ"/>
  </r>
  <r>
    <s v="Bluebell Bazaar 2709186 :  1595 N 115TH AVE BLVD, AVONDALE, AZ"/>
    <n v="59254.6"/>
    <x v="2"/>
    <n v="33.463254999999997"/>
    <n v="-112.3063456"/>
    <x v="20"/>
    <s v="AZ"/>
  </r>
  <r>
    <s v="Mossy Hollow Market 112 :  1575 N DYSART RD, AVONDALE, AZ"/>
    <n v="112713.43"/>
    <x v="2"/>
    <n v="33.46396"/>
    <n v="-112.3406856"/>
    <x v="20"/>
    <s v="AZ"/>
  </r>
  <r>
    <s v="Mossy Hollow Market 66 :  10675 W INDIAN SCHOOL RD, AVONDALE, AZ"/>
    <n v="133143.13"/>
    <x v="2"/>
    <n v="33.493512870000004"/>
    <n v="-112.2883885"/>
    <x v="20"/>
    <s v="AZ"/>
  </r>
  <r>
    <s v="Mossy Hollow Market 89 :  11425 W BUCKEYE RD, AVONDALE, AZ"/>
    <n v="194813.87"/>
    <x v="2"/>
    <n v="33.435292869999998"/>
    <n v="-112.30505530000001"/>
    <x v="20"/>
    <s v="AZ"/>
  </r>
  <r>
    <s v="Timberline Market 459 :  900 N 99TH AVE, AVONDALE, AZ"/>
    <n v="65719.103990000003"/>
    <x v="2"/>
    <n v="33.45646"/>
    <n v="-112.27278440000001"/>
    <x v="20"/>
    <s v="AZ"/>
  </r>
  <r>
    <s v="Pebble &amp; Pine Pharmacy 3387 :  10705 W INDIAN SCHOOL RD, AVONDALE, AZ"/>
    <n v="13077.87"/>
    <x v="2"/>
    <n v="33.49345297"/>
    <n v="-112.29121859999999"/>
    <x v="20"/>
    <s v="AZ"/>
  </r>
  <r>
    <s v="Pebble &amp; Pine Pharmacy 5776 :  1451 N DYSART RD, AVONDALE, AZ"/>
    <n v="19671.09"/>
    <x v="2"/>
    <n v="33.450293090000002"/>
    <n v="-112.3408538"/>
    <x v="20"/>
    <s v="AZ"/>
  </r>
  <r>
    <s v="Pebble &amp; Pine Pharmacy 7387 :  10710 W MCDOWELL RD, AVONDALE, AZ"/>
    <n v="30437.88"/>
    <x v="2"/>
    <n v="33.46460501"/>
    <n v="-112.2904714"/>
    <x v="20"/>
    <s v="AZ"/>
  </r>
  <r>
    <s v="Iron Pine Outpost 56 :  21064 W MAIN ST, BUCKEYE, AZ"/>
    <n v="25879.51"/>
    <x v="2"/>
    <n v="33.496037129999998"/>
    <n v="-112.51260910000001"/>
    <x v="21"/>
    <s v="AZ"/>
  </r>
  <r>
    <s v="Bluebell Bazaar 2700820 :  307 US HIGHWAY 85, BUCKEYE, AZ"/>
    <n v="71311.92"/>
    <x v="2"/>
    <n v="33.372046679999997"/>
    <n v="-112.5741103"/>
    <x v="21"/>
    <s v="AZ"/>
  </r>
  <r>
    <s v="Bluebell Bazaar 2701198 :  721 N 195TH AVE, BUCKEYE, AZ"/>
    <n v="127254.32"/>
    <x v="2"/>
    <n v="33.455350000000003"/>
    <n v="-112.47864559999999"/>
    <x v="21"/>
    <s v="AZ"/>
  </r>
  <r>
    <s v="Bluebell Bazaar 2703397 :  537 S WATSON RD, BUCKEYE, AZ"/>
    <n v="148491.4"/>
    <x v="2"/>
    <n v="33.442078299999999"/>
    <n v="-112.5561806"/>
    <x v="21"/>
    <s v="AZ"/>
  </r>
  <r>
    <s v="Mossy Hollow Market 675 :  1300 S WATSON RD, BUCKEYE, AZ"/>
    <n v="245971.89"/>
    <x v="2"/>
    <n v="33.434909470000001"/>
    <n v="-112.55656430000001"/>
    <x v="21"/>
    <s v="AZ"/>
  </r>
  <r>
    <s v="Mossy Hollow Market 692 :  19600 W INDIAN SCHOOL RD, BUCKEYE, AZ"/>
    <n v="308884.67"/>
    <x v="2"/>
    <n v="33.49381984"/>
    <n v="-112.48117240000001"/>
    <x v="21"/>
    <s v="AZ"/>
  </r>
  <r>
    <s v="Crimson Ridge Depot 280 :  1610 S MILLER RD, BUCKEYE, AZ"/>
    <n v="132066.26"/>
    <x v="2"/>
    <n v="33.430144759999997"/>
    <n v="-112.5910643"/>
    <x v="21"/>
    <s v="AZ"/>
  </r>
  <r>
    <s v="Pebble &amp; Pine Pharmacy 11470 :  25073 W SOUTHERN AVE, BUCKEYE, AZ"/>
    <n v="55175.71"/>
    <x v="2"/>
    <n v="33.391882870000003"/>
    <n v="-112.5904125"/>
    <x v="21"/>
    <s v="AZ"/>
  </r>
  <r>
    <s v="Pebble &amp; Pine Pharmacy 9175 :  23477 W YUMA RD, BUCKEYE, AZ"/>
    <n v="30613.18"/>
    <x v="2"/>
    <n v="33.435422869999996"/>
    <n v="-112.55564099999999"/>
    <x v="21"/>
    <s v="AZ"/>
  </r>
  <r>
    <s v="Iron Pine Outpost 66 :  36889 TOM DARLINGTON, CAREFREE, AZ"/>
    <n v="11909.19"/>
    <x v="2"/>
    <n v="33.821057009999997"/>
    <n v="-111.9239862"/>
    <x v="22"/>
    <s v="AZ"/>
  </r>
  <r>
    <s v="Bluebell Bazaar 2705281 :  6802 E CAVE CREEK RD, CAVE CREEK, AZ"/>
    <n v="31947.67"/>
    <x v="2"/>
    <n v="33.831825879999997"/>
    <n v="-111.93444460000001"/>
    <x v="23"/>
    <s v="AZ"/>
  </r>
  <r>
    <s v="Bluebell Bazaar 2705598 :  6210 E CAVE CREEK RD, CAVE CREEK, AZ"/>
    <n v="32984.6"/>
    <x v="2"/>
    <n v="33.83228261"/>
    <n v="-111.9470711"/>
    <x v="23"/>
    <s v="AZ"/>
  </r>
  <r>
    <s v="Mossy Hollow Market 474 :  29455 N CAVE CREEK RD, CAVE CREEK, AZ"/>
    <n v="50910.2"/>
    <x v="2"/>
    <n v="33.752731050000001"/>
    <n v="-111.9921712"/>
    <x v="23"/>
    <s v="AZ"/>
  </r>
  <r>
    <s v="Mossy Hollow Market 67 :  4815 E CAREFREE HWY, CAVE CREEK, AZ"/>
    <n v="36655.61"/>
    <x v="2"/>
    <n v="33.798992869999999"/>
    <n v="-111.97714000000001"/>
    <x v="23"/>
    <s v="AZ"/>
  </r>
  <r>
    <s v="Haven Hearth Goods 1543 :  29834 N CAVE CREEK RD, CAVE CREEK, AZ"/>
    <n v="27695.3"/>
    <x v="2"/>
    <n v="33.756968039999997"/>
    <n v="-111.9901232"/>
    <x v="23"/>
    <s v="AZ"/>
  </r>
  <r>
    <s v="Pebble &amp; Pine Pharmacy 3912 :  29660 N TATUM BLVD, CAVE CREEK, AZ"/>
    <n v="4802.5200000000004"/>
    <x v="2"/>
    <n v="33.754565550000002"/>
    <n v="-111.9880809"/>
    <x v="23"/>
    <s v="AZ"/>
  </r>
  <r>
    <s v="Mr Fantastic's Emporium 13011 :  774 N ARIZONA AVE, CHANDLER, AZ"/>
    <n v="35919.57"/>
    <x v="2"/>
    <n v="33.316725759999997"/>
    <n v="-111.8417196"/>
    <x v="24"/>
    <s v="AZ"/>
  </r>
  <r>
    <s v="Mr Fantastic's Emporium 27215 :  2025 W WARNER RD, CHANDLER, AZ"/>
    <n v="33380.82"/>
    <x v="2"/>
    <n v="33.334912869999997"/>
    <n v="-111.8769295"/>
    <x v="24"/>
    <s v="AZ"/>
  </r>
  <r>
    <s v="Snap &amp; Go 87 :  7131 W RAY RD STE 37, CHANDLER, AZ"/>
    <n v="6320.9"/>
    <x v="2"/>
    <n v="33.319662899999997"/>
    <n v="-111.9655836"/>
    <x v="24"/>
    <s v="AZ"/>
  </r>
  <r>
    <s v="Driftwood Market 1221 :  2935 E RIGGS RD, CHANDLER, AZ"/>
    <n v="49301.47"/>
    <x v="2"/>
    <n v="33.218992870000001"/>
    <n v="-111.79132"/>
    <x v="24"/>
    <s v="AZ"/>
  </r>
  <r>
    <s v="Driftwood Market 2997 :  4060 W RAY RD, CHANDLER, AZ"/>
    <n v="33804.410000000003"/>
    <x v="2"/>
    <n v="33.320227129999999"/>
    <n v="-111.91258670000001"/>
    <x v="24"/>
    <s v="AZ"/>
  </r>
  <r>
    <s v="Driftwood Market 981 :  3145 S ALMA SCHOOL RD, CHANDLER, AZ"/>
    <n v="52152.52"/>
    <x v="2"/>
    <n v="33.261339999999997"/>
    <n v="-111.858296"/>
    <x v="24"/>
    <s v="AZ"/>
  </r>
  <r>
    <s v="Cloudline Provisions 82727 :  1735 S COOPER RD, CHANDLER, AZ"/>
    <n v="52883"/>
    <x v="2"/>
    <n v="33.280688650000002"/>
    <n v="-111.80665"/>
    <x v="24"/>
    <s v="AZ"/>
  </r>
  <r>
    <s v="Cloudline Provisions 83216 :  5050 S ARIZONA AVE, CHANDLER, AZ"/>
    <n v="52014.49"/>
    <x v="2"/>
    <n v="33.232678370000002"/>
    <n v="-111.8415139"/>
    <x v="24"/>
    <s v="AZ"/>
  </r>
  <r>
    <s v="Iron Pine Outpost 161 :  4940 S GILBERT RD, CHANDLER, AZ"/>
    <n v="26659.09"/>
    <x v="2"/>
    <n v="33.234681029999997"/>
    <n v="-111.7896339"/>
    <x v="24"/>
    <s v="AZ"/>
  </r>
  <r>
    <s v="Rusty Cart Grocers 26 :  1005 N ARIZONA AVE, CHANDLER, AZ"/>
    <n v="23201.439999999999"/>
    <x v="2"/>
    <n v="33.320785000000001"/>
    <n v="-111.8414559"/>
    <x v="24"/>
    <s v="AZ"/>
  </r>
  <r>
    <s v="Bluebell Bazaar 2700905 :  498 S ARIZONA AVE, CHANDLER, AZ"/>
    <n v="28179.19"/>
    <x v="2"/>
    <n v="33.295299999999997"/>
    <n v="-111.8417541"/>
    <x v="24"/>
    <s v="AZ"/>
  </r>
  <r>
    <s v="Bluebell Bazaar 2702854 :  1262 W CHANDLER BLVD, CHANDLER, AZ"/>
    <n v="39399.089999999997"/>
    <x v="2"/>
    <n v="33.306226219999999"/>
    <n v="-111.86587419999999"/>
    <x v="24"/>
    <s v="AZ"/>
  </r>
  <r>
    <s v="Bluebell Bazaar 2703377 :  3010 S GILBERT RD, CHANDLER, AZ"/>
    <n v="67072.12"/>
    <x v="2"/>
    <n v="33.262610000000002"/>
    <n v="-111.789744"/>
    <x v="24"/>
    <s v="AZ"/>
  </r>
  <r>
    <s v="Bluebell Bazaar 2703445 :  2990 N ARIZONA AVE, CHANDLER, AZ"/>
    <n v="98537.41"/>
    <x v="2"/>
    <n v="33.349518889999999"/>
    <n v="-111.8419042"/>
    <x v="24"/>
    <s v="AZ"/>
  </r>
  <r>
    <s v="Bluebell Bazaar 2703452 :  3033 N DOBSON RD, CHANDLER, AZ"/>
    <n v="91104.58"/>
    <x v="2"/>
    <n v="33.350904249999999"/>
    <n v="-111.87623840000001"/>
    <x v="24"/>
    <s v="AZ"/>
  </r>
  <r>
    <s v="Bluebell Bazaar 2703490 :  3033 S MCQUEEN RD, CHANDLER, AZ"/>
    <n v="117314.43"/>
    <x v="2"/>
    <n v="33.262532499999999"/>
    <n v="-111.8238479"/>
    <x v="24"/>
    <s v="AZ"/>
  </r>
  <r>
    <s v="Bluebell Bazaar 2705032 :  6950 W CHANDLER BLVD, CHANDLER, AZ"/>
    <n v="47726.57"/>
    <x v="2"/>
    <n v="33.305467129999997"/>
    <n v="-111.96173"/>
    <x v="24"/>
    <s v="AZ"/>
  </r>
  <r>
    <s v="Bluebell Bazaar 2705291 :  1995 S ARIZONA AVE, CHANDLER, AZ"/>
    <n v="39752.15"/>
    <x v="2"/>
    <n v="33.276809999999998"/>
    <n v="-111.841346"/>
    <x v="24"/>
    <s v="AZ"/>
  </r>
  <r>
    <s v="Bluebell Bazaar 2705301 :  6015 S ARIZONA AVE, CHANDLER, AZ"/>
    <n v="77486.179999999993"/>
    <x v="2"/>
    <n v="33.211469999999998"/>
    <n v="-111.86835000000001"/>
    <x v="24"/>
    <s v="AZ"/>
  </r>
  <r>
    <s v="Bluebell Bazaar 2705302 :  6969 W RAY RD, CHANDLER, AZ"/>
    <n v="52666.97"/>
    <x v="2"/>
    <n v="33.319652869999999"/>
    <n v="-111.96241999999999"/>
    <x v="24"/>
    <s v="AZ"/>
  </r>
  <r>
    <s v="Bluebell Bazaar 2705400 :  7351 W CHANDLER BLVD, CHANDLER, AZ"/>
    <n v="64100.57"/>
    <x v="2"/>
    <n v="33.305092870000003"/>
    <n v="-111.9684883"/>
    <x v="24"/>
    <s v="AZ"/>
  </r>
  <r>
    <s v="Bluebell Bazaar 2705973 :  1405 N ALMA SCHOOL RD, CHANDLER, AZ"/>
    <n v="93898.32"/>
    <x v="2"/>
    <n v="33.328121179999997"/>
    <n v="-111.85893590000001"/>
    <x v="24"/>
    <s v="AZ"/>
  </r>
  <r>
    <s v="Bluebell Bazaar 2706651 :  1010 E CHANDLER BLVD, CHANDLER, AZ"/>
    <n v="43706.35"/>
    <x v="2"/>
    <n v="33.306428889999999"/>
    <n v="-111.822531"/>
    <x v="24"/>
    <s v="AZ"/>
  </r>
  <r>
    <s v="Bluebell Bazaar 2708834 :  13549 E CHANDLER BLVD, CHANDLER, AZ"/>
    <n v="32275.9"/>
    <x v="2"/>
    <n v="33.306222869999999"/>
    <n v="-111.7912094"/>
    <x v="24"/>
    <s v="AZ"/>
  </r>
  <r>
    <s v="Bluebell Bazaar 2709160 :  1015 N RURAL RD, CHANDLER, AZ"/>
    <n v="35874.75"/>
    <x v="2"/>
    <n v="33.320105720000001"/>
    <n v="-111.92791889999999"/>
    <x v="24"/>
    <s v="AZ"/>
  </r>
  <r>
    <s v="Bluebell Bazaar 2709161 :  4040 W CHANDLER BLVD, CHANDLER, AZ"/>
    <n v="116867.57"/>
    <x v="2"/>
    <n v="33.305587129999999"/>
    <n v="-111.912969"/>
    <x v="24"/>
    <s v="AZ"/>
  </r>
  <r>
    <s v="Bluebell Bazaar 2709162 :  1995 W CHANDLER BLVD, CHANDLER, AZ"/>
    <n v="83974.38"/>
    <x v="2"/>
    <n v="33.305787100000003"/>
    <n v="-111.8762368"/>
    <x v="24"/>
    <s v="AZ"/>
  </r>
  <r>
    <s v="Bluebell Bazaar 2709163 :  2020 W WARNER RD, CHANDLER, AZ"/>
    <n v="62866.93"/>
    <x v="2"/>
    <n v="33.335352329999999"/>
    <n v="-111.8768445"/>
    <x v="24"/>
    <s v="AZ"/>
  </r>
  <r>
    <s v="Bluebell Bazaar 2709182 :  3989 W RAY RD, CHANDLER, AZ"/>
    <n v="95440.94"/>
    <x v="2"/>
    <n v="33.3198279"/>
    <n v="-111.9108366"/>
    <x v="24"/>
    <s v="AZ"/>
  </r>
  <r>
    <s v="Bluebell Bazaar 2709183 :  3033 W QUEEN CREEK RD, CHANDLER, AZ"/>
    <n v="125096.95"/>
    <x v="2"/>
    <n v="33.261232870000001"/>
    <n v="-111.89054"/>
    <x v="24"/>
    <s v="AZ"/>
  </r>
  <r>
    <s v="Bluebell Bazaar 2709187 :  295 S ARIZONA AVE, CHANDLER, AZ"/>
    <n v="72964.94"/>
    <x v="2"/>
    <n v="33.298957790000003"/>
    <n v="-111.84133439999999"/>
    <x v="24"/>
    <s v="AZ"/>
  </r>
  <r>
    <s v="Bluebell Bazaar 2741604 :  1015 S COOPER RD, CHANDLER, AZ"/>
    <n v="91951.38"/>
    <x v="2"/>
    <n v="33.29150138"/>
    <n v="-111.8067301"/>
    <x v="24"/>
    <s v="AZ"/>
  </r>
  <r>
    <s v="Bluebell Bazaar 2741702 :  2955 E RIGGS RD, CHANDLER, AZ"/>
    <n v="56273.52"/>
    <x v="2"/>
    <n v="33.219002889999999"/>
    <n v="-111.7907372"/>
    <x v="24"/>
    <s v="AZ"/>
  </r>
  <r>
    <s v="Mossy Hollow Market 37 :  981 W ELLIOT RD, CHANDLER, AZ"/>
    <n v="67052.320000000007"/>
    <x v="2"/>
    <n v="33.349519809999997"/>
    <n v="-111.858575"/>
    <x v="24"/>
    <s v="AZ"/>
  </r>
  <r>
    <s v="Mossy Hollow Market 51 :  1950 W RAY RD, CHANDLER, AZ"/>
    <n v="96444.95"/>
    <x v="2"/>
    <n v="33.320794509999999"/>
    <n v="-111.8755982"/>
    <x v="24"/>
    <s v="AZ"/>
  </r>
  <r>
    <s v="Mossy Hollow Market 668 :  985 E RIGGS RD, CHANDLER, AZ"/>
    <n v="107927.66"/>
    <x v="2"/>
    <n v="33.218532889999999"/>
    <n v="-111.8251673"/>
    <x v="24"/>
    <s v="AZ"/>
  </r>
  <r>
    <s v="Mossy Hollow Market 681 :  2929 E OCOTILLO RD, CHANDLER, AZ"/>
    <n v="172261.59"/>
    <x v="2"/>
    <n v="33.226059999999997"/>
    <n v="-111.79922000000001"/>
    <x v="24"/>
    <s v="AZ"/>
  </r>
  <r>
    <s v="Mossy Hollow Market 69 :  2010 S ALMA SCHOOL RD, CHANDLER, AZ"/>
    <n v="102730.7"/>
    <x v="2"/>
    <n v="33.275660000000002"/>
    <n v="-111.858904"/>
    <x v="24"/>
    <s v="AZ"/>
  </r>
  <r>
    <s v="Crimson Ridge Depot 328 :  7001 W SUNDUST RD, CHANDLER, AZ"/>
    <n v="128843.63"/>
    <x v="2"/>
    <n v="33.28064002"/>
    <n v="-111.9626062"/>
    <x v="24"/>
    <s v="AZ"/>
  </r>
  <r>
    <s v="Haven Hearth Goods 1566 :  4970 S ALMA SCHOOL RD, CHANDLER, AZ"/>
    <n v="55207.8"/>
    <x v="2"/>
    <n v="33.234349450000003"/>
    <n v="-111.8589643"/>
    <x v="24"/>
    <s v="AZ"/>
  </r>
  <r>
    <s v="Haven Hearth Goods 1604 :  1159 W CHANDLER BLVD, CHANDLER, AZ"/>
    <n v="61209.97"/>
    <x v="2"/>
    <n v="33.305842869999999"/>
    <n v="-111.8617788"/>
    <x v="24"/>
    <s v="AZ"/>
  </r>
  <r>
    <s v="Haven Hearth Goods 1605 :  1060 E RAY RD, CHANDLER, AZ"/>
    <n v="49692.57"/>
    <x v="2"/>
    <n v="33.32094712"/>
    <n v="-111.8226226"/>
    <x v="24"/>
    <s v="AZ"/>
  </r>
  <r>
    <s v="Maplewood Mercantile 1838 :  3425 W FRYE RD, CHANDLER, AZ"/>
    <n v="88437.72"/>
    <x v="2"/>
    <n v="33.297526920000003"/>
    <n v="-111.89929909999999"/>
    <x v="24"/>
    <s v="AZ"/>
  </r>
  <r>
    <s v="Maplewood Mercantile 2747 :  3777 S ARIZONA AVE, CHANDLER, AZ"/>
    <n v="65363.519999999997"/>
    <x v="2"/>
    <n v="33.251049760000001"/>
    <n v="-111.840996"/>
    <x v="24"/>
    <s v="AZ"/>
  </r>
  <r>
    <s v="Pebble &amp; Pine Pharmacy 11181 :  5975 W RAY RD, CHANDLER, AZ"/>
    <n v="14253.34"/>
    <x v="2"/>
    <n v="33.319660880000001"/>
    <n v="-111.9449575"/>
    <x v="24"/>
    <s v="AZ"/>
  </r>
  <r>
    <s v="Pebble &amp; Pine Pharmacy 2056 :  1925 W CHANDLER BLVD, CHANDLER, AZ"/>
    <n v="13849.36"/>
    <x v="2"/>
    <n v="33.305782870000002"/>
    <n v="-111.8758875"/>
    <x v="24"/>
    <s v="AZ"/>
  </r>
  <r>
    <s v="Pebble &amp; Pine Pharmacy 3531 :  4949 W CHANDLER BLVD, CHANDLER, AZ"/>
    <n v="32792.71"/>
    <x v="2"/>
    <n v="33.305232869999998"/>
    <n v="-111.92744949999999"/>
    <x v="24"/>
    <s v="AZ"/>
  </r>
  <r>
    <s v="Pebble &amp; Pine Pharmacy 3726 :  1985 E CHANDLER BLVD, CHANDLER, AZ"/>
    <n v="6825.42"/>
    <x v="2"/>
    <n v="33.30620287"/>
    <n v="-111.8072258"/>
    <x v="24"/>
    <s v="AZ"/>
  </r>
  <r>
    <s v="Pebble &amp; Pine Pharmacy 3727 :  1919 N DOBSON RD, CHANDLER, AZ"/>
    <n v="35881.82"/>
    <x v="2"/>
    <n v="33.334499999999998"/>
    <n v="-111.8761959"/>
    <x v="24"/>
    <s v="AZ"/>
  </r>
  <r>
    <s v="Pebble &amp; Pine Pharmacy 4077 :  3005 E RIGGS RD, CHANDLER, AZ"/>
    <n v="11398.74"/>
    <x v="2"/>
    <n v="33.21901287"/>
    <n v="-111.7888425"/>
    <x v="24"/>
    <s v="AZ"/>
  </r>
  <r>
    <s v="Pebble &amp; Pine Pharmacy 4792 :  55 E RAY RD, CHANDLER, AZ"/>
    <m/>
    <x v="2"/>
    <n v="33.320432889999999"/>
    <n v="-111.84089729999999"/>
    <x v="24"/>
    <s v="AZ"/>
  </r>
  <r>
    <s v="Pebble &amp; Pine Pharmacy 4793 :  1975 S ALMA SCHOOL RD, CHANDLER, AZ"/>
    <n v="17157.48"/>
    <x v="2"/>
    <n v="33.276954140000001"/>
    <n v="-111.8583802"/>
    <x v="24"/>
    <s v="AZ"/>
  </r>
  <r>
    <s v="Pebble &amp; Pine Pharmacy 7723 :  975 E OCOTILLO RD, CHANDLER, AZ"/>
    <n v="14144.01"/>
    <x v="2"/>
    <n v="33.247632869999997"/>
    <n v="-111.82485939999999"/>
    <x v="24"/>
    <s v="AZ"/>
  </r>
  <r>
    <s v="Rusty Cart Grocers 89 :  12321 W GRAND AVE, EL MIRAGE, AZ"/>
    <n v="23903.4"/>
    <x v="2"/>
    <n v="33.618708720000001"/>
    <n v="-112.3253832"/>
    <x v="25"/>
    <s v="AZ"/>
  </r>
  <r>
    <s v="Bluebell Bazaar 2741669 :  13777 N DYSART RD, EL MIRAGE, AZ"/>
    <n v="140867.54"/>
    <x v="2"/>
    <n v="33.609205000000003"/>
    <n v="-112.3417053"/>
    <x v="25"/>
    <s v="AZ"/>
  </r>
  <r>
    <s v="Pebble &amp; Pine Pharmacy 6428 :  15385 N DYSART RD, EL MIRAGE, AZ"/>
    <m/>
    <x v="2"/>
    <n v="33.623017930000003"/>
    <n v="-112.34189569999999"/>
    <x v="25"/>
    <s v="AZ"/>
  </r>
  <r>
    <s v="Pebble &amp; Pine Pharmacy 7026 :  12244 W CACTUS RD, EL MIRAGE, AZ"/>
    <n v="28691.95"/>
    <x v="2"/>
    <n v="33.594642120000003"/>
    <n v="-112.3238779"/>
    <x v="25"/>
    <s v="AZ"/>
  </r>
  <r>
    <s v="Iron Pine Outpost 47 :  16605 E PALISADES, FOUNTAIN HILLS, AZ"/>
    <n v="22601.07"/>
    <x v="2"/>
    <n v="33.60845132"/>
    <n v="-111.7200369"/>
    <x v="26"/>
    <s v="AZ"/>
  </r>
  <r>
    <s v="Bluebell Bazaar 2705030 :  9618 SAGUARO BLVD, FOUNTAIN HILLS, AZ"/>
    <n v="63342.57"/>
    <x v="2"/>
    <n v="33.57373252"/>
    <n v="-111.7138569"/>
    <x v="26"/>
    <s v="AZ"/>
  </r>
  <r>
    <s v="Bluebell Bazaar 2706664 :  17125 E SHEA BLVD, FOUNTAIN HILLS, AZ"/>
    <n v="52257.67"/>
    <x v="2"/>
    <n v="33.570894619999997"/>
    <n v="-111.7120388"/>
    <x v="26"/>
    <s v="AZ"/>
  </r>
  <r>
    <s v="Mossy Hollow Market 70 :  14845 E SHEA BLVD, FOUNTAIN HILLS, AZ"/>
    <n v="24652"/>
    <x v="2"/>
    <n v="33.579725660000001"/>
    <n v="-111.7603233"/>
    <x v="26"/>
    <s v="AZ"/>
  </r>
  <r>
    <s v="Haven Hearth Goods 1291 :  13733 FOUNTAIN HILLS BLVD, FOUNTAIN HILLS, AZ"/>
    <n v="51247.94"/>
    <x v="2"/>
    <n v="33.609862010000001"/>
    <n v="-111.7293275"/>
    <x v="26"/>
    <s v="AZ"/>
  </r>
  <r>
    <s v="Maplewood Mercantile 1432 :  16825 E SHEA BLVD, FOUNTAIN HILLS, AZ"/>
    <n v="24946.43"/>
    <x v="2"/>
    <n v="33.574844050000003"/>
    <n v="-111.7171218"/>
    <x v="26"/>
    <s v="AZ"/>
  </r>
  <r>
    <s v="Pebble &amp; Pine Pharmacy 6060 :  16415 E PALISADES BLVD, FOUNTAIN HILLS, AZ"/>
    <n v="9008.35"/>
    <x v="2"/>
    <n v="33.610172679999998"/>
    <n v="-111.7257312"/>
    <x v="26"/>
    <s v="AZ"/>
  </r>
  <r>
    <s v="Bluebell Bazaar 2703479 :  710 W PIMA ST, GILA BEND, AZ"/>
    <n v="74737.75"/>
    <x v="2"/>
    <n v="32.944202490000002"/>
    <n v="-112.7310217"/>
    <x v="27"/>
    <s v="AZ"/>
  </r>
  <r>
    <s v="Crimson Ridge Depot 296 :  820 W PIMA ST, GILA BEND, AZ"/>
    <n v="88924.69"/>
    <x v="2"/>
    <n v="32.943702049999999"/>
    <n v="-112.7336621"/>
    <x v="27"/>
    <s v="AZ"/>
  </r>
  <r>
    <s v="Timberline Market 1243 :  3006 S BUTTERFIELD TRL, GILA BEND, AZ"/>
    <n v="55353.208780000001"/>
    <x v="2"/>
    <n v="32.930386839999997"/>
    <n v="-112.6743283"/>
    <x v="27"/>
    <s v="AZ"/>
  </r>
  <r>
    <s v="Mr Fantastic's Emporium 26908 :  1157 N GILBERT RD, GILBERT, AZ"/>
    <n v="44299.49"/>
    <x v="2"/>
    <n v="33.370843020000002"/>
    <n v="-111.7897421"/>
    <x v="28"/>
    <s v="AZ"/>
  </r>
  <r>
    <s v="Mr Fantastic's Emporium 27876 :  785 W ELLIOT RD, GILBERT, AZ"/>
    <n v="33106.120000000003"/>
    <x v="2"/>
    <n v="33.349733989999997"/>
    <n v="-111.8068758"/>
    <x v="28"/>
    <s v="AZ"/>
  </r>
  <r>
    <s v="Mr Fantastic's Emporium 32602 :  785 S VAL VISTA DR, GILBERT, AZ"/>
    <n v="49195.88"/>
    <x v="2"/>
    <n v="33.336099750000002"/>
    <n v="-111.75539019999999"/>
    <x v="28"/>
    <s v="AZ"/>
  </r>
  <r>
    <s v="Driftwood Market 23 :  861 E WARNER RD, GILBERT, AZ"/>
    <n v="39329.29"/>
    <x v="2"/>
    <n v="33.335385549999998"/>
    <n v="-111.77166560000001"/>
    <x v="28"/>
    <s v="AZ"/>
  </r>
  <r>
    <s v="Cloudline Provisions 83580 :  786 W GUADALUPE, GILBERT, AZ"/>
    <n v="37442.69"/>
    <x v="2"/>
    <n v="33.364497129999997"/>
    <n v="-111.80651140000001"/>
    <x v="28"/>
    <s v="AZ"/>
  </r>
  <r>
    <s v="Iron Pine Outpost 172 :  99 S HIGLEY RD, GILBERT, AZ"/>
    <n v="31728.880000000001"/>
    <x v="2"/>
    <n v="33.34807361"/>
    <n v="-111.72113589999999"/>
    <x v="28"/>
    <s v="AZ"/>
  </r>
  <r>
    <s v="Bluebell Bazaar 2700412 :  503 N GILBERT RD, GILBERT, AZ"/>
    <n v="39996.49"/>
    <x v="2"/>
    <n v="33.359648569999997"/>
    <n v="-111.7895858"/>
    <x v="28"/>
    <s v="AZ"/>
  </r>
  <r>
    <s v="Bluebell Bazaar 2703366 :  1564 E RAY RD, GILBERT, AZ"/>
    <n v="59975.49"/>
    <x v="2"/>
    <n v="33.321403889999999"/>
    <n v="-111.75646759999999"/>
    <x v="28"/>
    <s v="AZ"/>
  </r>
  <r>
    <s v="Bluebell Bazaar 2703372 :  3077 S VAL VISTA DR, GILBERT, AZ"/>
    <n v="89552.41"/>
    <x v="2"/>
    <n v="33.295390449999999"/>
    <n v="-111.7552859"/>
    <x v="28"/>
    <s v="AZ"/>
  </r>
  <r>
    <s v="Bluebell Bazaar 2703373 :  888 S HIGLEY RD, GILBERT, AZ"/>
    <n v="107171.38"/>
    <x v="2"/>
    <n v="33.333353289999998"/>
    <n v="-111.7214913"/>
    <x v="28"/>
    <s v="AZ"/>
  </r>
  <r>
    <s v="Bluebell Bazaar 2703383 :  7260 S POWER RD, GILBERT, AZ"/>
    <n v="123325.1"/>
    <x v="2"/>
    <n v="33.283329639999998"/>
    <n v="-111.6865179"/>
    <x v="28"/>
    <s v="AZ"/>
  </r>
  <r>
    <s v="Bluebell Bazaar 2703419 :  5202 E BASELINE RD, GILBERT, AZ"/>
    <n v="87569.06"/>
    <x v="2"/>
    <n v="33.379462099999998"/>
    <n v="-111.7220015"/>
    <x v="28"/>
    <s v="AZ"/>
  </r>
  <r>
    <s v="Bluebell Bazaar 2703462 :  3155 S GILBERT RD, GILBERT, AZ"/>
    <n v="85518.42"/>
    <x v="2"/>
    <n v="33.292771430000002"/>
    <n v="-111.78941589999999"/>
    <x v="28"/>
    <s v="AZ"/>
  </r>
  <r>
    <s v="Bluebell Bazaar 2703478 :  6761 E BASELINE RD, GILBERT, AZ"/>
    <n v="60282.97"/>
    <x v="2"/>
    <n v="33.335709999999999"/>
    <n v="-111.73874000000001"/>
    <x v="28"/>
    <s v="AZ"/>
  </r>
  <r>
    <s v="Bluebell Bazaar 2705286 :  751 N ARIZONA AVE, GILBERT, AZ"/>
    <n v="43363.22"/>
    <x v="2"/>
    <n v="33.363169999999997"/>
    <n v="-111.8416658"/>
    <x v="28"/>
    <s v="AZ"/>
  </r>
  <r>
    <s v="Bluebell Bazaar 2705292 :  750 E WARNER RD, GILBERT, AZ"/>
    <n v="36296.559999999998"/>
    <x v="2"/>
    <n v="33.335791960000002"/>
    <n v="-111.7741848"/>
    <x v="28"/>
    <s v="AZ"/>
  </r>
  <r>
    <s v="Bluebell Bazaar 2705293 :  3230 E WILLIAMS FIELD RD, GILBERT, AZ"/>
    <n v="68435.39"/>
    <x v="2"/>
    <n v="33.307137130000001"/>
    <n v="-111.7210006"/>
    <x v="28"/>
    <s v="AZ"/>
  </r>
  <r>
    <s v="Bluebell Bazaar 2705294 :  755 W WARNER RD, GILBERT, AZ"/>
    <n v="37647.919999999998"/>
    <x v="2"/>
    <n v="33.335174070000001"/>
    <n v="-111.8059282"/>
    <x v="28"/>
    <s v="AZ"/>
  </r>
  <r>
    <s v="Bluebell Bazaar 2705307 :  3589 E BASELINE RD, GILBERT, AZ"/>
    <n v="63664.47"/>
    <x v="2"/>
    <n v="33.378952890000001"/>
    <n v="-111.754277"/>
    <x v="28"/>
    <s v="AZ"/>
  </r>
  <r>
    <s v="Bluebell Bazaar 2705316 :  1189 E BASELINE RD, GILBERT, AZ"/>
    <n v="47220.15"/>
    <x v="2"/>
    <n v="33.378712870000001"/>
    <n v="-111.8075544"/>
    <x v="28"/>
    <s v="AZ"/>
  </r>
  <r>
    <s v="Bluebell Bazaar 2706355 :  33 S VAL VISTA DR, GILBERT, AZ"/>
    <n v="60015.96"/>
    <x v="2"/>
    <n v="33.349534550000001"/>
    <n v="-111.7554258"/>
    <x v="28"/>
    <s v="AZ"/>
  </r>
  <r>
    <s v="Bluebell Bazaar 2709550 :  1650 E GERMANN RD, GILBERT, AZ"/>
    <n v="121690.21"/>
    <x v="2"/>
    <n v="33.277857130000001"/>
    <n v="-111.7546057"/>
    <x v="28"/>
    <s v="AZ"/>
  </r>
  <r>
    <s v="Bluebell Bazaar 2741601 :  1611 E GUADALUPE RD, GILBERT, AZ"/>
    <n v="45617.66"/>
    <x v="2"/>
    <n v="33.364526769999998"/>
    <n v="-111.7556726"/>
    <x v="28"/>
    <s v="AZ"/>
  </r>
  <r>
    <s v="Bluebell Bazaar 2741642 :  7165 S VAL VISTA RD, GILBERT, AZ"/>
    <n v="122273.08"/>
    <x v="2"/>
    <n v="33.238979999999998"/>
    <n v="-111.72681"/>
    <x v="28"/>
    <s v="AZ"/>
  </r>
  <r>
    <s v="Mossy Hollow Market 15 :  3751 E BASELINE RD, GILBERT, AZ"/>
    <m/>
    <x v="2"/>
    <n v="33.378962870000002"/>
    <n v="-111.751463"/>
    <x v="28"/>
    <s v="AZ"/>
  </r>
  <r>
    <s v="Mossy Hollow Market 52 :  855 W WARNER RD, GILBERT, AZ"/>
    <n v="110354.88"/>
    <x v="2"/>
    <n v="33.335162869999998"/>
    <n v="-111.80804000000001"/>
    <x v="28"/>
    <s v="AZ"/>
  </r>
  <r>
    <s v="Mossy Hollow Market 615 :  1455 N HIGLEY RD, GILBERT, AZ"/>
    <n v="151919.98000000001"/>
    <x v="2"/>
    <n v="33.376719979999997"/>
    <n v="-111.7220619"/>
    <x v="28"/>
    <s v="AZ"/>
  </r>
  <r>
    <s v="Mossy Hollow Market 624 :  1845 E BASELINE RD, GILBERT, AZ"/>
    <n v="146492.51999999999"/>
    <x v="2"/>
    <n v="33.378782870000002"/>
    <n v="-111.7917521"/>
    <x v="28"/>
    <s v="AZ"/>
  </r>
  <r>
    <s v="Mossy Hollow Market 64 :  714 S VAL VIS, GILBERT, AZ"/>
    <n v="94412.96"/>
    <x v="2"/>
    <n v="33.337380000000003"/>
    <n v="-111.7559041"/>
    <x v="28"/>
    <s v="AZ"/>
  </r>
  <r>
    <s v="Mossy Hollow Market 655 :  3490 S POWER RD, GILBERT, AZ"/>
    <n v="89257.73"/>
    <x v="2"/>
    <s v="N/A"/>
    <s v="N/A"/>
    <x v="28"/>
    <s v="AZ"/>
  </r>
  <r>
    <s v="Mossy Hollow Market 658 :  4075 E WILLIAMS FIELD RD, GILBERT, AZ"/>
    <n v="197276.16"/>
    <x v="2"/>
    <n v="33.306629999999998"/>
    <n v="-111.73753000000001"/>
    <x v="28"/>
    <s v="AZ"/>
  </r>
  <r>
    <s v="Mossy Hollow Market 670 :  6470 S HIGLEY RD, GILBERT, AZ"/>
    <n v="141728"/>
    <x v="2"/>
    <n v="33.232536670000002"/>
    <n v="-111.72075390000001"/>
    <x v="28"/>
    <s v="AZ"/>
  </r>
  <r>
    <s v="Mossy Hollow Market 72 :  87 E WILLIAMS FIELD RD, GILBERT, AZ"/>
    <n v="99252.86"/>
    <x v="2"/>
    <n v="33.30622726"/>
    <n v="-111.78822839999999"/>
    <x v="28"/>
    <s v="AZ"/>
  </r>
  <r>
    <s v="Mossy Hollow Market 75 :  3261 E PECOS RD, GILBERT, AZ"/>
    <n v="106059.57"/>
    <x v="2"/>
    <n v="33.292296729999997"/>
    <n v="-111.719397"/>
    <x v="28"/>
    <s v="AZ"/>
  </r>
  <r>
    <s v="Sunny Pebble Co. 811 :  4027 S GILBERT RD, GILBERT, AZ"/>
    <n v="42103.75"/>
    <x v="2"/>
    <n v="33.27761769"/>
    <n v="-111.78938599999999"/>
    <x v="28"/>
    <s v="AZ"/>
  </r>
  <r>
    <s v="Sunny Pebble Co. 812 :  2870 S MARKET ST, GILBERT, AZ"/>
    <n v="51076.53"/>
    <x v="2"/>
    <n v="33.298442880000003"/>
    <n v="-111.7458247"/>
    <x v="28"/>
    <s v="AZ"/>
  </r>
  <r>
    <s v="Haven Hearth Goods 1534 :  90 S VAL VISTA DR, GILBERT, AZ"/>
    <n v="35431.839999999997"/>
    <x v="2"/>
    <n v="33.348432000000003"/>
    <n v="-111.75591420000001"/>
    <x v="28"/>
    <s v="AZ"/>
  </r>
  <r>
    <s v="Haven Hearth Goods 1748 :  5137 E BASELINE RD, GILBERT, AZ"/>
    <n v="27439.77"/>
    <x v="2"/>
    <n v="33.379072870000002"/>
    <n v="-111.72332"/>
    <x v="28"/>
    <s v="AZ"/>
  </r>
  <r>
    <s v="Jellybean Junction 1960 :  3931 S GILBERT RD, GILBERT, AZ"/>
    <n v="107379.22"/>
    <x v="2"/>
    <n v="33.27873889"/>
    <n v="-111.789396"/>
    <x v="28"/>
    <s v="AZ"/>
  </r>
  <r>
    <s v="Maplewood Mercantile 1209 :  1515 E WARNER RD, GILBERT, AZ"/>
    <n v="61732.14"/>
    <x v="2"/>
    <n v="33.33544294"/>
    <n v="-111.75766470000001"/>
    <x v="28"/>
    <s v="AZ"/>
  </r>
  <r>
    <s v="Pebble &amp; Pine Pharmacy 10260 :  3230 E CHANDLER HEIGHTS RD, GILBERT, AZ"/>
    <n v="12324.17"/>
    <x v="2"/>
    <n v="33.233961299999997"/>
    <n v="-111.7197843"/>
    <x v="28"/>
    <s v="AZ"/>
  </r>
  <r>
    <s v="Pebble &amp; Pine Pharmacy 21450 :  4750 S VAL VISTA DR, GILBERT, AZ"/>
    <n v="3908.66"/>
    <x v="2"/>
    <s v="N/A"/>
    <s v="N/A"/>
    <x v="28"/>
    <s v="AZ"/>
  </r>
  <r>
    <s v="Pebble &amp; Pine Pharmacy 3008 :  785 S COOPER RD, GILBERT, AZ"/>
    <n v="12205.28"/>
    <x v="2"/>
    <n v="33.336309999999997"/>
    <n v="-111.8067659"/>
    <x v="28"/>
    <s v="AZ"/>
  </r>
  <r>
    <s v="Pebble &amp; Pine Pharmacy 3184 :  1585 E GUADALUPE RD, GILBERT, AZ"/>
    <n v="11071.13"/>
    <x v="2"/>
    <n v="33.364572870000003"/>
    <n v="-111.7570784"/>
    <x v="28"/>
    <s v="AZ"/>
  </r>
  <r>
    <s v="Pebble &amp; Pine Pharmacy 4018 :  2345 E BASELINE RD, GILBERT, AZ"/>
    <n v="10621.62"/>
    <x v="2"/>
    <n v="33.37882287"/>
    <n v="-111.7826238"/>
    <x v="28"/>
    <s v="AZ"/>
  </r>
  <r>
    <s v="Pebble &amp; Pine Pharmacy 4543 :  805 S VAL VISTA DR, GILBERT, AZ"/>
    <n v="7832.74"/>
    <x v="2"/>
    <n v="33.335439170000001"/>
    <n v="-111.755388"/>
    <x v="28"/>
    <s v="AZ"/>
  </r>
  <r>
    <s v="Pebble &amp; Pine Pharmacy 5215 :  2363 S LINDSAY RD, GILBERT, AZ"/>
    <n v="12913.48"/>
    <x v="2"/>
    <n v="33.307416250000003"/>
    <n v="-111.7726859"/>
    <x v="28"/>
    <s v="AZ"/>
  </r>
  <r>
    <s v="Pebble &amp; Pine Pharmacy 5799 :  754 N HIGLEY RD, GILBERT, AZ"/>
    <n v="11111.88"/>
    <x v="2"/>
    <n v="33.364402990000002"/>
    <n v="-111.7220179"/>
    <x v="28"/>
    <s v="AZ"/>
  </r>
  <r>
    <s v="Pebble &amp; Pine Pharmacy 6062 :  76 W GUADALUPE RD, GILBERT, AZ"/>
    <n v="9354.6299999999992"/>
    <x v="2"/>
    <n v="33.364647130000002"/>
    <n v="-111.79146"/>
    <x v="28"/>
    <s v="AZ"/>
  </r>
  <r>
    <s v="Pebble &amp; Pine Pharmacy 6692 :  4766 E QUEEN CREEK RD, GILBERT, AZ"/>
    <n v="20229.96"/>
    <x v="2"/>
    <n v="33.266587010000002"/>
    <n v="-111.6860968"/>
    <x v="28"/>
    <s v="AZ"/>
  </r>
  <r>
    <s v="Pebble &amp; Pine Pharmacy 6880 :  2431 S HIGLEY RD, GILBERT, AZ"/>
    <n v="16454.7"/>
    <x v="2"/>
    <n v="33.30574"/>
    <n v="-111.72091589999999"/>
    <x v="28"/>
    <s v="AZ"/>
  </r>
  <r>
    <s v="Pebble &amp; Pine Pharmacy 7747 :  3233 E GERMANN RD, GILBERT, AZ"/>
    <n v="19100.18"/>
    <x v="2"/>
    <n v="33.27748287"/>
    <n v="-111.71978"/>
    <x v="28"/>
    <s v="AZ"/>
  </r>
  <r>
    <s v="Mr Fantastic's Emporium 16623 :  5925 W OLIVE AVE, GLENDALE, AZ"/>
    <n v="36269.69"/>
    <x v="2"/>
    <n v="33.567365389999999"/>
    <n v="-112.186842"/>
    <x v="29"/>
    <s v="AZ"/>
  </r>
  <r>
    <s v="Mr Fantastic's Emporium 42301 :  5303 W BELL RD, GLENDALE, AZ"/>
    <n v="44528.78"/>
    <x v="2"/>
    <s v="N/A"/>
    <s v="N/A"/>
    <x v="29"/>
    <s v="AZ"/>
  </r>
  <r>
    <s v="Snap &amp; Go 117 :  20050 N 67TH AVE, GLENDALE, AZ"/>
    <n v="7309.19"/>
    <x v="2"/>
    <n v="33.665866360000003"/>
    <n v="-112.20324479999999"/>
    <x v="29"/>
    <s v="AZ"/>
  </r>
  <r>
    <s v="Driftwood Market 3941 :  5040 W CACTUS, GLENDALE, AZ"/>
    <n v="41501.410000000003"/>
    <x v="2"/>
    <n v="33.596467130000001"/>
    <n v="-112.16744"/>
    <x v="29"/>
    <s v="AZ"/>
  </r>
  <r>
    <s v="Rusty Cart Grocers 142 :  6020 N 59TH AVE, GLENDALE, AZ"/>
    <n v="33986.449999999997"/>
    <x v="2"/>
    <n v="33.525402739999997"/>
    <n v="-112.1864345"/>
    <x v="29"/>
    <s v="AZ"/>
  </r>
  <r>
    <s v="Bluebell Bazaar 2674 :  6937 N 75TH AVE, GLENDALE, AZ"/>
    <n v="29545.01"/>
    <x v="2"/>
    <n v="33.536199340000003"/>
    <n v="-112.2203169"/>
    <x v="29"/>
    <s v="AZ"/>
  </r>
  <r>
    <s v="Bluebell Bazaar 2700041 :  6002 NW GRAND AVE, GLENDALE, AZ"/>
    <n v="41723.230000000003"/>
    <x v="2"/>
    <n v="33.54175231"/>
    <n v="-112.1894515"/>
    <x v="29"/>
    <s v="AZ"/>
  </r>
  <r>
    <s v="Bluebell Bazaar 2701750 :  5049 W PEORIA, GLENDALE, AZ"/>
    <n v="47804.44"/>
    <x v="2"/>
    <n v="33.581735590000001"/>
    <n v="-112.1679355"/>
    <x v="29"/>
    <s v="AZ"/>
  </r>
  <r>
    <s v="Bluebell Bazaar 2701908 :  13843 W GLENDALE AVE, GLENDALE, AZ"/>
    <n v="56777.3"/>
    <x v="2"/>
    <n v="33.536739650000001"/>
    <n v="-112.3570181"/>
    <x v="29"/>
    <s v="AZ"/>
  </r>
  <r>
    <s v="Bluebell Bazaar 2701954 :  5907 W BETHANY HOME RD, GLENDALE, AZ"/>
    <n v="33054.74"/>
    <x v="2"/>
    <n v="33.523922890000001"/>
    <n v="-112.1869473"/>
    <x v="29"/>
    <s v="AZ"/>
  </r>
  <r>
    <s v="Bluebell Bazaar 2701967 :  5902 W BELL RD, GLENDALE, AZ"/>
    <n v="38170.51"/>
    <x v="2"/>
    <n v="33.638906720000001"/>
    <n v="-112.18654220000001"/>
    <x v="29"/>
    <s v="AZ"/>
  </r>
  <r>
    <s v="Bluebell Bazaar 2702875 :  9002 N 47TH AVE, GLENDALE, AZ"/>
    <n v="32912.94"/>
    <x v="2"/>
    <n v="33.56755252"/>
    <n v="-112.16046350000001"/>
    <x v="29"/>
    <s v="AZ"/>
  </r>
  <r>
    <s v="Bluebell Bazaar 2703378 :  5880 W CAMELBACK RD, GLENDALE, AZ"/>
    <n v="66189.179999999993"/>
    <x v="2"/>
    <n v="33.509757100000002"/>
    <n v="-112.1857634"/>
    <x v="29"/>
    <s v="AZ"/>
  </r>
  <r>
    <s v="Bluebell Bazaar 2703441 :  4303 W GLENDALE AVE, GLENDALE, AZ"/>
    <n v="82318.69"/>
    <x v="2"/>
    <n v="33.538252989999997"/>
    <n v="-112.1516632"/>
    <x v="29"/>
    <s v="AZ"/>
  </r>
  <r>
    <s v="Bluebell Bazaar 2703448 :  5155 W OLIVE AVE, GLENDALE, AZ"/>
    <n v="75545.47"/>
    <x v="2"/>
    <n v="33.567352870000001"/>
    <n v="-112.1703725"/>
    <x v="29"/>
    <s v="AZ"/>
  </r>
  <r>
    <s v="Bluebell Bazaar 2703477 :  13051 W GLENDALE AVE, GLENDALE, AZ"/>
    <n v="111588.94"/>
    <x v="2"/>
    <n v="33.536551879999998"/>
    <n v="-112.33932590000001"/>
    <x v="29"/>
    <s v="AZ"/>
  </r>
  <r>
    <s v="Bluebell Bazaar 2705322 :  24838 N 35TH AVE, GLENDALE, AZ"/>
    <n v="49398.47"/>
    <x v="2"/>
    <n v="33.712001829999998"/>
    <n v="-112.13519479999999"/>
    <x v="29"/>
    <s v="AZ"/>
  </r>
  <r>
    <s v="Bluebell Bazaar 2705576 :  24831 N 67TH AVE, GLENDALE, AZ"/>
    <n v="53207.05"/>
    <x v="2"/>
    <n v="33.710803749999997"/>
    <n v="-112.2029651"/>
    <x v="29"/>
    <s v="AZ"/>
  </r>
  <r>
    <s v="Bluebell Bazaar 2705766 :  6972 N 83RD AVE, GLENDALE, AZ"/>
    <n v="83756.740000000005"/>
    <x v="2"/>
    <n v="33.537103999999999"/>
    <n v="-112.23783450000001"/>
    <x v="29"/>
    <s v="AZ"/>
  </r>
  <r>
    <s v="Bluebell Bazaar 2706655 :  20207 N 59TH AVE, GLENDALE, AZ"/>
    <n v="56909.73"/>
    <x v="2"/>
    <n v="33.668859230000002"/>
    <n v="-112.18648520000001"/>
    <x v="29"/>
    <s v="AZ"/>
  </r>
  <r>
    <s v="Bluebell Bazaar 2706657 :  5848 W OLIVE AVE, GLENDALE, AZ"/>
    <n v="45617.41"/>
    <x v="2"/>
    <n v="33.567647129999997"/>
    <n v="-112.1853078"/>
    <x v="29"/>
    <s v="AZ"/>
  </r>
  <r>
    <s v="Bluebell Bazaar 2706658 :  5881 W CACTUS RD, GLENDALE, AZ"/>
    <n v="49888.67"/>
    <x v="2"/>
    <n v="33.596176110000002"/>
    <n v="-112.1856823"/>
    <x v="29"/>
    <s v="AZ"/>
  </r>
  <r>
    <s v="Bluebell Bazaar 2709181 :  20203 N 67TH AVE, GLENDALE, AZ"/>
    <n v="66297.789999999994"/>
    <x v="2"/>
    <n v="33.668598430000003"/>
    <n v="-112.2027659"/>
    <x v="29"/>
    <s v="AZ"/>
  </r>
  <r>
    <s v="Bluebell Bazaar 2709542 :  10725 W NORTHERN AVE, GLENDALE, AZ"/>
    <n v="132703.57"/>
    <x v="2"/>
    <n v="33.550892869999998"/>
    <n v="-112.29017"/>
    <x v="29"/>
    <s v="AZ"/>
  </r>
  <r>
    <s v="Bluebell Bazaar 2741626 :  6691 W GREENWAY RD, GLENDALE, AZ"/>
    <n v="32346.76"/>
    <x v="2"/>
    <n v="33.624923099999997"/>
    <n v="-112.2022303"/>
    <x v="29"/>
    <s v="AZ"/>
  </r>
  <r>
    <s v="Bright Barrel Market 42 :  (KLF) LUKE AFB, AZ, GLENDALE, AZ"/>
    <n v="52556.41"/>
    <x v="2"/>
    <n v="33.532179999999997"/>
    <n v="-112.30898999999999"/>
    <x v="29"/>
    <s v="AZ"/>
  </r>
  <r>
    <s v="Mossy Hollow Market 10 :  4353 W BETHANY HOME RD, GLENDALE, AZ"/>
    <n v="85566.64"/>
    <x v="2"/>
    <n v="33.52379371"/>
    <n v="-112.1531718"/>
    <x v="29"/>
    <s v="AZ"/>
  </r>
  <r>
    <s v="Mossy Hollow Market 11 :  6710 W BETHANY HOME RD, GLENDALE, AZ"/>
    <n v="89453.15"/>
    <x v="2"/>
    <n v="33.524023509999999"/>
    <n v="-112.2033706"/>
    <x v="29"/>
    <s v="AZ"/>
  </r>
  <r>
    <s v="Mossy Hollow Market 136 :  4329 W NERN AVE, GLENDALE, AZ"/>
    <n v="125766.99"/>
    <x v="2"/>
    <n v="33.531739999999999"/>
    <n v="-112.17795"/>
    <x v="29"/>
    <s v="AZ"/>
  </r>
  <r>
    <s v="Mossy Hollow Market 26 :  5116 W OLIVE, GLENDALE, AZ"/>
    <n v="96954.8"/>
    <x v="2"/>
    <n v="33.567685509999997"/>
    <n v="-112.1698731"/>
    <x v="29"/>
    <s v="AZ"/>
  </r>
  <r>
    <s v="Mossy Hollow Market 28 :  4315 W BELL RD, GLENDALE, AZ"/>
    <n v="90745.87"/>
    <x v="2"/>
    <n v="33.639072900000002"/>
    <n v="-112.15286639999999"/>
    <x v="29"/>
    <s v="AZ"/>
  </r>
  <r>
    <s v="Mossy Hollow Market 6 :  5771 W THUNDERBIRD RD, GLENDALE, AZ"/>
    <n v="98529.919999999998"/>
    <x v="2"/>
    <n v="33.610552869999999"/>
    <n v="-112.1836117"/>
    <x v="29"/>
    <s v="AZ"/>
  </r>
  <r>
    <s v="Mossy Hollow Market 60 :  20220 N 59TH AVE, GLENDALE, AZ"/>
    <n v="66671.88"/>
    <x v="2"/>
    <n v="33.669020830000001"/>
    <n v="-112.18700459999999"/>
    <x v="29"/>
    <s v="AZ"/>
  </r>
  <r>
    <s v="Mossy Hollow Market 625 :  6611 W BELL RD, GLENDALE, AZ"/>
    <n v="131107.32"/>
    <x v="2"/>
    <n v="33.638210479999998"/>
    <n v="-112.1990417"/>
    <x v="29"/>
    <s v="AZ"/>
  </r>
  <r>
    <s v="Mossy Hollow Market 73 :  6625 W HAPPY VALLEY RD, GLENDALE, AZ"/>
    <n v="70673.039999999994"/>
    <x v="2"/>
    <n v="33.711992870000003"/>
    <n v="-112.20144999999999"/>
    <x v="29"/>
    <s v="AZ"/>
  </r>
  <r>
    <s v="Haven Hearth Goods 1510 :  20205 N 67TH AVE # 100, GLENDALE, AZ"/>
    <n v="44961.07"/>
    <x v="2"/>
    <n v="33.668623429999997"/>
    <n v="-112.2027665"/>
    <x v="29"/>
    <s v="AZ"/>
  </r>
  <r>
    <s v="Haven Hearth Goods 2821 :  3800 W HAPPY VLY, GLENDALE, AZ"/>
    <n v="88843.83"/>
    <x v="2"/>
    <n v="33.697479999999999"/>
    <n v="-112.176"/>
    <x v="29"/>
    <s v="AZ"/>
  </r>
  <r>
    <s v="Maplewood Mercantile 1361 :  9350 W NORTHERN AVE, GLENDALE, AZ"/>
    <n v="90909.72"/>
    <x v="2"/>
    <n v="33.551809830000003"/>
    <n v="-112.26039830000001"/>
    <x v="29"/>
    <s v="AZ"/>
  </r>
  <r>
    <s v="Maplewood Mercantile 2341 :  10404 N 43RD AVE, GLENDALE, AZ"/>
    <n v="73507.22"/>
    <x v="2"/>
    <n v="33.580792219999999"/>
    <n v="-112.1516846"/>
    <x v="29"/>
    <s v="AZ"/>
  </r>
  <r>
    <s v="Pebble &amp; Pine Pharmacy 1969 :  6006 N 67TH AVE, GLENDALE, AZ"/>
    <n v="9899.0300000000007"/>
    <x v="2"/>
    <n v="33.524160000000002"/>
    <n v="-112.2033145"/>
    <x v="29"/>
    <s v="AZ"/>
  </r>
  <r>
    <s v="Pebble &amp; Pine Pharmacy 3003 :  6690 W UNION HILLS DR, GLENDALE, AZ"/>
    <n v="22985.33"/>
    <x v="2"/>
    <n v="33.653040390000001"/>
    <n v="-112.20277369999999"/>
    <x v="29"/>
    <s v="AZ"/>
  </r>
  <r>
    <s v="Pebble &amp; Pine Pharmacy 3049 :  4965 W BELL RD, GLENDALE, AZ"/>
    <n v="17572.37"/>
    <x v="2"/>
    <n v="33.638841829999997"/>
    <n v="-112.1669526"/>
    <x v="29"/>
    <s v="AZ"/>
  </r>
  <r>
    <s v="Pebble &amp; Pine Pharmacy 3385 :  5421 W THUNDERBIRD RD, GLENDALE, AZ"/>
    <n v="11216.34"/>
    <x v="2"/>
    <n v="33.610592869999998"/>
    <n v="-112.17664000000001"/>
    <x v="29"/>
    <s v="AZ"/>
  </r>
  <r>
    <s v="Pebble &amp; Pine Pharmacy 4020 :  5895 W PEORIA AVE, GLENDALE, AZ"/>
    <n v="17423.63"/>
    <x v="2"/>
    <n v="33.581702870000001"/>
    <n v="-112.18592"/>
    <x v="29"/>
    <s v="AZ"/>
  </r>
  <r>
    <s v="Pebble &amp; Pine Pharmacy 4228 :  5125 W NORTHERN AVE, GLENDALE, AZ"/>
    <n v="15327.89"/>
    <x v="2"/>
    <n v="33.552922870000003"/>
    <n v="-112.16928420000001"/>
    <x v="29"/>
    <s v="AZ"/>
  </r>
  <r>
    <s v="Pebble &amp; Pine Pharmacy 4434 :  22280 N 67TH AVE, GLENDALE, AZ"/>
    <n v="12414.25"/>
    <x v="2"/>
    <n v="33.684019999999997"/>
    <n v="-112.2032548"/>
    <x v="29"/>
    <s v="AZ"/>
  </r>
  <r>
    <s v="Pebble &amp; Pine Pharmacy 5266 :  21632 N 35TH AVE, GLENDALE, AZ"/>
    <n v="29675.88"/>
    <x v="2"/>
    <n v="33.682898369999997"/>
    <n v="-112.13492479999999"/>
    <x v="29"/>
    <s v="AZ"/>
  </r>
  <r>
    <s v="Pebble &amp; Pine Pharmacy 5775 :  8309 W GLENDALE AVE, GLENDALE, AZ"/>
    <n v="31703.99"/>
    <x v="2"/>
    <n v="33.537482869999998"/>
    <n v="-112.2390647"/>
    <x v="29"/>
    <s v="AZ"/>
  </r>
  <r>
    <s v="Pebble &amp; Pine Pharmacy 5851 :  5011 W UNION HILLS DR, GLENDALE, AZ"/>
    <n v="18482.810000000001"/>
    <x v="2"/>
    <n v="33.654352869999997"/>
    <n v="-112.1663846"/>
    <x v="29"/>
    <s v="AZ"/>
  </r>
  <r>
    <s v="Pebble &amp; Pine Pharmacy 6065 :  9009 N 67TH AVE, GLENDALE, AZ"/>
    <n v="10194.52"/>
    <x v="2"/>
    <n v="33.567227199999998"/>
    <n v="-112.202704"/>
    <x v="29"/>
    <s v="AZ"/>
  </r>
  <r>
    <s v="Pebble &amp; Pine Pharmacy 6736 :  4410 W CACTUS RD, GLENDALE, AZ"/>
    <n v="10804.32"/>
    <x v="2"/>
    <n v="33.596477129999997"/>
    <n v="-112.1537235"/>
    <x v="29"/>
    <s v="AZ"/>
  </r>
  <r>
    <s v="Pebble &amp; Pine Pharmacy 7110 :  6640 W HAPPY VALLEY RD, GLENDALE, AZ"/>
    <n v="12315.63"/>
    <x v="2"/>
    <n v="33.712447130000001"/>
    <n v="-112.20104000000001"/>
    <x v="29"/>
    <s v="AZ"/>
  </r>
  <r>
    <s v="Mr Fantastic's Emporium 47390 :  1025 N ESTRELLA PKWY, GOODYEAR, AZ"/>
    <n v="112767.82"/>
    <x v="2"/>
    <s v="N/A"/>
    <s v="N/A"/>
    <x v="30"/>
    <s v="AZ"/>
  </r>
  <r>
    <s v="Bluebell Bazaar 2709177 :  1264 N LITCHFIELD RD, GOODYEAR, AZ"/>
    <n v="95464.26"/>
    <x v="2"/>
    <n v="33.460270000000001"/>
    <n v="-112.35838440000001"/>
    <x v="30"/>
    <s v="AZ"/>
  </r>
  <r>
    <s v="Bluebell Bazaar 2709180 :  315 N LITCHFIELD RD, GOODYEAR, AZ"/>
    <n v="101034.88"/>
    <x v="2"/>
    <n v="33.449994940000003"/>
    <n v="-112.3579713"/>
    <x v="30"/>
    <s v="AZ"/>
  </r>
  <r>
    <s v="Bluebell Bazaar 2709528 :  15535 W MCDOWELL RD, GOODYEAR, AZ"/>
    <n v="132823.26999999999"/>
    <x v="2"/>
    <n v="33.4645364"/>
    <n v="-112.3942823"/>
    <x v="30"/>
    <s v="AZ"/>
  </r>
  <r>
    <s v="Mossy Hollow Market 676 :  16380 W YUMA RD, GOODYEAR, AZ"/>
    <n v="256535.71"/>
    <x v="2"/>
    <n v="33.435707020000002"/>
    <n v="-112.4100917"/>
    <x v="30"/>
    <s v="AZ"/>
  </r>
  <r>
    <s v="Haven Hearth Goods 1511 :  14175 W INDIAN SCHOOL BYPASS, GOODYEAR, AZ"/>
    <n v="68486.62"/>
    <x v="2"/>
    <n v="33.485596780000002"/>
    <n v="-112.3641865"/>
    <x v="30"/>
    <s v="AZ"/>
  </r>
  <r>
    <s v="Haven Hearth Goods 2618 :  440 N ESTRELLA PKWY, GOODYEAR, AZ"/>
    <n v="98809.02"/>
    <x v="2"/>
    <n v="33.451485630000001"/>
    <n v="-112.3927183"/>
    <x v="30"/>
    <s v="AZ"/>
  </r>
  <r>
    <s v="Haven Hearth Goods 3151 :  9890 S ESTRELLA PKWY, GOODYEAR, AZ"/>
    <n v="86270.24"/>
    <x v="2"/>
    <n v="33.356885910000003"/>
    <n v="-112.426788"/>
    <x v="30"/>
    <s v="AZ"/>
  </r>
  <r>
    <s v="Jellybean Junction 2400 :  995 S COTTON LN, GOODYEAR, AZ"/>
    <n v="139305.71"/>
    <x v="2"/>
    <n v="33.437478280000001"/>
    <n v="-112.4266363"/>
    <x v="30"/>
    <s v="AZ"/>
  </r>
  <r>
    <s v="Maplewood Mercantile 1242 :  1515 N LITCHFIELD RD, GOODYEAR, AZ"/>
    <n v="95570.33"/>
    <x v="2"/>
    <n v="33.463279999999997"/>
    <n v="-112.3578156"/>
    <x v="30"/>
    <s v="AZ"/>
  </r>
  <r>
    <s v="Pebble &amp; Pine Pharmacy 12334 :  1654 N PEBBLE CREEK PKWY, GOODYEAR, AZ"/>
    <n v="22320.09"/>
    <x v="2"/>
    <n v="33.465520380000001"/>
    <n v="-112.392714"/>
    <x v="30"/>
    <s v="AZ"/>
  </r>
  <r>
    <s v="Pebble &amp; Pine Pharmacy 12386 :  9800 S ESTRELLA PKWY, GOODYEAR, AZ"/>
    <n v="25437.45"/>
    <x v="2"/>
    <n v="33.357477320000001"/>
    <n v="-112.42576099999999"/>
    <x v="30"/>
    <s v="AZ"/>
  </r>
  <r>
    <s v="Pebble &amp; Pine Pharmacy 2243 :  387 N ESTRELLA PKWY, GOODYEAR, AZ"/>
    <n v="20693.759999999998"/>
    <x v="2"/>
    <n v="33.450560000000003"/>
    <n v="-112.3922556"/>
    <x v="30"/>
    <s v="AZ"/>
  </r>
  <r>
    <s v="Pebble &amp; Pine Pharmacy 3657 :  3361 N LITCHFIELD RD, GOODYEAR, AZ"/>
    <n v="24345.65"/>
    <x v="2"/>
    <n v="33.485151879999997"/>
    <n v="-112.3622469"/>
    <x v="30"/>
    <s v="AZ"/>
  </r>
  <r>
    <s v="Bluebell Bazaar 2706646 :  1619 W BASELINE RD, GUADALUPE, AZ"/>
    <n v="28694.14"/>
    <x v="2"/>
    <n v="33.378042870000002"/>
    <n v="-111.964555"/>
    <x v="31"/>
    <s v="AZ"/>
  </r>
  <r>
    <s v="Bluebell Bazaar 2701844 :  3508 W BASELINE RD, LAVEEN, AZ"/>
    <n v="56532.53"/>
    <x v="2"/>
    <n v="33.377877130000002"/>
    <n v="-112.1348"/>
    <x v="32"/>
    <s v="AZ"/>
  </r>
  <r>
    <s v="Bluebell Bazaar 2741655 :  5110 W BASELINE RD, LAVEEN, AZ"/>
    <n v="74252"/>
    <x v="2"/>
    <n v="33.377767079999998"/>
    <n v="-112.1692146"/>
    <x v="32"/>
    <s v="AZ"/>
  </r>
  <r>
    <s v="Mossy Hollow Market 87 :  5140 W BASELINE, LAVEEN, AZ"/>
    <n v="179898.56"/>
    <x v="2"/>
    <n v="33.377757019999997"/>
    <n v="-112.16977660000001"/>
    <x v="32"/>
    <s v="AZ"/>
  </r>
  <r>
    <s v="Haven Hearth Goods 2709 :  5035 W BASELINE RD, LAVEEN, AZ"/>
    <n v="83822.55"/>
    <x v="2"/>
    <n v="33.377352870000003"/>
    <n v="-112.166695"/>
    <x v="32"/>
    <s v="AZ"/>
  </r>
  <r>
    <s v="Pebble &amp; Pine Pharmacy 9179 :  5115 W BASELINE RD, LAVEEN, AZ"/>
    <n v="19556.150000000001"/>
    <x v="2"/>
    <n v="33.377349959999997"/>
    <n v="-112.16862190000001"/>
    <x v="32"/>
    <s v="AZ"/>
  </r>
  <r>
    <s v="Driftwood Market 3926 :  12970 W INDIAN SCHOOL RD, LITCHFIELD PARK, AZ"/>
    <n v="50278.97"/>
    <x v="2"/>
    <n v="33.493457130000003"/>
    <n v="-112.33861"/>
    <x v="33"/>
    <s v="AZ"/>
  </r>
  <r>
    <s v="Iron Pine Outpost 130 :  5115 N DYSART RD STE 150, LITCHFIELD PARK, AZ"/>
    <n v="37829.449999999997"/>
    <x v="2"/>
    <n v="33.509450000000001"/>
    <n v="-112.34064549999999"/>
    <x v="33"/>
    <s v="AZ"/>
  </r>
  <r>
    <s v="Bluebell Bazaar 2741705 :  13012 W INDIAN SCHOOL RD, LITCHFIELD PARK, AZ"/>
    <n v="67475.14"/>
    <x v="2"/>
    <n v="33.49344713"/>
    <n v="-112.33984"/>
    <x v="33"/>
    <s v="AZ"/>
  </r>
  <r>
    <s v="Mossy Hollow Market 667 :  13730 W CAMELBACK RD, LITCHFIELD PARK, AZ"/>
    <n v="195300.23"/>
    <x v="2"/>
    <n v="33.508386639999998"/>
    <n v="-112.3546699"/>
    <x v="33"/>
    <s v="AZ"/>
  </r>
  <r>
    <s v="Pebble &amp; Pine Pharmacy 7582 :  13014 W CAMELBACK RD, LITCHFIELD PARK, AZ"/>
    <n v="13442.06"/>
    <x v="2"/>
    <n v="33.507986289999998"/>
    <n v="-112.33981180000001"/>
    <x v="33"/>
    <s v="AZ"/>
  </r>
  <r>
    <s v="Zippy’s Corner 1068604 :  LUKE AFB EXP/CL6/GAS (B1114), LUKE AFB, AZ"/>
    <n v="59204.38"/>
    <x v="2"/>
    <n v="33.532179999999997"/>
    <n v="-112.30898999999999"/>
    <x v="34"/>
    <s v="AZ"/>
  </r>
  <r>
    <s v="Zippy’s Corner 1068635 :  LUKE AFB MAIN (B1540), LUKE AFB, AZ"/>
    <n v="8846.0300000000007"/>
    <x v="2"/>
    <n v="33.532179999999997"/>
    <n v="-112.30898999999999"/>
    <x v="34"/>
    <s v="AZ"/>
  </r>
  <r>
    <s v="Zippy’s Corner 1068691 :  LUKE AFB MCSS (B1552), LUKE AFB, AZ"/>
    <m/>
    <x v="2"/>
    <n v="33.532179999999997"/>
    <n v="-112.30898999999999"/>
    <x v="34"/>
    <s v="AZ"/>
  </r>
  <r>
    <s v="Bluebell Bazaar 2703390 :  18141 N JOHN WAYNE PKWY, MARICOPA, AZ"/>
    <n v="144694.07999999999"/>
    <x v="2"/>
    <n v="33.044355609999997"/>
    <n v="-112.047697"/>
    <x v="35"/>
    <s v="AZ"/>
  </r>
  <r>
    <s v="Bluebell Bazaar 2706639 :  21212 N JOHN WAYNE PKWY, MARICOPA, AZ"/>
    <n v="87775.5"/>
    <x v="2"/>
    <n v="33.072008959999998"/>
    <n v="-112.0447011"/>
    <x v="35"/>
    <s v="AZ"/>
  </r>
  <r>
    <s v="Pebble &amp; Pine Pharmacy 9264 :  21274 N JOHN WAYNE PKWY, MARICOPA, AZ"/>
    <n v="20530.53"/>
    <x v="2"/>
    <n v="33.072809679999999"/>
    <n v="-112.0443023"/>
    <x v="35"/>
    <s v="AZ"/>
  </r>
  <r>
    <s v="Mr Fantastic's Emporium 20168 :  810 W BASELINE RD, MESA, AZ"/>
    <n v="31780.28"/>
    <x v="2"/>
    <n v="33.378967129999999"/>
    <n v="-111.8490467"/>
    <x v="36"/>
    <s v="AZ"/>
  </r>
  <r>
    <s v="Mr Fantastic's Emporium 21821 :  815 S ALMA SCHOOL RD, MESA, AZ"/>
    <n v="46303.11"/>
    <x v="2"/>
    <n v="33.40023635"/>
    <n v="-111.8568166"/>
    <x v="36"/>
    <s v="AZ"/>
  </r>
  <r>
    <s v="Mr Fantastic's Emporium 26201 :  2010 E MAIN ST, MESA, AZ"/>
    <n v="34332.19"/>
    <x v="2"/>
    <n v="33.415597130000002"/>
    <n v="-111.78791"/>
    <x v="36"/>
    <s v="AZ"/>
  </r>
  <r>
    <s v="Mr Fantastic's Emporium 26620 :  411 S GILBERT RD, MESA, AZ"/>
    <n v="21903.97"/>
    <x v="2"/>
    <n v="33.407694919999997"/>
    <n v="-111.7880358"/>
    <x v="36"/>
    <s v="AZ"/>
  </r>
  <r>
    <s v="Mr Fantastic's Emporium 27036 :  815 S DOBSON, MESA, AZ"/>
    <n v="46435.42"/>
    <x v="2"/>
    <n v="33.400129999999997"/>
    <n v="-111.8744157"/>
    <x v="36"/>
    <s v="AZ"/>
  </r>
  <r>
    <s v="Snap &amp; Go 61 :  1836 S VAL VISTA DR, MESA, AZ"/>
    <n v="5634.97"/>
    <x v="2"/>
    <n v="33.381781830000001"/>
    <n v="-111.7542035"/>
    <x v="36"/>
    <s v="AZ"/>
  </r>
  <r>
    <s v="Driftwood Market 1002 :  9243 E BASELINE, MESA, AZ"/>
    <n v="52462.82"/>
    <x v="2"/>
    <n v="33.378892870000001"/>
    <n v="-111.6345671"/>
    <x v="36"/>
    <s v="AZ"/>
  </r>
  <r>
    <s v="Driftwood Market 1948 :  441 N VAL VIS, MESA, AZ"/>
    <n v="30733.65"/>
    <x v="2"/>
    <n v="33.423679999999997"/>
    <n v="-111.7534557"/>
    <x v="36"/>
    <s v="AZ"/>
  </r>
  <r>
    <s v="Driftwood Market 3989 :  2727 N POWER RD, MESA, AZ"/>
    <n v="45501.51"/>
    <x v="2"/>
    <n v="33.46528473"/>
    <n v="-111.68371569999999"/>
    <x v="36"/>
    <s v="AZ"/>
  </r>
  <r>
    <s v="Driftwood Market 958 :  325 S POWER RD, MESA, AZ"/>
    <n v="27343.56"/>
    <x v="2"/>
    <n v="33.409861130000003"/>
    <n v="-111.6842857"/>
    <x v="36"/>
    <s v="AZ"/>
  </r>
  <r>
    <s v="Driftwood Market 980 :  1951 W BASELINE, MESA, AZ"/>
    <n v="36238.730000000003"/>
    <x v="2"/>
    <n v="33.378352880000001"/>
    <n v="-111.8760175"/>
    <x v="36"/>
    <s v="AZ"/>
  </r>
  <r>
    <s v="Iron Pine Outpost 110 :  1133 N ELLSWORTH RD, MESA, AZ"/>
    <n v="42758.18"/>
    <x v="2"/>
    <n v="33.435935749999999"/>
    <n v="-111.6323664"/>
    <x v="36"/>
    <s v="AZ"/>
  </r>
  <r>
    <s v="Iron Pine Outpost 155 :  9925 E BASELINE, MESA, AZ"/>
    <n v="32874.019999999997"/>
    <x v="2"/>
    <n v="33.378833129999997"/>
    <n v="-111.62085980000001"/>
    <x v="36"/>
    <s v="AZ"/>
  </r>
  <r>
    <s v="Iron Pine Outpost 51 :  1122 N HIGLEY RD, MESA, AZ"/>
    <n v="17767.55"/>
    <x v="2"/>
    <n v="33.43618"/>
    <n v="-111.71917430000001"/>
    <x v="36"/>
    <s v="AZ"/>
  </r>
  <r>
    <s v="Iron Pine Outpost 73 :  2864 N POWER RD, MESA, AZ"/>
    <n v="22303.77"/>
    <x v="2"/>
    <n v="33.468080579999999"/>
    <n v="-111.6841852"/>
    <x v="36"/>
    <s v="AZ"/>
  </r>
  <r>
    <s v="Rusty Cart Grocers 10 :  1342 E MAIN ST, MESA, AZ"/>
    <n v="30992.86"/>
    <x v="2"/>
    <n v="33.415386349999999"/>
    <n v="-111.8028786"/>
    <x v="36"/>
    <s v="AZ"/>
  </r>
  <r>
    <s v="Rusty Cart Grocers 123 :  822 S ALMA SCHOOL RD, MESA, AZ"/>
    <n v="27725.64"/>
    <x v="2"/>
    <n v="33.399551719999998"/>
    <n v="-111.8571689"/>
    <x v="36"/>
    <s v="AZ"/>
  </r>
  <r>
    <s v="Rusty Cart Grocers 2 :  339 E BROWN RD, MESA, AZ"/>
    <n v="28086.31"/>
    <x v="2"/>
    <n v="33.435295529999998"/>
    <n v="-111.82423780000001"/>
    <x v="36"/>
    <s v="AZ"/>
  </r>
  <r>
    <s v="Rusty Cart Grocers 25 :  450 E SOUTHERN AVE, MESA, AZ"/>
    <n v="35485.86"/>
    <x v="2"/>
    <n v="33.393537129999999"/>
    <n v="-111.82153"/>
    <x v="36"/>
    <s v="AZ"/>
  </r>
  <r>
    <s v="Bluebell Bazaar 2700085 :  1154 W 8TH ST, MESA, AZ"/>
    <n v="77772.570000000007"/>
    <x v="2"/>
    <n v="33.429561790000001"/>
    <n v="-111.8559175"/>
    <x v="36"/>
    <s v="AZ"/>
  </r>
  <r>
    <s v="Bluebell Bazaar 2700103 :  801 S COUNTRY CLUB DR, MESA, AZ"/>
    <n v="41073.26"/>
    <x v="2"/>
    <n v="33.400559999999999"/>
    <n v="-111.8398857"/>
    <x v="36"/>
    <s v="AZ"/>
  </r>
  <r>
    <s v="Bluebell Bazaar 2700401 :  11 E MCKELLIPS RD, MESA, AZ"/>
    <n v="39690.26"/>
    <x v="2"/>
    <n v="33.451332870000002"/>
    <n v="-111.8308356"/>
    <x v="36"/>
    <s v="AZ"/>
  </r>
  <r>
    <s v="Bluebell Bazaar 2700433 :  2709 W GUADALUPE RD, MESA, AZ"/>
    <n v="27486.26"/>
    <x v="2"/>
    <n v="33.363682869999998"/>
    <n v="-111.89227"/>
    <x v="36"/>
    <s v="AZ"/>
  </r>
  <r>
    <s v="Bluebell Bazaar 2700849 :  9615 E UNIVERSITY DR, MESA, AZ"/>
    <n v="41271.449999999997"/>
    <x v="2"/>
    <n v="33.42222288"/>
    <n v="-111.62321780000001"/>
    <x v="36"/>
    <s v="AZ"/>
  </r>
  <r>
    <s v="Bluebell Bazaar 2701149 :  1955 W UNIVERSITY DR, MESA, AZ"/>
    <n v="68432.740000000005"/>
    <x v="2"/>
    <n v="33.421982870000001"/>
    <n v="-111.873795"/>
    <x v="36"/>
    <s v="AZ"/>
  </r>
  <r>
    <s v="Bluebell Bazaar 2701202 :  2005 N BUSH HWY, MESA, AZ"/>
    <n v="60012.82"/>
    <x v="2"/>
    <n v="33.451839999999997"/>
    <n v="-111.6838556"/>
    <x v="36"/>
    <s v="AZ"/>
  </r>
  <r>
    <s v="Bluebell Bazaar 2701250 :  330 E BROADWAY RD, MESA, AZ"/>
    <n v="33778.050000000003"/>
    <x v="2"/>
    <n v="33.40794167"/>
    <n v="-111.8234659"/>
    <x v="36"/>
    <s v="AZ"/>
  </r>
  <r>
    <s v="Bluebell Bazaar 2701343 :  1550 N COUNTRY CLUB DR, MESA, AZ"/>
    <n v="49890.69"/>
    <x v="2"/>
    <n v="33.44359"/>
    <n v="-111.83997429999999"/>
    <x v="36"/>
    <s v="AZ"/>
  </r>
  <r>
    <s v="Bluebell Bazaar 2701479 :  809 E SOUTHERN AVE, MESA, AZ"/>
    <n v="49224.71"/>
    <x v="2"/>
    <n v="33.393202870000003"/>
    <n v="-111.81399709999999"/>
    <x v="36"/>
    <s v="AZ"/>
  </r>
  <r>
    <s v="Bluebell Bazaar 2701574 :  2012 W SOUTHERN AVE, MESA, AZ"/>
    <n v="95178.77"/>
    <x v="2"/>
    <n v="33.393267129999998"/>
    <n v="-111.8752394"/>
    <x v="36"/>
    <s v="AZ"/>
  </r>
  <r>
    <s v="Bluebell Bazaar 2701671 :  2815 E UNIVERSITY DR, MESA, AZ"/>
    <n v="72250.009999999995"/>
    <x v="2"/>
    <n v="33.422552869999997"/>
    <n v="-111.77065690000001"/>
    <x v="36"/>
    <s v="AZ"/>
  </r>
  <r>
    <s v="Bluebell Bazaar 2701994 :  310 N MESA DR, MESA, AZ"/>
    <n v="30589.9"/>
    <x v="2"/>
    <n v="33.421999999999997"/>
    <n v="-111.8230343"/>
    <x v="36"/>
    <s v="AZ"/>
  </r>
  <r>
    <s v="Bluebell Bazaar 2701996 :  3550 E MAIN ST, MESA, AZ"/>
    <n v="27942.89"/>
    <x v="2"/>
    <n v="33.415707130000001"/>
    <n v="-111.7546024"/>
    <x v="36"/>
    <s v="AZ"/>
  </r>
  <r>
    <s v="Bluebell Bazaar 2703365 :  1959 S GREENFIELD RD, MESA, AZ"/>
    <n v="36043.019999999997"/>
    <x v="2"/>
    <n v="33.380090000000003"/>
    <n v="-111.7394358"/>
    <x v="36"/>
    <s v="AZ"/>
  </r>
  <r>
    <s v="Bluebell Bazaar 2703381 :  1202 N POWER RD, MESA, AZ"/>
    <n v="76540.22"/>
    <x v="2"/>
    <n v="33.437583609999997"/>
    <n v="-111.6845343"/>
    <x v="36"/>
    <s v="AZ"/>
  </r>
  <r>
    <s v="Bluebell Bazaar 2703463 :  9228 E GUADALUPE RD, MESA, AZ"/>
    <n v="116157.92"/>
    <x v="2"/>
    <n v="33.364858779999999"/>
    <n v="-111.63529629999999"/>
    <x v="36"/>
    <s v="AZ"/>
  </r>
  <r>
    <s v="Bluebell Bazaar 2703476 :  415 N STAPLEY DR, MESA, AZ"/>
    <n v="32119.15"/>
    <x v="2"/>
    <n v="33.42294235"/>
    <n v="-111.8051057"/>
    <x v="36"/>
    <s v="AZ"/>
  </r>
  <r>
    <s v="Bluebell Bazaar 2705284 :  410 N CTR, MESA, AZ"/>
    <n v="52999.33"/>
    <x v="2"/>
    <n v="33.43591"/>
    <n v="-111.84935"/>
    <x v="36"/>
    <s v="AZ"/>
  </r>
  <r>
    <s v="Bluebell Bazaar 2705320 :  4420 E SOUTHERN AVE, MESA, AZ"/>
    <n v="29116.77"/>
    <x v="2"/>
    <n v="33.393927130000002"/>
    <n v="-111.73592499999999"/>
    <x v="36"/>
    <s v="AZ"/>
  </r>
  <r>
    <s v="Bluebell Bazaar 2705401 :  417 S DOBSON RD, MESA, AZ"/>
    <n v="33373.379999999997"/>
    <x v="2"/>
    <n v="33.407350000000001"/>
    <n v="-111.8742757"/>
    <x v="36"/>
    <s v="AZ"/>
  </r>
  <r>
    <s v="Bluebell Bazaar 2706287 :  4425 E MAIN ST, MESA, AZ"/>
    <n v="24779.31"/>
    <x v="2"/>
    <n v="33.415272870000003"/>
    <n v="-111.7359663"/>
    <x v="36"/>
    <s v="AZ"/>
  </r>
  <r>
    <s v="Bluebell Bazaar 2706346 :  1810 S COUNTRY CLUB DR, MESA, AZ"/>
    <n v="78644.47"/>
    <x v="2"/>
    <n v="33.382137899999996"/>
    <n v="-111.8403404"/>
    <x v="36"/>
    <s v="AZ"/>
  </r>
  <r>
    <s v="Bluebell Bazaar 2706356 :  1203 E SOUTHERN AVE, MESA, AZ"/>
    <n v="46450.93"/>
    <x v="2"/>
    <n v="33.393202870000003"/>
    <n v="-111.8049438"/>
    <x v="36"/>
    <s v="AZ"/>
  </r>
  <r>
    <s v="Bluebell Bazaar 2706357 :  1850 S STAPLEY DR, MESA, AZ"/>
    <n v="76695.460000000006"/>
    <x v="2"/>
    <n v="33.381111330000003"/>
    <n v="-111.8070469"/>
    <x v="36"/>
    <s v="AZ"/>
  </r>
  <r>
    <s v="Bluebell Bazaar 2706361 :  2760 E BASELINE RD, MESA, AZ"/>
    <n v="50676.53"/>
    <x v="2"/>
    <n v="33.379197009999999"/>
    <n v="-111.7719132"/>
    <x v="36"/>
    <s v="AZ"/>
  </r>
  <r>
    <s v="Bluebell Bazaar 2706459 :  1557 S VAL VISTA DR, MESA, AZ"/>
    <n v="44849.919999999998"/>
    <x v="2"/>
    <n v="33.38850403"/>
    <n v="-111.7536108"/>
    <x v="36"/>
    <s v="AZ"/>
  </r>
  <r>
    <s v="Bluebell Bazaar 2706461 :  2808 S DOBSON RD, MESA, AZ"/>
    <n v="70557.210000000006"/>
    <x v="2"/>
    <n v="33.363309170000001"/>
    <n v="-111.87673270000001"/>
    <x v="36"/>
    <s v="AZ"/>
  </r>
  <r>
    <s v="Bluebell Bazaar 2706641 :  4353 S POWER RD, MESA, AZ"/>
    <n v="71420.47"/>
    <x v="2"/>
    <n v="33.336816849999998"/>
    <n v="-111.6870029"/>
    <x v="36"/>
    <s v="AZ"/>
  </r>
  <r>
    <s v="Bluebell Bazaar 2706642 :  425 S CRISMON RD, MESA, AZ"/>
    <n v="59059.97"/>
    <x v="2"/>
    <n v="33.406232500000002"/>
    <n v="-111.6151957"/>
    <x v="36"/>
    <s v="AZ"/>
  </r>
  <r>
    <s v="Bluebell Bazaar 2706649 :  1953 E SOUTHERN AVE, MESA, AZ"/>
    <n v="53940.76"/>
    <x v="2"/>
    <n v="33.393422289999997"/>
    <n v="-111.7897202"/>
    <x v="36"/>
    <s v="AZ"/>
  </r>
  <r>
    <s v="Bluebell Bazaar 2706656 :  2011 E MCKELLIPS RD, MESA, AZ"/>
    <n v="91160.59"/>
    <x v="2"/>
    <n v="33.451622870000001"/>
    <n v="-111.7873608"/>
    <x v="36"/>
    <s v="AZ"/>
  </r>
  <r>
    <s v="Bluebell Bazaar 2706660 :  2005 W BROADWAY RD, MESA, AZ"/>
    <n v="23507.21"/>
    <x v="2"/>
    <n v="33.40738855"/>
    <n v="-111.87502600000001"/>
    <x v="36"/>
    <s v="AZ"/>
  </r>
  <r>
    <s v="Bluebell Bazaar 2706661 :  7546 E BASELINE RD, MESA, AZ"/>
    <n v="76199.89"/>
    <x v="2"/>
    <n v="33.37941713"/>
    <n v="-111.667835"/>
    <x v="36"/>
    <s v="AZ"/>
  </r>
  <r>
    <s v="Bluebell Bazaar 2708512 :  6005 E MCKELLIPS RD, MESA, AZ"/>
    <n v="36697.279999999999"/>
    <x v="2"/>
    <n v="33.451722869999998"/>
    <n v="-111.7013857"/>
    <x v="36"/>
    <s v="AZ"/>
  </r>
  <r>
    <s v="Bluebell Bazaar 2708749 :  1145 W MAIN ST, MESA, AZ"/>
    <n v="26112.46"/>
    <x v="2"/>
    <n v="33.414694840000003"/>
    <n v="-111.85626430000001"/>
    <x v="36"/>
    <s v="AZ"/>
  </r>
  <r>
    <s v="Bluebell Bazaar 2709153 :  1210 S HIGLEY RD, MESA, AZ"/>
    <n v="53603.66"/>
    <x v="2"/>
    <n v="33.393500000000003"/>
    <n v="-111.7195742"/>
    <x v="36"/>
    <s v="AZ"/>
  </r>
  <r>
    <s v="Bluebell Bazaar 2709173 :  1817 W BASELINE RD, MESA, AZ"/>
    <n v="53084.42"/>
    <x v="2"/>
    <n v="33.378382870000003"/>
    <n v="-111.87361"/>
    <x v="36"/>
    <s v="AZ"/>
  </r>
  <r>
    <s v="Bluebell Bazaar 2709179 :  1203 S POWER RD, MESA, AZ"/>
    <n v="88565.18"/>
    <x v="2"/>
    <n v="33.393848689999999"/>
    <n v="-111.6844569"/>
    <x v="36"/>
    <s v="AZ"/>
  </r>
  <r>
    <s v="Bluebell Bazaar 2709191 :  1153 SIGNAL BUTTE RD, MESA, AZ"/>
    <n v="113281.74"/>
    <x v="2"/>
    <n v="33.394751329999998"/>
    <n v="-111.5978631"/>
    <x v="36"/>
    <s v="AZ"/>
  </r>
  <r>
    <s v="Bluebell Bazaar 2709538 :  9230 E UNIVERSITY DR, MESA, AZ"/>
    <n v="126733.68"/>
    <x v="2"/>
    <n v="33.422490109999998"/>
    <n v="-111.6320972"/>
    <x v="36"/>
    <s v="AZ"/>
  </r>
  <r>
    <s v="Bluebell Bazaar 2709557 :  824 W BROADWAY RD, MESA, AZ"/>
    <n v="97140.69"/>
    <x v="2"/>
    <n v="33.407885630000003"/>
    <n v="-111.84909829999999"/>
    <x v="36"/>
    <s v="AZ"/>
  </r>
  <r>
    <s v="Bluebell Bazaar 2741603 :  5205 E MCKELLIPS RD, MESA, AZ"/>
    <n v="54207.42"/>
    <x v="2"/>
    <n v="33.451712870000001"/>
    <n v="-111.71826"/>
    <x v="36"/>
    <s v="AZ"/>
  </r>
  <r>
    <s v="Bluebell Bazaar 2741615 :  2754 N POWER RD, MESA, AZ"/>
    <n v="54951.44"/>
    <x v="2"/>
    <n v="33.465730000000001"/>
    <n v="-111.6842044"/>
    <x v="36"/>
    <s v="AZ"/>
  </r>
  <r>
    <s v="Bluebell Bazaar 2741621 :  5158 E UNIVERSITY DR, MESA, AZ"/>
    <n v="55959.34"/>
    <x v="2"/>
    <n v="33.422943779999997"/>
    <n v="-111.72047739999999"/>
    <x v="36"/>
    <s v="AZ"/>
  </r>
  <r>
    <s v="Bluebell Bazaar 2741630 :  401 S ELLSWORTH RD, MESA, AZ"/>
    <n v="61367.64"/>
    <x v="2"/>
    <n v="33.406759999999998"/>
    <n v="-111.63254569999999"/>
    <x v="36"/>
    <s v="AZ"/>
  </r>
  <r>
    <s v="Bluebell Bazaar 2741676 :  809 N DOBSON RD, MESA, AZ"/>
    <n v="104667.2"/>
    <x v="2"/>
    <n v="33.429902749999997"/>
    <n v="-111.87399240000001"/>
    <x v="36"/>
    <s v="AZ"/>
  </r>
  <r>
    <s v="Bluebell Bazaar 2741707 :  2011 S ELLSWORTH RD, MESA, AZ"/>
    <n v="62399"/>
    <x v="2"/>
    <n v="33.378495479999998"/>
    <n v="-111.6359559"/>
    <x v="36"/>
    <s v="AZ"/>
  </r>
  <r>
    <s v="Mossy Hollow Market 113 :  1245 W MAIN ST, MESA, AZ"/>
    <n v="76881.48"/>
    <x v="2"/>
    <n v="33.414665499999998"/>
    <n v="-111.85790540000001"/>
    <x v="36"/>
    <s v="AZ"/>
  </r>
  <r>
    <s v="Mossy Hollow Market 115 :  435 S ELLSWORTH, MESA, AZ"/>
    <n v="118108.02"/>
    <x v="2"/>
    <n v="33.406344920000002"/>
    <n v="-111.63255580000001"/>
    <x v="36"/>
    <s v="AZ"/>
  </r>
  <r>
    <s v="Mossy Hollow Market 123 :  2727 E BRDWAY, MESA, AZ"/>
    <n v="106027.95"/>
    <x v="2"/>
    <n v="33.397219999999997"/>
    <n v="-111.78758999999999"/>
    <x v="36"/>
    <s v="AZ"/>
  </r>
  <r>
    <s v="Mossy Hollow Market 23 :  5941 E MCKELLIPS RD, MESA, AZ"/>
    <n v="90667.53"/>
    <x v="2"/>
    <n v="33.451722869999998"/>
    <n v="-111.70267579999999"/>
    <x v="36"/>
    <s v="AZ"/>
  </r>
  <r>
    <s v="Mossy Hollow Market 55 :  1915 S POWER RD, MESA, AZ"/>
    <n v="74379.56"/>
    <x v="2"/>
    <n v="33.3810626"/>
    <n v="-111.68741780000001"/>
    <x v="36"/>
    <s v="AZ"/>
  </r>
  <r>
    <s v="Mossy Hollow Market 611 :  4440 E MAIN ST, MESA, AZ"/>
    <n v="62290.57"/>
    <x v="2"/>
    <n v="33.415697129999998"/>
    <n v="-111.7345533"/>
    <x v="36"/>
    <s v="AZ"/>
  </r>
  <r>
    <s v="Mossy Hollow Market 62 :  554 W BASELINE RD, MESA, AZ"/>
    <n v="103477.24"/>
    <x v="2"/>
    <n v="33.37897856"/>
    <n v="-111.8435771"/>
    <x v="36"/>
    <s v="AZ"/>
  </r>
  <r>
    <s v="Mossy Hollow Market 622 :  1935 N STAPLEY DR, MESA, AZ"/>
    <n v="166146.01"/>
    <x v="2"/>
    <n v="33.450705579999997"/>
    <n v="-111.80473569999999"/>
    <x v="36"/>
    <s v="AZ"/>
  </r>
  <r>
    <s v="Mossy Hollow Market 686 :  2724 S SIGNAL BUTTE RD, MESA, AZ"/>
    <n v="185120.95"/>
    <x v="2"/>
    <n v="33.365484160000001"/>
    <n v="-111.6013952"/>
    <x v="36"/>
    <s v="AZ"/>
  </r>
  <r>
    <s v="Haven Hearth Goods 1637 :  3622 E SOUTHERN AVE, MESA, AZ"/>
    <n v="53928.32"/>
    <x v="2"/>
    <n v="33.393837130000001"/>
    <n v="-111.75241080000001"/>
    <x v="36"/>
    <s v="AZ"/>
  </r>
  <r>
    <s v="Haven Hearth Goods 1717 :  1902 W MAIN ST, MESA, AZ"/>
    <n v="66258.53"/>
    <x v="2"/>
    <n v="33.415117129999999"/>
    <n v="-111.8719588"/>
    <x v="36"/>
    <s v="AZ"/>
  </r>
  <r>
    <s v="Haven Hearth Goods 247 :  1225 W GUADALUPE RD, MESA, AZ"/>
    <n v="60133.440000000002"/>
    <x v="2"/>
    <n v="33.36409287"/>
    <n v="-111.85988999999999"/>
    <x v="36"/>
    <s v="AZ"/>
  </r>
  <r>
    <s v="Haven Hearth Goods 2644 :  1855 N POWER RD, MESA, AZ"/>
    <n v="50556.67"/>
    <x v="2"/>
    <n v="33.450444879999999"/>
    <n v="-111.6838656"/>
    <x v="36"/>
    <s v="AZ"/>
  </r>
  <r>
    <s v="Haven Hearth Goods 2922 :  4316 S SIGNAL BUTTE RD, MESA, AZ"/>
    <n v="90148"/>
    <x v="2"/>
    <n v="33.336859910000001"/>
    <n v="-111.6010127"/>
    <x v="36"/>
    <s v="AZ"/>
  </r>
  <r>
    <s v="Glowstone Supplies 43049 :  7266 S ELLSWORTH RD, MESA, AZ"/>
    <n v="102758.6"/>
    <x v="2"/>
    <n v="33.321440000000003"/>
    <n v="-111.63463"/>
    <x v="36"/>
    <s v="AZ"/>
  </r>
  <r>
    <s v="Jellybean Junction 1959 :  5110 S POWER RD, MESA, AZ"/>
    <n v="106069.43"/>
    <x v="2"/>
    <n v="33.32347"/>
    <n v="-111.6871641"/>
    <x v="36"/>
    <s v="AZ"/>
  </r>
  <r>
    <s v="Maplewood Mercantile 1386 :  2151 N POWER RD, MESA, AZ"/>
    <n v="56187.44"/>
    <x v="2"/>
    <n v="33.453802889999999"/>
    <n v="-111.6838407"/>
    <x v="36"/>
    <s v="AZ"/>
  </r>
  <r>
    <s v="Maplewood Mercantile 1429 :  1230 S LONGMORE AVE, MESA, AZ"/>
    <n v="79394.95"/>
    <x v="2"/>
    <n v="33.392308190000001"/>
    <n v="-111.86389699999999"/>
    <x v="36"/>
    <s v="AZ"/>
  </r>
  <r>
    <s v="Maplewood Mercantile 251 :  1135 S GILBERT RD, MESA, AZ"/>
    <n v="58778.84"/>
    <x v="2"/>
    <n v="33.394390000000001"/>
    <n v="-111.78804580000001"/>
    <x v="36"/>
    <s v="AZ"/>
  </r>
  <r>
    <s v="Maplewood Mercantile 639 :  1525 S POWER RD, MESA, AZ"/>
    <n v="64377.19"/>
    <x v="2"/>
    <n v="33.38895333"/>
    <n v="-111.6845058"/>
    <x v="36"/>
    <s v="AZ"/>
  </r>
  <r>
    <s v="Pebble &amp; Pine Pharmacy 11182 :  1130 W SOUTHERN AVE, MESA, AZ"/>
    <n v="19138.95"/>
    <x v="2"/>
    <n v="33.393309109999997"/>
    <n v="-111.856013"/>
    <x v="36"/>
    <s v="AZ"/>
  </r>
  <r>
    <s v="Pebble &amp; Pine Pharmacy 12335 :  10825 E BASELINE RD, MESA, AZ"/>
    <n v="10601.99"/>
    <x v="2"/>
    <n v="33.378712870000001"/>
    <n v="-111.60057999999999"/>
    <x v="36"/>
    <s v="AZ"/>
  </r>
  <r>
    <s v="Pebble &amp; Pine Pharmacy 2771 :  1305 S GREENFIELD RD, MESA, AZ"/>
    <n v="16328.12"/>
    <x v="2"/>
    <n v="33.391964999999999"/>
    <n v="-111.73638579999999"/>
    <x v="36"/>
    <s v="AZ"/>
  </r>
  <r>
    <s v="Pebble &amp; Pine Pharmacy 3215 :  1935 N POWER RD, MESA, AZ"/>
    <n v="8601.26"/>
    <x v="2"/>
    <n v="33.451196080000003"/>
    <n v="-111.6838657"/>
    <x v="36"/>
    <s v="AZ"/>
  </r>
  <r>
    <s v="Pebble &amp; Pine Pharmacy 3591 :  2811 E BROADWAY RD, MESA, AZ"/>
    <n v="15607.9"/>
    <x v="2"/>
    <n v="33.40801287"/>
    <n v="-111.7704067"/>
    <x v="36"/>
    <s v="AZ"/>
  </r>
  <r>
    <s v="Pebble &amp; Pine Pharmacy 3670 :  1159 E SOUTHERN AVE, MESA, AZ"/>
    <n v="11751.2"/>
    <x v="2"/>
    <n v="33.393212869999999"/>
    <n v="-111.80627"/>
    <x v="36"/>
    <s v="AZ"/>
  </r>
  <r>
    <s v="Pebble &amp; Pine Pharmacy 3728 :  7059 E BASELINE RD, MESA, AZ"/>
    <n v="15783.24"/>
    <x v="2"/>
    <n v="33.37922287"/>
    <n v="-111.6816986"/>
    <x v="36"/>
    <s v="AZ"/>
  </r>
  <r>
    <s v="Pebble &amp; Pine Pharmacy 3767 :  2737 E MCKELLIPS RD, MESA, AZ"/>
    <n v="11115.16"/>
    <x v="2"/>
    <n v="33.45166287"/>
    <n v="-111.77243"/>
    <x v="36"/>
    <s v="AZ"/>
  </r>
  <r>
    <s v="Pebble &amp; Pine Pharmacy 4435 :  4420 E BROWN RD, MESA, AZ"/>
    <n v="14489.25"/>
    <x v="2"/>
    <n v="33.437419400000003"/>
    <n v="-111.7349292"/>
    <x v="36"/>
    <s v="AZ"/>
  </r>
  <r>
    <s v="Pebble &amp; Pine Pharmacy 5039 :  746 W UNIVERSITY DR, MESA, AZ"/>
    <n v="10755.96"/>
    <x v="2"/>
    <n v="33.422397119999999"/>
    <n v="-111.8477321"/>
    <x v="36"/>
    <s v="AZ"/>
  </r>
  <r>
    <s v="Pebble &amp; Pine Pharmacy 5392 :  420 S SOSSAMAN RD, MESA, AZ"/>
    <n v="14254.47"/>
    <x v="2"/>
    <n v="33.407276670000002"/>
    <n v="-111.6676243"/>
    <x v="36"/>
    <s v="AZ"/>
  </r>
  <r>
    <s v="Pebble &amp; Pine Pharmacy 5701 :  1158 S CRISMON RD, MESA, AZ"/>
    <n v="18936.97"/>
    <x v="2"/>
    <n v="33.39436619"/>
    <n v="-111.6155619"/>
    <x v="36"/>
    <s v="AZ"/>
  </r>
  <r>
    <s v="Pebble &amp; Pine Pharmacy 6026 :  3624 N POWER RD, MESA, AZ"/>
    <n v="14209.32"/>
    <x v="2"/>
    <n v="33.481375"/>
    <n v="-111.68414439999999"/>
    <x v="36"/>
    <s v="AZ"/>
  </r>
  <r>
    <s v="Pebble &amp; Pine Pharmacy 6177 :  1135 N MESA DR, MESA, AZ"/>
    <n v="24912.74"/>
    <x v="2"/>
    <n v="33.436117609999997"/>
    <n v="-111.82249590000001"/>
    <x v="36"/>
    <s v="AZ"/>
  </r>
  <r>
    <s v="Pebble &amp; Pine Pharmacy 6582 :  9230 E MAIN ST, MESA, AZ"/>
    <n v="4244.5200000000004"/>
    <x v="2"/>
    <n v="33.415507079999998"/>
    <n v="-111.63135459999999"/>
    <x v="36"/>
    <s v="AZ"/>
  </r>
  <r>
    <s v="Pebble &amp; Pine Pharmacy 6784 :  2024 W MAIN ST, MESA, AZ"/>
    <n v="9681.91"/>
    <x v="2"/>
    <n v="33.415097060000001"/>
    <n v="-111.8751053"/>
    <x v="36"/>
    <s v="AZ"/>
  </r>
  <r>
    <s v="Pebble &amp; Pine Pharmacy 7558 :  9233 E GUADALUPE RD, MESA, AZ"/>
    <n v="14916.14"/>
    <x v="2"/>
    <n v="33.364453009999998"/>
    <n v="-111.6352875"/>
    <x v="36"/>
    <s v="AZ"/>
  </r>
  <r>
    <s v="Pebble &amp; Pine Pharmacy 7828 :  6002 E MAIN ST, MESA, AZ"/>
    <n v="4774.66"/>
    <x v="2"/>
    <n v="33.415807129999997"/>
    <n v="-111.7017086"/>
    <x v="36"/>
    <s v="AZ"/>
  </r>
  <r>
    <s v="Pebble &amp; Pine Pharmacy 9202 :  1142 W GUADALUPE RD, MESA, AZ"/>
    <n v="10597.48"/>
    <x v="2"/>
    <n v="33.364377130000001"/>
    <n v="-111.85822"/>
    <x v="36"/>
    <s v="AZ"/>
  </r>
  <r>
    <s v="Mr Fantastic's Emporium 26638 :  6720 W OLIVE AVE, PEORIA, AZ"/>
    <n v="27836.04"/>
    <x v="2"/>
    <n v="33.567284819999998"/>
    <n v="-112.2033321"/>
    <x v="37"/>
    <s v="AZ"/>
  </r>
  <r>
    <s v="Driftwood Market 1971 :  8950 W BELL RD, PEORIA, AZ"/>
    <n v="27307.46"/>
    <x v="2"/>
    <n v="33.638317129999997"/>
    <n v="-112.2518"/>
    <x v="37"/>
    <s v="AZ"/>
  </r>
  <r>
    <s v="Driftwood Market 991 :  8240 W DEER VALLEY RD, PEORIA, AZ"/>
    <n v="46073.52"/>
    <x v="2"/>
    <n v="33.681727850000001"/>
    <n v="-112.2364316"/>
    <x v="37"/>
    <s v="AZ"/>
  </r>
  <r>
    <s v="Cloudline Provisions 83862 :  8271 W THUNDERBIRD RD, PEORIA, AZ"/>
    <n v="24756.97"/>
    <x v="2"/>
    <n v="33.609783020000002"/>
    <n v="-112.23754219999999"/>
    <x v="37"/>
    <s v="AZ"/>
  </r>
  <r>
    <s v="Iron Pine Outpost 102 :  20351 N LAKE PLEASANT RD, PEORIA, AZ"/>
    <n v="19717.490000000002"/>
    <x v="2"/>
    <n v="33.66854"/>
    <n v="-112.2797152"/>
    <x v="37"/>
    <s v="AZ"/>
  </r>
  <r>
    <s v="Bluebell Bazaar 2701054 :  18610 N 107TH AVE, PEORIA, AZ"/>
    <n v="43775.91"/>
    <x v="2"/>
    <n v="33.570979999999999"/>
    <n v="-112.24777"/>
    <x v="37"/>
    <s v="AZ"/>
  </r>
  <r>
    <s v="Bluebell Bazaar 2701065 :  9049 W PEORIA AVE, PEORIA, AZ"/>
    <n v="49348.69"/>
    <x v="2"/>
    <n v="33.580704310000002"/>
    <n v="-112.2544402"/>
    <x v="37"/>
    <s v="AZ"/>
  </r>
  <r>
    <s v="Bluebell Bazaar 2701646 :  7510 W PEORIA AVE, PEORIA, AZ"/>
    <n v="38906.300000000003"/>
    <x v="2"/>
    <n v="33.581522280000002"/>
    <n v="-112.2204662"/>
    <x v="37"/>
    <s v="AZ"/>
  </r>
  <r>
    <s v="Bluebell Bazaar 2701785 :  7460 W CACTUS RD, PEORIA, AZ"/>
    <n v="49591.69"/>
    <x v="2"/>
    <n v="33.596007120000003"/>
    <n v="-112.21952229999999"/>
    <x v="37"/>
    <s v="AZ"/>
  </r>
  <r>
    <s v="Bluebell Bazaar 2703367 :  8327 W THUNDERBIRD RD, PEORIA, AZ"/>
    <n v="48009.47"/>
    <x v="2"/>
    <n v="33.609780890000003"/>
    <n v="-112.2377791"/>
    <x v="37"/>
    <s v="AZ"/>
  </r>
  <r>
    <s v="Bluebell Bazaar 2703392 :  8277 W OLIVE AVE, PEORIA, AZ"/>
    <n v="93034.26"/>
    <x v="2"/>
    <n v="33.566342980000002"/>
    <n v="-112.2374834"/>
    <x v="37"/>
    <s v="AZ"/>
  </r>
  <r>
    <s v="Bluebell Bazaar 2705544 :  8326 W UNION HILLS DR, PEORIA, AZ"/>
    <n v="78454.55"/>
    <x v="2"/>
    <n v="33.652857130000001"/>
    <n v="-112.23822"/>
    <x v="37"/>
    <s v="AZ"/>
  </r>
  <r>
    <s v="Bluebell Bazaar 2705573 :  8319 W BELL RD, PEORIA, AZ"/>
    <n v="88927.93"/>
    <x v="2"/>
    <n v="33.637902869999998"/>
    <n v="-112.23506500000001"/>
    <x v="37"/>
    <s v="AZ"/>
  </r>
  <r>
    <s v="Bluebell Bazaar 2705914 :  8325 W DEER VALLEY RD, PEORIA, AZ"/>
    <n v="44692.11"/>
    <x v="2"/>
    <n v="33.681432870000002"/>
    <n v="-112.23832"/>
    <x v="37"/>
    <s v="AZ"/>
  </r>
  <r>
    <s v="Bluebell Bazaar 2706468 :  9476 W OLIVE AVE, PEORIA, AZ"/>
    <n v="48850.52"/>
    <x v="2"/>
    <n v="33.566194009999997"/>
    <n v="-112.2631342"/>
    <x v="37"/>
    <s v="AZ"/>
  </r>
  <r>
    <s v="Bluebell Bazaar 2706672 :  23336 N LAKE PLEASANT PKWY, PEORIA, AZ"/>
    <n v="68025.899999999994"/>
    <x v="2"/>
    <n v="33.695537229999999"/>
    <n v="-112.2759337"/>
    <x v="37"/>
    <s v="AZ"/>
  </r>
  <r>
    <s v="Bluebell Bazaar 2709155 :  8720 W BELL RD, PEORIA, AZ"/>
    <n v="75219.92"/>
    <x v="2"/>
    <n v="33.63832713"/>
    <n v="-112.2467589"/>
    <x v="37"/>
    <s v="AZ"/>
  </r>
  <r>
    <s v="Bluebell Bazaar 2709176 :  6735 W PEORIA AVE, PEORIA, AZ"/>
    <n v="31812.71"/>
    <x v="2"/>
    <n v="33.581482870000002"/>
    <n v="-112.20366110000001"/>
    <x v="37"/>
    <s v="AZ"/>
  </r>
  <r>
    <s v="Bluebell Bazaar 2741631 :  8270 W CACTUS RD, PEORIA, AZ"/>
    <n v="63407.199999999997"/>
    <x v="2"/>
    <n v="33.595628769999998"/>
    <n v="-112.2371606"/>
    <x v="37"/>
    <s v="AZ"/>
  </r>
  <r>
    <s v="Bluebell Bazaar 2741683 :  28460 N VISTANCIA BLVD, PEORIA, AZ"/>
    <n v="109184.52"/>
    <x v="2"/>
    <n v="33.760553700000003"/>
    <n v="-112.3385749"/>
    <x v="37"/>
    <s v="AZ"/>
  </r>
  <r>
    <s v="Mossy Hollow Market 114 :  9245 W UNION HLS, PEORIA, AZ"/>
    <n v="77046.710000000006"/>
    <x v="2"/>
    <n v="33.655500000000004"/>
    <n v="-112.24764999999999"/>
    <x v="37"/>
    <s v="AZ"/>
  </r>
  <r>
    <s v="Mossy Hollow Market 45 :  7455 W CACTUS RD, PEORIA, AZ"/>
    <n v="116895.45"/>
    <x v="2"/>
    <n v="33.595744160000002"/>
    <n v="-112.219297"/>
    <x v="37"/>
    <s v="AZ"/>
  </r>
  <r>
    <s v="Mossy Hollow Market 56 :  9043 W OLIVE AVE, PEORIA, AZ"/>
    <n v="127497.24"/>
    <x v="2"/>
    <n v="33.566167020000002"/>
    <n v="-112.25339080000001"/>
    <x v="37"/>
    <s v="AZ"/>
  </r>
  <r>
    <s v="Mossy Hollow Market 657 :  25401 N LAKE PLEASANT PKWY, PEORIA, AZ"/>
    <n v="196414.61"/>
    <x v="2"/>
    <n v="33.714479529999998"/>
    <n v="-112.2708492"/>
    <x v="37"/>
    <s v="AZ"/>
  </r>
  <r>
    <s v="Mossy Hollow Market 683 :  11701 W LONE MOUNTAIN PKWY, PEORIA, AZ"/>
    <n v="120331.42"/>
    <x v="2"/>
    <s v="N/A"/>
    <s v="N/A"/>
    <x v="37"/>
    <s v="AZ"/>
  </r>
  <r>
    <s v="Mossy Hollow Market 74 :  8375 W DEER VALLEY RD, PEORIA, AZ"/>
    <n v="99365.99"/>
    <x v="2"/>
    <n v="33.681432870000002"/>
    <n v="-112.239408"/>
    <x v="37"/>
    <s v="AZ"/>
  </r>
  <r>
    <s v="Sunny Pebble Co. 801 :  8369 W BELL RD, PEORIA, AZ"/>
    <n v="52344.08"/>
    <x v="2"/>
    <n v="33.637922889999999"/>
    <n v="-112.2409631"/>
    <x v="37"/>
    <s v="AZ"/>
  </r>
  <r>
    <s v="Haven Hearth Goods 1662 :  10641 W OLIVE AVE, PEORIA, AZ"/>
    <n v="78715.91"/>
    <x v="2"/>
    <n v="33.565494489999999"/>
    <n v="-112.2879921"/>
    <x v="37"/>
    <s v="AZ"/>
  </r>
  <r>
    <s v="Haven Hearth Goods 1841 :  12320 N 83RD AVE, PEORIA, AZ"/>
    <n v="57995.58"/>
    <x v="2"/>
    <n v="33.59657129"/>
    <n v="-112.2379284"/>
    <x v="37"/>
    <s v="AZ"/>
  </r>
  <r>
    <s v="Haven Hearth Goods 2799 :  2845 N VISTANCIA BLVD, PEORIA, AZ"/>
    <n v="41191.89"/>
    <x v="2"/>
    <n v="33.779179999999997"/>
    <n v="-112.30379000000001"/>
    <x v="37"/>
    <s v="AZ"/>
  </r>
  <r>
    <s v="Haven Hearth Goods 72 :  8010 W HAPPY VALLEY RD, PEORIA, AZ"/>
    <n v="39932.61"/>
    <x v="2"/>
    <s v="N/A"/>
    <s v="N/A"/>
    <x v="37"/>
    <s v="AZ"/>
  </r>
  <r>
    <s v="Jellybean Junction 2227 :  24890 N LAKE PLEASANT PKWY, PEORIA, AZ"/>
    <n v="94843.38"/>
    <x v="2"/>
    <n v="33.709591519999996"/>
    <n v="-112.272823"/>
    <x v="37"/>
    <s v="AZ"/>
  </r>
  <r>
    <s v="Maplewood Mercantile 825 :  8055 W BELL RD, PEORIA, AZ"/>
    <n v="78583.839999999997"/>
    <x v="2"/>
    <n v="33.637912870000001"/>
    <n v="-112.23074"/>
    <x v="37"/>
    <s v="AZ"/>
  </r>
  <r>
    <s v="Pebble &amp; Pine Pharmacy 10241 :  28516 N EL MIRAGE RD, PEORIA, AZ"/>
    <n v="7081.49"/>
    <x v="2"/>
    <n v="33.741312280000002"/>
    <n v="-112.3230334"/>
    <x v="37"/>
    <s v="AZ"/>
  </r>
  <r>
    <s v="Pebble &amp; Pine Pharmacy 3048 :  9050 W UNION HILLS DR, PEORIA, AZ"/>
    <n v="11707.75"/>
    <x v="2"/>
    <n v="33.652777129999997"/>
    <n v="-112.25416"/>
    <x v="37"/>
    <s v="AZ"/>
  </r>
  <r>
    <s v="Pebble &amp; Pine Pharmacy 3427 :  7448 W THUNDERBIRD RD, PEORIA, AZ"/>
    <n v="11104.59"/>
    <x v="2"/>
    <n v="33.610537119999996"/>
    <n v="-112.2193224"/>
    <x v="37"/>
    <s v="AZ"/>
  </r>
  <r>
    <s v="Pebble &amp; Pine Pharmacy 4742 :  8310 W DEER VALLEY RD, PEORIA, AZ"/>
    <n v="9749.02"/>
    <x v="2"/>
    <n v="33.681707129999999"/>
    <n v="-112.23860999999999"/>
    <x v="37"/>
    <s v="AZ"/>
  </r>
  <r>
    <s v="Pebble &amp; Pine Pharmacy 5222 :  9040 W PEORIA AVE, PEORIA, AZ"/>
    <n v="18367.79"/>
    <x v="2"/>
    <n v="33.580985939999998"/>
    <n v="-112.2539945"/>
    <x v="37"/>
    <s v="AZ"/>
  </r>
  <r>
    <s v="Pebble &amp; Pine Pharmacy 5353 :  20266 N LAKE PLEASANT RD, PEORIA, AZ"/>
    <n v="9686.76"/>
    <x v="2"/>
    <n v="33.667724999999997"/>
    <n v="-112.2801948"/>
    <x v="37"/>
    <s v="AZ"/>
  </r>
  <r>
    <s v="Mr Fantastic's Emporium 13026 :  4511 N 24TH ST, PHOENIX, AZ"/>
    <n v="45186.25"/>
    <x v="2"/>
    <n v="33.50221947"/>
    <n v="-112.0300455"/>
    <x v="38"/>
    <s v="AZ"/>
  </r>
  <r>
    <s v="Mr Fantastic's Emporium 16082 :  4831 N 75TH AVE, PHOENIX, AZ"/>
    <n v="16595.46"/>
    <x v="2"/>
    <n v="33.507442859999998"/>
    <n v="-112.22029550000001"/>
    <x v="38"/>
    <s v="AZ"/>
  </r>
  <r>
    <s v="Mr Fantastic's Emporium 16398 :  2424 W GREENWAY RD, PHOENIX, AZ"/>
    <n v="30583.88"/>
    <x v="2"/>
    <n v="33.625435699999997"/>
    <n v="-112.1123283"/>
    <x v="38"/>
    <s v="AZ"/>
  </r>
  <r>
    <s v="Mr Fantastic's Emporium 18117 :  2651 W GLENDALE AVE, PHOENIX, AZ"/>
    <n v="2686.2968999999998"/>
    <x v="2"/>
    <n v="33.538432870000001"/>
    <n v="-112.1157633"/>
    <x v="38"/>
    <s v="AZ"/>
  </r>
  <r>
    <s v="Mr Fantastic's Emporium 19158 :  5901 W MCDOWELL RD, PHOENIX, AZ"/>
    <n v="49755.77"/>
    <x v="2"/>
    <n v="33.46583287"/>
    <n v="-112.18653999999999"/>
    <x v="38"/>
    <s v="AZ"/>
  </r>
  <r>
    <s v="Mr Fantastic's Emporium 19650 :  4748 E MCDOWELL RD, PHOENIX, AZ"/>
    <n v="46253.94"/>
    <x v="2"/>
    <n v="33.465867129999999"/>
    <n v="-111.9791455"/>
    <x v="38"/>
    <s v="AZ"/>
  </r>
  <r>
    <s v="Mr Fantastic's Emporium 20212 :  1950 E INDIAN SCHOOL RD, PHOENIX, AZ"/>
    <n v="36036.269999999997"/>
    <x v="2"/>
    <n v="33.494964490000001"/>
    <n v="-112.0400004"/>
    <x v="38"/>
    <s v="AZ"/>
  </r>
  <r>
    <s v="Mr Fantastic's Emporium 20416 :  3306 W BELL RD, PHOENIX, AZ"/>
    <n v="26741.98"/>
    <x v="2"/>
    <n v="33.639865530000002"/>
    <n v="-112.13003380000001"/>
    <x v="38"/>
    <s v="AZ"/>
  </r>
  <r>
    <s v="Mr Fantastic's Emporium 20433 :  12033 N 28TH DR, PHOENIX, AZ"/>
    <n v="31573.72"/>
    <x v="2"/>
    <n v="33.595849999999999"/>
    <n v="-112.1199354"/>
    <x v="38"/>
    <s v="AZ"/>
  </r>
  <r>
    <s v="Mr Fantastic's Emporium 20622 :  646 W INDIAN SCHOOL RD, PHOENIX, AZ"/>
    <n v="32079.17"/>
    <x v="2"/>
    <n v="33.495007129999998"/>
    <n v="-112.0826667"/>
    <x v="38"/>
    <s v="AZ"/>
  </r>
  <r>
    <s v="Mr Fantastic's Emporium 21040 :  5135 E THOMAS RD, PHOENIX, AZ"/>
    <n v="27299.07"/>
    <x v="2"/>
    <n v="33.47991287"/>
    <n v="-111.9704636"/>
    <x v="38"/>
    <s v="AZ"/>
  </r>
  <r>
    <s v="Mr Fantastic's Emporium 22886 :  3912 E CAMELBACK, PHOENIX, AZ"/>
    <n v="30509.8"/>
    <x v="2"/>
    <n v="33.510077129999999"/>
    <n v="-111.99722180000001"/>
    <x v="38"/>
    <s v="AZ"/>
  </r>
  <r>
    <s v="Mr Fantastic's Emporium 23215 :  3948 E THOMAS, PHOENIX, AZ"/>
    <n v="30131.599999999999"/>
    <x v="2"/>
    <n v="33.480562910000003"/>
    <n v="-111.9966002"/>
    <x v="38"/>
    <s v="AZ"/>
  </r>
  <r>
    <s v="Mr Fantastic's Emporium 24169 :  850 E BELL, PHOENIX, AZ"/>
    <n v="40892.720000000001"/>
    <x v="2"/>
    <n v="33.640530589999997"/>
    <n v="-112.0621373"/>
    <x v="38"/>
    <s v="AZ"/>
  </r>
  <r>
    <s v="Mr Fantastic's Emporium 26085 :  1850 W GLENDALE, PHOENIX, AZ"/>
    <n v="26067.360000000001"/>
    <x v="2"/>
    <n v="33.538765869999999"/>
    <n v="-112.09838190000001"/>
    <x v="38"/>
    <s v="AZ"/>
  </r>
  <r>
    <s v="Mr Fantastic's Emporium 26086 :  3201 E SHEA BLVD, PHOENIX, AZ"/>
    <n v="41505.839999999997"/>
    <x v="2"/>
    <n v="33.58232297"/>
    <n v="-112.01307370000001"/>
    <x v="38"/>
    <s v="AZ"/>
  </r>
  <r>
    <s v="Mr Fantastic's Emporium 26123 :  5850 W THOMAS RD, PHOENIX, AZ"/>
    <n v="35039.199999999997"/>
    <x v="2"/>
    <n v="33.480657129999997"/>
    <n v="-112.18638"/>
    <x v="38"/>
    <s v="AZ"/>
  </r>
  <r>
    <s v="Mr Fantastic's Emporium 27401 :  4748 E VAN BUREN, PHOENIX, AZ"/>
    <n v="47208.81"/>
    <x v="2"/>
    <n v="33.451247129999999"/>
    <n v="-111.97928829999999"/>
    <x v="38"/>
    <s v="AZ"/>
  </r>
  <r>
    <s v="Mr Fantastic's Emporium 27518 :  4840 N 67TH AVE, PHOENIX, AZ"/>
    <n v="35619.1"/>
    <x v="2"/>
    <n v="33.508606579999999"/>
    <n v="-112.20332449999999"/>
    <x v="38"/>
    <s v="AZ"/>
  </r>
  <r>
    <s v="Mr Fantastic's Emporium 32319 :  19848 N 27TH AVE, PHOENIX, AZ"/>
    <n v="82862.22"/>
    <x v="2"/>
    <n v="33.666805050000001"/>
    <n v="-112.1175085"/>
    <x v="38"/>
    <s v="AZ"/>
  </r>
  <r>
    <s v="Mr Fantastic's Emporium 32824 :  9910 W INDIAN SCHOOL RD, PHOENIX, AZ"/>
    <n v="54751.62"/>
    <x v="2"/>
    <n v="33.493906729999999"/>
    <n v="-112.2729126"/>
    <x v="38"/>
    <s v="AZ"/>
  </r>
  <r>
    <s v="Mr Fantastic's Emporium 42313 :  1818 S 7TH ST, PHOENIX, AZ"/>
    <n v="53676.84"/>
    <x v="2"/>
    <s v="N/A"/>
    <s v="N/A"/>
    <x v="38"/>
    <s v="AZ"/>
  </r>
  <r>
    <s v="Snap &amp; Go 159 :  4430 E CAMELBACK RD, PHOENIX, AZ"/>
    <n v="16001.9"/>
    <x v="2"/>
    <n v="33.509537129999998"/>
    <n v="-111.98384"/>
    <x v="38"/>
    <s v="AZ"/>
  </r>
  <r>
    <s v="Snap &amp; Go 64 :  5017 N CENTRAL AVE, PHOENIX, AZ"/>
    <n v="14117.72"/>
    <x v="2"/>
    <n v="33.509827219999998"/>
    <n v="-112.07357930000001"/>
    <x v="38"/>
    <s v="AZ"/>
  </r>
  <r>
    <s v="Driftwood Market 25 :  21001 N TATUM BLVD, PHOENIX, AZ"/>
    <n v="71784.73"/>
    <x v="2"/>
    <n v="33.677403120000001"/>
    <n v="-111.97711889999999"/>
    <x v="38"/>
    <s v="AZ"/>
  </r>
  <r>
    <s v="Driftwood Market 2952 :  8035 N 19TH AVE, PHOENIX, AZ"/>
    <n v="43789.440000000002"/>
    <x v="2"/>
    <n v="33.554724849999999"/>
    <n v="-112.0994954"/>
    <x v="38"/>
    <s v="AZ"/>
  </r>
  <r>
    <s v="Driftwood Market 2985 :  18411 N CAVE CREEK RD, PHOENIX, AZ"/>
    <n v="43781.15"/>
    <x v="2"/>
    <n v="33.653559999999999"/>
    <n v="-112.0306853"/>
    <x v="38"/>
    <s v="AZ"/>
  </r>
  <r>
    <s v="Driftwood Market 4 :  3130 W CAREFREE HWY, PHOENIX, AZ"/>
    <n v="70488.09"/>
    <x v="2"/>
    <n v="33.79853713"/>
    <n v="-112.1271601"/>
    <x v="38"/>
    <s v="AZ"/>
  </r>
  <r>
    <s v="Cloudline Provisions 42974 :  1601 N 43RD AVE, PHOENIX, AZ"/>
    <n v="56932.79"/>
    <x v="2"/>
    <n v="33.465948099999999"/>
    <n v="-112.1516256"/>
    <x v="38"/>
    <s v="AZ"/>
  </r>
  <r>
    <s v="Cloudline Provisions 82533 :  7849 N 43RD AVE, PHOENIX, AZ"/>
    <n v="39916.620000000003"/>
    <x v="2"/>
    <n v="33.5512856"/>
    <n v="-112.151353"/>
    <x v="38"/>
    <s v="AZ"/>
  </r>
  <r>
    <s v="Cloudline Provisions 82562 :  1601 N 27TH AVE, PHOENIX, AZ"/>
    <n v="46074.67"/>
    <x v="2"/>
    <n v="33.465940000000003"/>
    <n v="-112.1169656"/>
    <x v="38"/>
    <s v="AZ"/>
  </r>
  <r>
    <s v="Cloudline Provisions 82733 :  1201 E NORTHERN AVE, PHOENIX, AZ"/>
    <n v="14186.33"/>
    <x v="2"/>
    <n v="33.552903059999998"/>
    <n v="-112.0565714"/>
    <x v="38"/>
    <s v="AZ"/>
  </r>
  <r>
    <s v="Cloudline Provisions 82745 :  935 N 43RD AVE, PHOENIX, AZ"/>
    <n v="93248.68"/>
    <x v="2"/>
    <n v="33.458999259999999"/>
    <n v="-112.15168250000001"/>
    <x v="38"/>
    <s v="AZ"/>
  </r>
  <r>
    <s v="Cloudline Provisions 83853 :  12222 N 32ND ST, PHOENIX, AZ"/>
    <n v="25972.57"/>
    <x v="2"/>
    <n v="33.59767909"/>
    <n v="-112.0134185"/>
    <x v="38"/>
    <s v="AZ"/>
  </r>
  <r>
    <s v="Cloudline Provisions 83857 :  5101 W THOMAS RD, PHOENIX, AZ"/>
    <n v="20213.07"/>
    <x v="2"/>
    <n v="33.480342870000001"/>
    <n v="-112.16898"/>
    <x v="38"/>
    <s v="AZ"/>
  </r>
  <r>
    <s v="Iron Pine Outpost 11 :  4855 E WARNER RD, PHOENIX, AZ"/>
    <n v="19692.71"/>
    <x v="2"/>
    <n v="33.331230120000001"/>
    <n v="-111.9789603"/>
    <x v="38"/>
    <s v="AZ"/>
  </r>
  <r>
    <s v="Iron Pine Outpost 113 :  731 E UNION HILLS DR, PHOENIX, AZ"/>
    <n v="24822.23"/>
    <x v="2"/>
    <n v="33.654715469999999"/>
    <n v="-112.0633524"/>
    <x v="38"/>
    <s v="AZ"/>
  </r>
  <r>
    <s v="Iron Pine Outpost 15 :  10631 N 32ND ST, PHOENIX, AZ"/>
    <n v="28103.17"/>
    <x v="2"/>
    <n v="33.582864479999998"/>
    <n v="-112.01292429999999"/>
    <x v="38"/>
    <s v="AZ"/>
  </r>
  <r>
    <s v="Iron Pine Outpost 158 :  5555 N 7TH ST # 130, PHOENIX, AZ"/>
    <n v="30270.51"/>
    <x v="2"/>
    <n v="33.518193330000003"/>
    <n v="-112.0648255"/>
    <x v="38"/>
    <s v="AZ"/>
  </r>
  <r>
    <s v="Rusty Cart Grocers 103 :  4239 W MCDOWELL RD, PHOENIX, AZ"/>
    <n v="37715.79"/>
    <x v="2"/>
    <n v="33.465813369999999"/>
    <n v="-112.1506613"/>
    <x v="38"/>
    <s v="AZ"/>
  </r>
  <r>
    <s v="Rusty Cart Grocers 104 :  3202 E GREENWAY RD, PHOENIX, AZ"/>
    <n v="27180.76"/>
    <x v="2"/>
    <n v="33.626537130000003"/>
    <n v="-112.0132564"/>
    <x v="38"/>
    <s v="AZ"/>
  </r>
  <r>
    <s v="Rusty Cart Grocers 105 :  3514 W GLENDALE AVE, PHOENIX, AZ"/>
    <n v="34946.879999999997"/>
    <x v="2"/>
    <n v="33.53865012"/>
    <n v="-112.1348184"/>
    <x v="38"/>
    <s v="AZ"/>
  </r>
  <r>
    <s v="Rusty Cart Grocers 107 :  7227 S CENTRAL AVE, PHOENIX, AZ"/>
    <n v="25850.16"/>
    <x v="2"/>
    <n v="33.380948330000002"/>
    <n v="-112.0730958"/>
    <x v="38"/>
    <s v="AZ"/>
  </r>
  <r>
    <s v="Rusty Cart Grocers 12 :  2124 E MCDOWELL RD, PHOENIX, AZ"/>
    <n v="28595.15"/>
    <x v="2"/>
    <n v="33.465958739999998"/>
    <n v="-112.03544840000001"/>
    <x v="38"/>
    <s v="AZ"/>
  </r>
  <r>
    <s v="Rusty Cart Grocers 132 :  2709 W VAN BUREN ST, PHOENIX, AZ"/>
    <n v="24895"/>
    <x v="2"/>
    <n v="33.450966260000001"/>
    <n v="-112.11794829999999"/>
    <x v="38"/>
    <s v="AZ"/>
  </r>
  <r>
    <s v="Rusty Cart Grocers 135 :  5114 W MCDOWELL RD, PHOENIX, AZ"/>
    <n v="31677.43"/>
    <x v="2"/>
    <n v="33.466107129999997"/>
    <n v="-112.16952999999999"/>
    <x v="38"/>
    <s v="AZ"/>
  </r>
  <r>
    <s v="Rusty Cart Grocers 140 :  6544 W THOMAS RD STE 33, PHOENIX, AZ"/>
    <n v="35414.42"/>
    <x v="2"/>
    <n v="33.480497130000003"/>
    <n v="-112.20049469999999"/>
    <x v="38"/>
    <s v="AZ"/>
  </r>
  <r>
    <s v="Rusty Cart Grocers 143 :  4430 E MCDOWELL RD, PHOENIX, AZ"/>
    <n v="23722.62"/>
    <x v="2"/>
    <n v="33.465917130000001"/>
    <n v="-111.9863613"/>
    <x v="38"/>
    <s v="AZ"/>
  </r>
  <r>
    <s v="Rusty Cart Grocers 148 :  3205 E MCDOWELL RD, PHOENIX, AZ"/>
    <n v="17807.259999999998"/>
    <x v="2"/>
    <n v="33.465602869999998"/>
    <n v="-112.01269000000001"/>
    <x v="38"/>
    <s v="AZ"/>
  </r>
  <r>
    <s v="Rusty Cart Grocers 149 :  6025 N 27TH AVE, PHOENIX, AZ"/>
    <n v="31478.57"/>
    <x v="2"/>
    <n v="33.524721990000003"/>
    <n v="-112.1167255"/>
    <x v="38"/>
    <s v="AZ"/>
  </r>
  <r>
    <s v="Rusty Cart Grocers 152 :  4727 E SOUTHERN AVE, PHOENIX, AZ"/>
    <n v="23898.07"/>
    <x v="2"/>
    <n v="33.392602920000002"/>
    <n v="-111.9792253"/>
    <x v="38"/>
    <s v="AZ"/>
  </r>
  <r>
    <s v="Rusty Cart Grocers 154 :  9020 W THOMAS RD, PHOENIX, AZ"/>
    <n v="55215.96"/>
    <x v="2"/>
    <n v="33.47983851"/>
    <n v="-112.2530253"/>
    <x v="38"/>
    <s v="AZ"/>
  </r>
  <r>
    <s v="Rusty Cart Grocers 162 :  845 W SOUTHERN AVE, PHOENIX, AZ"/>
    <n v="42517.72"/>
    <x v="2"/>
    <n v="33.39207287"/>
    <n v="-112.084075"/>
    <x v="38"/>
    <s v="AZ"/>
  </r>
  <r>
    <s v="Rusty Cart Grocers 94 :  3442 W VAN BUREN ST, PHOENIX, AZ"/>
    <n v="45893.91"/>
    <x v="2"/>
    <n v="33.451541409999997"/>
    <n v="-112.1333637"/>
    <x v="38"/>
    <s v="AZ"/>
  </r>
  <r>
    <s v="Rusty Cart Grocers 95 :  1940 W INDIAN SCHOOL RD, PHOENIX, AZ"/>
    <n v="36121.360000000001"/>
    <x v="2"/>
    <n v="33.495167129999999"/>
    <n v="-112.10145"/>
    <x v="38"/>
    <s v="AZ"/>
  </r>
  <r>
    <s v="Bluebell Bazaar 1854 :  1002 N 35TH AVE, PHOENIX, AZ"/>
    <n v="22159.15"/>
    <x v="2"/>
    <n v="33.458689290000002"/>
    <n v="-112.1346344"/>
    <x v="38"/>
    <s v="AZ"/>
  </r>
  <r>
    <s v="Bluebell Bazaar 2700014 :  1001 N 16TH ST, PHOENIX, AZ"/>
    <n v="45495.839999999997"/>
    <x v="2"/>
    <n v="33.458712980000001"/>
    <n v="-112.0474557"/>
    <x v="38"/>
    <s v="AZ"/>
  </r>
  <r>
    <s v="Bluebell Bazaar 2700052 :  8617 N 27TH AVE, PHOENIX, AZ"/>
    <n v="19699.080000000002"/>
    <x v="2"/>
    <n v="33.56286489"/>
    <n v="-112.11677779999999"/>
    <x v="38"/>
    <s v="AZ"/>
  </r>
  <r>
    <s v="Bluebell Bazaar 2700074 :  6322 N 12TH ST, PHOENIX, AZ"/>
    <n v="29623.25"/>
    <x v="2"/>
    <n v="33.530180000000001"/>
    <n v="-112.0564145"/>
    <x v="38"/>
    <s v="AZ"/>
  </r>
  <r>
    <s v="Bluebell Bazaar 2700114 :  614 W ROOSEVELT, PHOENIX, AZ"/>
    <n v="68499.34"/>
    <x v="2"/>
    <n v="33.458954949999999"/>
    <n v="-112.0824092"/>
    <x v="38"/>
    <s v="AZ"/>
  </r>
  <r>
    <s v="Bluebell Bazaar 2700598 :  5050 W THUNDERBIRD RD, PHOENIX, AZ"/>
    <n v="36224.949999999997"/>
    <x v="2"/>
    <n v="33.631770000000003"/>
    <n v="-112.09423"/>
    <x v="38"/>
    <s v="AZ"/>
  </r>
  <r>
    <s v="Bluebell Bazaar 2700693 :  5850 S 19TH AVE, PHOENIX, AZ"/>
    <n v="61592.61"/>
    <x v="2"/>
    <n v="33.393378630000001"/>
    <n v="-112.09930970000001"/>
    <x v="38"/>
    <s v="AZ"/>
  </r>
  <r>
    <s v="Bluebell Bazaar 2700720 :  2359 E BEARDSLEY RD, PHOENIX, AZ"/>
    <n v="29070.02"/>
    <x v="2"/>
    <n v="33.669418899999997"/>
    <n v="-112.0317604"/>
    <x v="38"/>
    <s v="AZ"/>
  </r>
  <r>
    <s v="Bluebell Bazaar 2701200 :  2702 W GLENDALE AVE, PHOENIX, AZ"/>
    <n v="39322.49"/>
    <x v="2"/>
    <n v="33.538707129999999"/>
    <n v="-112.11696070000001"/>
    <x v="38"/>
    <s v="AZ"/>
  </r>
  <r>
    <s v="Bluebell Bazaar 2701216 :  3955 E BROADWAY, PHOENIX, AZ"/>
    <n v="68802"/>
    <x v="2"/>
    <n v="33.407133119999997"/>
    <n v="-111.9958511"/>
    <x v="38"/>
    <s v="AZ"/>
  </r>
  <r>
    <s v="Bluebell Bazaar 2701344 :  1002 N 32ND ST, PHOENIX, AZ"/>
    <n v="28534.21"/>
    <x v="2"/>
    <n v="33.458884150000003"/>
    <n v="-112.01305429999999"/>
    <x v="38"/>
    <s v="AZ"/>
  </r>
  <r>
    <s v="Bluebell Bazaar 2701345 :  3101 W NORTHERN AVE, PHOENIX, AZ"/>
    <n v="48893.78"/>
    <x v="2"/>
    <n v="33.552942870000003"/>
    <n v="-112.12560000000001"/>
    <x v="38"/>
    <s v="AZ"/>
  </r>
  <r>
    <s v="Bluebell Bazaar 2701347 :  4502 N 19TH AVE, PHOENIX, AZ"/>
    <n v="40386.370000000003"/>
    <x v="2"/>
    <n v="33.502375600000001"/>
    <n v="-112.1000635"/>
    <x v="38"/>
    <s v="AZ"/>
  </r>
  <r>
    <s v="Bluebell Bazaar 2701541 :  701 E BETHANY HOME RD, PHOENIX, AZ"/>
    <n v="37116.15"/>
    <x v="2"/>
    <n v="33.523602869999998"/>
    <n v="-112.06498000000001"/>
    <x v="38"/>
    <s v="AZ"/>
  </r>
  <r>
    <s v="Bluebell Bazaar 2701566 :  3502 W PEORIA AVE, PHOENIX, AZ"/>
    <n v="44976.44"/>
    <x v="2"/>
    <n v="33.582166209999997"/>
    <n v="-112.13425340000001"/>
    <x v="38"/>
    <s v="AZ"/>
  </r>
  <r>
    <s v="Bluebell Bazaar 2701569 :  699 E BUCKEYE RD, PHOENIX, AZ"/>
    <n v="87887.23"/>
    <x v="2"/>
    <n v="33.436702879999999"/>
    <n v="-112.0652078"/>
    <x v="38"/>
    <s v="AZ"/>
  </r>
  <r>
    <s v="Bluebell Bazaar 2701570 :  4401 S 7TH AVE, PHOENIX, AZ"/>
    <n v="41201.120000000003"/>
    <x v="2"/>
    <n v="33.406697360000003"/>
    <n v="-112.08174579999999"/>
    <x v="38"/>
    <s v="AZ"/>
  </r>
  <r>
    <s v="Bluebell Bazaar 2701584 :  2640 W VAN BUREN, PHOENIX, AZ"/>
    <n v="31250.71"/>
    <x v="2"/>
    <n v="33.451217110000002"/>
    <n v="-112.1169967"/>
    <x v="38"/>
    <s v="AZ"/>
  </r>
  <r>
    <s v="Bluebell Bazaar 2701603 :  1501 W MCDOWELL RD, PHOENIX, AZ"/>
    <n v="43299.83"/>
    <x v="2"/>
    <n v="33.465712869999997"/>
    <n v="-112.0918442"/>
    <x v="38"/>
    <s v="AZ"/>
  </r>
  <r>
    <s v="Bluebell Bazaar 2701618 :  6002 N 7TH AVE, PHOENIX, AZ"/>
    <n v="49398.55"/>
    <x v="2"/>
    <n v="33.523950910000003"/>
    <n v="-112.08257450000001"/>
    <x v="38"/>
    <s v="AZ"/>
  </r>
  <r>
    <s v="Bluebell Bazaar 2701619 :  2401 E INDIAN SCHOOL RD, PHOENIX, AZ"/>
    <n v="38391.72"/>
    <x v="2"/>
    <n v="33.494692880000002"/>
    <n v="-112.03019810000001"/>
    <x v="38"/>
    <s v="AZ"/>
  </r>
  <r>
    <s v="Bluebell Bazaar 2701620 :  3554 E INDIAN SCHOOL RD, PHOENIX, AZ"/>
    <n v="31299.49"/>
    <x v="2"/>
    <n v="33.495302129999999"/>
    <n v="-112.0053759"/>
    <x v="38"/>
    <s v="AZ"/>
  </r>
  <r>
    <s v="Bluebell Bazaar 2701622 :  3404 N 19TH AVE, PHOENIX, AZ"/>
    <n v="36736.089999999997"/>
    <x v="2"/>
    <n v="33.487923330000001"/>
    <n v="-112.1000944"/>
    <x v="38"/>
    <s v="AZ"/>
  </r>
  <r>
    <s v="Bluebell Bazaar 2701637 :  2402 E SOUTHERN AVE, PHOENIX, AZ"/>
    <n v="31224.560000000001"/>
    <x v="2"/>
    <n v="33.393338290000003"/>
    <n v="-112.0300026"/>
    <x v="38"/>
    <s v="AZ"/>
  </r>
  <r>
    <s v="Bluebell Bazaar 2701662 :  4402 E OSBORN RD, PHOENIX, AZ"/>
    <n v="64707.59"/>
    <x v="2"/>
    <n v="33.487749860000001"/>
    <n v="-111.98672139999999"/>
    <x v="38"/>
    <s v="AZ"/>
  </r>
  <r>
    <s v="Bluebell Bazaar 2701667 :  2850 N 7TH ST, PHOENIX, AZ"/>
    <n v="48293.33"/>
    <x v="2"/>
    <n v="33.479649989999999"/>
    <n v="-112.0652424"/>
    <x v="38"/>
    <s v="AZ"/>
  </r>
  <r>
    <s v="Bluebell Bazaar 2701673 :  1910 W DEER VALLEY RD, PHOENIX, AZ"/>
    <n v="52093.08"/>
    <x v="2"/>
    <n v="33.683969699999999"/>
    <n v="-112.1003037"/>
    <x v="38"/>
    <s v="AZ"/>
  </r>
  <r>
    <s v="Bluebell Bazaar 2701739 :  7440 S 7TH AVE, PHOENIX, AZ"/>
    <n v="38527.730000000003"/>
    <x v="2"/>
    <n v="33.37856395"/>
    <n v="-112.0820842"/>
    <x v="38"/>
    <s v="AZ"/>
  </r>
  <r>
    <s v="Bluebell Bazaar 2701741 :  5141 N CENTRAL AVE, PHOENIX, AZ"/>
    <n v="40468.47"/>
    <x v="2"/>
    <n v="33.512177940000001"/>
    <n v="-112.0735655"/>
    <x v="38"/>
    <s v="AZ"/>
  </r>
  <r>
    <s v="Bluebell Bazaar 2701752 :  4343 E CAMELBACK RD, PHOENIX, AZ"/>
    <n v="61095.1"/>
    <x v="2"/>
    <n v="33.50934049"/>
    <n v="-111.98760679999999"/>
    <x v="38"/>
    <s v="AZ"/>
  </r>
  <r>
    <s v="Bluebell Bazaar 2701781 :  1540 E BROADWAY RD, PHOENIX, AZ"/>
    <n v="47083.01"/>
    <x v="2"/>
    <n v="33.40690713"/>
    <n v="-112.0477413"/>
    <x v="38"/>
    <s v="AZ"/>
  </r>
  <r>
    <s v="Bluebell Bazaar 2701795 :  1732 W VAN BUREN, PHOENIX, AZ"/>
    <n v="34934.32"/>
    <x v="2"/>
    <n v="33.451435590000003"/>
    <n v="-112.097089"/>
    <x v="38"/>
    <s v="AZ"/>
  </r>
  <r>
    <s v="Bluebell Bazaar 2701843 :  10 E BUCKEYE RD, PHOENIX, AZ"/>
    <n v="27096.34"/>
    <x v="2"/>
    <n v="33.436960450000001"/>
    <n v="-112.07333079999999"/>
    <x v="38"/>
    <s v="AZ"/>
  </r>
  <r>
    <s v="Bluebell Bazaar 2701850 :  630 E BROADWAY, PHOENIX, AZ"/>
    <n v="40875.519999999997"/>
    <x v="2"/>
    <n v="33.40683713"/>
    <n v="-112.06509730000001"/>
    <x v="38"/>
    <s v="AZ"/>
  </r>
  <r>
    <s v="Bluebell Bazaar 2701855 :  15400 N 7TH ST, PHOENIX, AZ"/>
    <n v="37237.01"/>
    <x v="2"/>
    <n v="33.625817359999999"/>
    <n v="-112.06568470000001"/>
    <x v="38"/>
    <s v="AZ"/>
  </r>
  <r>
    <s v="Bluebell Bazaar 2701859 :  702 W MCDOWELL RD, PHOENIX, AZ"/>
    <n v="47744.97"/>
    <x v="2"/>
    <n v="33.465961980000003"/>
    <n v="-112.0830996"/>
    <x v="38"/>
    <s v="AZ"/>
  </r>
  <r>
    <s v="Bluebell Bazaar 2701918 :  3151 E BROADWAY RD, PHOENIX, AZ"/>
    <n v="49848.91"/>
    <x v="2"/>
    <n v="33.40689287"/>
    <n v="-112.01308"/>
    <x v="38"/>
    <s v="AZ"/>
  </r>
  <r>
    <s v="Bluebell Bazaar 2701921 :  3149 E VAN BUREN, PHOENIX, AZ"/>
    <n v="30231.22"/>
    <x v="2"/>
    <n v="33.451182869999997"/>
    <n v="-112.01355150000001"/>
    <x v="38"/>
    <s v="AZ"/>
  </r>
  <r>
    <s v="Bluebell Bazaar 2701929 :  4808 E BELL RD, PHOENIX, AZ"/>
    <n v="44131.07"/>
    <x v="2"/>
    <n v="33.640785039999997"/>
    <n v="-111.9774627"/>
    <x v="38"/>
    <s v="AZ"/>
  </r>
  <r>
    <s v="Bluebell Bazaar 2701938 :  2439 W UNION HILLS DR, PHOENIX, AZ"/>
    <n v="52262.15"/>
    <x v="2"/>
    <n v="33.654493989999999"/>
    <n v="-112.11173359999999"/>
    <x v="38"/>
    <s v="AZ"/>
  </r>
  <r>
    <s v="Bluebell Bazaar 2701950 :  9040 S CENTRAL AVE, PHOENIX, AZ"/>
    <n v="47371.3"/>
    <x v="2"/>
    <n v="33.364199470000003"/>
    <n v="-112.0733542"/>
    <x v="38"/>
    <s v="AZ"/>
  </r>
  <r>
    <s v="Bluebell Bazaar 2701968 :  4303 S 19TH AVE, PHOENIX, AZ"/>
    <n v="48480.08"/>
    <x v="2"/>
    <n v="33.407616670000003"/>
    <n v="-112.0992557"/>
    <x v="38"/>
    <s v="AZ"/>
  </r>
  <r>
    <s v="Bluebell Bazaar 2701974 :  2402 E MCDOWELL RD, PHOENIX, AZ"/>
    <n v="46377.22"/>
    <x v="2"/>
    <n v="33.46592613"/>
    <n v="-112.03011239999999"/>
    <x v="38"/>
    <s v="AZ"/>
  </r>
  <r>
    <s v="Bluebell Bazaar 2701998 :  1834 W GRANT ST, PHOENIX, AZ"/>
    <n v="44945.84"/>
    <x v="2"/>
    <n v="33.441486529999999"/>
    <n v="-112.099383"/>
    <x v="38"/>
    <s v="AZ"/>
  </r>
  <r>
    <s v="Bluebell Bazaar 2702817 :  2120 N 35TH AVE, PHOENIX, AZ"/>
    <n v="46367.32"/>
    <x v="2"/>
    <n v="33.470751999999997"/>
    <n v="-112.1346044"/>
    <x v="38"/>
    <s v="AZ"/>
  </r>
  <r>
    <s v="Bluebell Bazaar 2702835 :  3402 N 35TH AVE, PHOENIX, AZ"/>
    <n v="45267.3"/>
    <x v="2"/>
    <n v="33.487696409999998"/>
    <n v="-112.134494"/>
    <x v="38"/>
    <s v="AZ"/>
  </r>
  <r>
    <s v="Bluebell Bazaar 2702872 :  602 N 1ST AVE, PHOENIX, AZ"/>
    <n v="53174.98"/>
    <x v="2"/>
    <n v="33.456050040000001"/>
    <n v="-112.07534440000001"/>
    <x v="38"/>
    <s v="AZ"/>
  </r>
  <r>
    <s v="Bluebell Bazaar 2702873 :  3930 E SOUTHERN AVE, PHOENIX, AZ"/>
    <n v="33660.07"/>
    <x v="2"/>
    <n v="33.39275713"/>
    <n v="-111.9970746"/>
    <x v="38"/>
    <s v="AZ"/>
  </r>
  <r>
    <s v="Bluebell Bazaar 2702885 :  3618 W BUCKEYE RD, PHOENIX, AZ"/>
    <n v="48730.25"/>
    <x v="2"/>
    <n v="33.437035389999998"/>
    <n v="-112.13748750000001"/>
    <x v="38"/>
    <s v="AZ"/>
  </r>
  <r>
    <s v="Bluebell Bazaar 2702889 :  1342 W THOMAS RD, PHOENIX, AZ"/>
    <n v="38311.199999999997"/>
    <x v="2"/>
    <n v="33.480597789999997"/>
    <n v="-112.0904164"/>
    <x v="38"/>
    <s v="AZ"/>
  </r>
  <r>
    <s v="Bluebell Bazaar 2702890 :  3543 E OAK ST, PHOENIX, AZ"/>
    <n v="36815.58"/>
    <x v="2"/>
    <n v="33.472982870000003"/>
    <n v="-112.0047797"/>
    <x v="38"/>
    <s v="AZ"/>
  </r>
  <r>
    <s v="Bluebell Bazaar 2702891 :  5146 E MCDOWELL RD, PHOENIX, AZ"/>
    <n v="88046.95"/>
    <x v="2"/>
    <n v="33.465777129999999"/>
    <n v="-111.97040440000001"/>
    <x v="38"/>
    <s v="AZ"/>
  </r>
  <r>
    <s v="Bluebell Bazaar 2703393 :  301 N 43RD AVE, PHOENIX, AZ"/>
    <n v="73664.75"/>
    <x v="2"/>
    <n v="33.451361630000001"/>
    <n v="-112.1515857"/>
    <x v="38"/>
    <s v="AZ"/>
  </r>
  <r>
    <s v="Bluebell Bazaar 2703396 :  3011 E BELL RD, PHOENIX, AZ"/>
    <n v="65361.09"/>
    <x v="2"/>
    <n v="33.640352870000001"/>
    <n v="-112.0176125"/>
    <x v="38"/>
    <s v="AZ"/>
  </r>
  <r>
    <s v="Bluebell Bazaar 2703399 :  1122 E INDIAN SCHOOL RD, PHOENIX, AZ"/>
    <n v="65283.89"/>
    <x v="2"/>
    <n v="33.49485713"/>
    <n v="-112.0578086"/>
    <x v="38"/>
    <s v="AZ"/>
  </r>
  <r>
    <s v="Bluebell Bazaar 2703403 :  1850 W HAPPY VALLEY RD, PHOENIX, AZ"/>
    <n v="93501.35"/>
    <x v="2"/>
    <n v="33.713037129999996"/>
    <n v="-112.09907"/>
    <x v="38"/>
    <s v="AZ"/>
  </r>
  <r>
    <s v="Bluebell Bazaar 2703405 :  2120 W NORTHERN AVE, PHOENIX, AZ"/>
    <n v="87840.6"/>
    <x v="2"/>
    <n v="33.553237129999999"/>
    <n v="-112.10466"/>
    <x v="38"/>
    <s v="AZ"/>
  </r>
  <r>
    <s v="Bluebell Bazaar 2703425 :  3950 E BASELINE RD, PHOENIX, AZ"/>
    <n v="65658.02"/>
    <x v="2"/>
    <n v="33.378269160000002"/>
    <n v="-111.99644139999999"/>
    <x v="38"/>
    <s v="AZ"/>
  </r>
  <r>
    <s v="Bluebell Bazaar 2703447 :  975 N 7TH ST, PHOENIX, AZ"/>
    <n v="81262.2"/>
    <x v="2"/>
    <n v="33.458393809999997"/>
    <n v="-112.0650401"/>
    <x v="38"/>
    <s v="AZ"/>
  </r>
  <r>
    <s v="Bluebell Bazaar 2703459 :  2650 W CAMELBACK RD, PHOENIX, AZ"/>
    <n v="55302.94"/>
    <x v="2"/>
    <n v="33.509605260000001"/>
    <n v="-112.11622"/>
    <x v="38"/>
    <s v="AZ"/>
  </r>
  <r>
    <s v="Bluebell Bazaar 2703461 :  2840 N 75TH AVE, PHOENIX, AZ"/>
    <n v="47453.67"/>
    <x v="2"/>
    <n v="33.479741590000003"/>
    <n v="-112.2208948"/>
    <x v="38"/>
    <s v="AZ"/>
  </r>
  <r>
    <s v="Bluebell Bazaar 2703480 :  4810 E WARNER RD, PHOENIX, AZ"/>
    <n v="36251.08"/>
    <x v="2"/>
    <n v="33.331129920000002"/>
    <n v="-111.9802577"/>
    <x v="38"/>
    <s v="AZ"/>
  </r>
  <r>
    <s v="Bluebell Bazaar 2703481 :  675 W UNION HILLS DR, PHOENIX, AZ"/>
    <n v="50154.42"/>
    <x v="2"/>
    <n v="33.654511210000003"/>
    <n v="-112.0820914"/>
    <x v="38"/>
    <s v="AZ"/>
  </r>
  <r>
    <s v="Bluebell Bazaar 2703487 :  1875 W GREENWAY RD, PHOENIX, AZ"/>
    <n v="63432.9"/>
    <x v="2"/>
    <n v="33.625402870000002"/>
    <n v="-112.09828"/>
    <x v="38"/>
    <s v="AZ"/>
  </r>
  <r>
    <s v="Bluebell Bazaar 2703734 :  3443 W DUNLAP, PHOENIX, AZ"/>
    <n v="42436.03"/>
    <x v="2"/>
    <n v="33.567413219999999"/>
    <n v="-112.13335170000001"/>
    <x v="38"/>
    <s v="AZ"/>
  </r>
  <r>
    <s v="Bluebell Bazaar 2703735 :  4301 W CACTUS RD, PHOENIX, AZ"/>
    <n v="60849"/>
    <x v="2"/>
    <n v="33.596202349999999"/>
    <n v="-112.1512926"/>
    <x v="38"/>
    <s v="AZ"/>
  </r>
  <r>
    <s v="Bluebell Bazaar 2703740 :  8955 N 19TH AVE, PHOENIX, AZ"/>
    <n v="16634.23"/>
    <x v="2"/>
    <n v="33.566974000000002"/>
    <n v="-112.09944539999999"/>
    <x v="38"/>
    <s v="AZ"/>
  </r>
  <r>
    <s v="Bluebell Bazaar 2703743 :  5350 N 27TH AVE, PHOENIX, AZ"/>
    <n v="33256.58"/>
    <x v="2"/>
    <n v="33.515778330000003"/>
    <n v="-112.11709449999999"/>
    <x v="38"/>
    <s v="AZ"/>
  </r>
  <r>
    <s v="Bluebell Bazaar 2703744 :  630 E MISSOURI, PHOENIX, AZ"/>
    <n v="54315.58"/>
    <x v="2"/>
    <n v="33.516627130000003"/>
    <n v="-112.06561000000001"/>
    <x v="38"/>
    <s v="AZ"/>
  </r>
  <r>
    <s v="Bluebell Bazaar 2703746 :  12201 N CAVE CREEK RD, PHOENIX, AZ"/>
    <n v="34282.1"/>
    <x v="2"/>
    <n v="33.597674779999998"/>
    <n v="-112.0373647"/>
    <x v="38"/>
    <s v="AZ"/>
  </r>
  <r>
    <s v="Bluebell Bazaar 2704272 :  3502 W UNION HILLS DR, PHOENIX, AZ"/>
    <n v="33062.28"/>
    <x v="2"/>
    <n v="33.654807759999997"/>
    <n v="-112.1345335"/>
    <x v="38"/>
    <s v="AZ"/>
  </r>
  <r>
    <s v="Bluebell Bazaar 2705023 :  1523 E MCDOWELL, PHOENIX, AZ"/>
    <n v="39236.949999999997"/>
    <x v="2"/>
    <n v="33.465612870000001"/>
    <n v="-112.0493511"/>
    <x v="38"/>
    <s v="AZ"/>
  </r>
  <r>
    <s v="Bluebell Bazaar 2705069 :  4301 W THOMAS RD, PHOENIX, AZ"/>
    <n v="37763.980000000003"/>
    <x v="2"/>
    <n v="33.480342989999997"/>
    <n v="-112.1516568"/>
    <x v="38"/>
    <s v="AZ"/>
  </r>
  <r>
    <s v="Bluebell Bazaar 2705194 :  12042 N 32ND ST, PHOENIX, AZ"/>
    <n v="43073.62"/>
    <x v="2"/>
    <n v="33.596475169999998"/>
    <n v="-112.01342459999999"/>
    <x v="38"/>
    <s v="AZ"/>
  </r>
  <r>
    <s v="Bluebell Bazaar 2705282 :  5060 E WARNER RD, PHOENIX, AZ"/>
    <n v="46697.35"/>
    <x v="2"/>
    <n v="33.33400031"/>
    <n v="-111.9773185"/>
    <x v="38"/>
    <s v="AZ"/>
  </r>
  <r>
    <s v="Bluebell Bazaar 2705283 :  3201 E CHANDLER BLVD, PHOENIX, AZ"/>
    <n v="51972.05"/>
    <x v="2"/>
    <n v="33.30499287"/>
    <n v="-112.014015"/>
    <x v="38"/>
    <s v="AZ"/>
  </r>
  <r>
    <s v="Bluebell Bazaar 2705287 :  4801 E ELLIOT RD, PHOENIX, AZ"/>
    <n v="56055.27"/>
    <x v="2"/>
    <n v="33.348753119999998"/>
    <n v="-111.9794524"/>
    <x v="38"/>
    <s v="AZ"/>
  </r>
  <r>
    <s v="Bluebell Bazaar 2705295 :  29816 N TATUM BLVD, PHOENIX, AZ"/>
    <n v="36453.72"/>
    <x v="2"/>
    <n v="33.454039999999999"/>
    <n v="-112.07392"/>
    <x v="38"/>
    <s v="AZ"/>
  </r>
  <r>
    <s v="Bluebell Bazaar 2705298 :  1250 E CHANDLER BLVD, PHOENIX, AZ"/>
    <n v="43387.59"/>
    <x v="2"/>
    <n v="33.306468549999998"/>
    <n v="-112.05590290000001"/>
    <x v="38"/>
    <s v="AZ"/>
  </r>
  <r>
    <s v="Bluebell Bazaar 2705303 :  26290 N TATUM BLVD, PHOENIX, AZ"/>
    <n v="48349.39"/>
    <x v="2"/>
    <n v="33.723684179999999"/>
    <n v="-111.97765080000001"/>
    <x v="38"/>
    <s v="AZ"/>
  </r>
  <r>
    <s v="Bluebell Bazaar 2705308 :  3435 W DEER VALLEY RD, PHOENIX, AZ"/>
    <n v="64324.65"/>
    <x v="2"/>
    <n v="33.683722869999997"/>
    <n v="-112.13294500000001"/>
    <x v="38"/>
    <s v="AZ"/>
  </r>
  <r>
    <s v="Bluebell Bazaar 2705325 :  20202 N 7TH AVE, PHOENIX, AZ"/>
    <n v="99375.77"/>
    <x v="2"/>
    <n v="33.669222859999998"/>
    <n v="-112.08312479999999"/>
    <x v="38"/>
    <s v="AZ"/>
  </r>
  <r>
    <s v="Bluebell Bazaar 2705405 :  2515 W GLENDALE AVE, PHOENIX, AZ"/>
    <n v="32954.620000000003"/>
    <x v="2"/>
    <n v="33.538402869999999"/>
    <n v="-112.11329000000001"/>
    <x v="38"/>
    <s v="AZ"/>
  </r>
  <r>
    <s v="Bluebell Bazaar 2705407 :  4259 W MCDOWELL RD, PHOENIX, AZ"/>
    <n v="40079.32"/>
    <x v="2"/>
    <n v="33.465812870000001"/>
    <n v="-112.15107570000001"/>
    <x v="38"/>
    <s v="AZ"/>
  </r>
  <r>
    <s v="Bluebell Bazaar 2705408 :  4403 E VAN BUREN ST, PHOENIX, AZ"/>
    <n v="56160.15"/>
    <x v="2"/>
    <n v="33.451052599999997"/>
    <n v="-111.98701490000001"/>
    <x v="38"/>
    <s v="AZ"/>
  </r>
  <r>
    <s v="Bluebell Bazaar 2705409 :  8249 W INDIAN SCHOOL RD, PHOENIX, AZ"/>
    <n v="26142.73"/>
    <x v="2"/>
    <n v="33.494152870000001"/>
    <n v="-112.23707"/>
    <x v="38"/>
    <s v="AZ"/>
  </r>
  <r>
    <s v="Bluebell Bazaar 2705545 :  18422 N TATUM BLVD, PHOENIX, AZ"/>
    <n v="47447.040000000001"/>
    <x v="2"/>
    <n v="33.653595250000002"/>
    <n v="-111.9776707"/>
    <x v="38"/>
    <s v="AZ"/>
  </r>
  <r>
    <s v="Bluebell Bazaar 2705547 :  625 W BELL RD, PHOENIX, AZ"/>
    <n v="43077.72"/>
    <x v="2"/>
    <n v="33.640002870000004"/>
    <n v="-112.081794"/>
    <x v="38"/>
    <s v="AZ"/>
  </r>
  <r>
    <s v="Bluebell Bazaar 2705549 :  4939 E RAY RD, PHOENIX, AZ"/>
    <n v="89213.66"/>
    <x v="2"/>
    <n v="33.319642870000003"/>
    <n v="-111.9767705"/>
    <x v="38"/>
    <s v="AZ"/>
  </r>
  <r>
    <s v="Bluebell Bazaar 2705578 :  9875 W CAMELBACK RD, PHOENIX, AZ"/>
    <n v="92927.5"/>
    <x v="2"/>
    <n v="33.508145030000001"/>
    <n v="-112.27218190000001"/>
    <x v="38"/>
    <s v="AZ"/>
  </r>
  <r>
    <s v="Bluebell Bazaar 2705795 :  6710 W BUCKEYE RD, PHOENIX, AZ"/>
    <n v="43713.32"/>
    <x v="2"/>
    <n v="33.437347129999999"/>
    <n v="-112.2042"/>
    <x v="38"/>
    <s v="AZ"/>
  </r>
  <r>
    <s v="Bluebell Bazaar 2705954 :  4815 E CAREFREE HWY, PHOENIX, AZ"/>
    <n v="58732.959999999999"/>
    <x v="2"/>
    <n v="33.798067039999999"/>
    <n v="-112.1626488"/>
    <x v="38"/>
    <s v="AZ"/>
  </r>
  <r>
    <s v="Bluebell Bazaar 2706358 :  8248 W THOMAS RD, PHOENIX, AZ"/>
    <n v="48199.12"/>
    <x v="2"/>
    <n v="33.480031940000003"/>
    <n v="-112.2361812"/>
    <x v="38"/>
    <s v="AZ"/>
  </r>
  <r>
    <s v="Bluebell Bazaar 2706359 :  309 E OSBORN RD, PHOENIX, AZ"/>
    <n v="57021.99"/>
    <x v="2"/>
    <n v="33.487362869999998"/>
    <n v="-112.06874000000001"/>
    <x v="38"/>
    <s v="AZ"/>
  </r>
  <r>
    <s v="Bluebell Bazaar 2706360 :  4410 E RAY RD, PHOENIX, AZ"/>
    <n v="62553.54"/>
    <x v="2"/>
    <n v="33.320563309999997"/>
    <n v="-111.9888997"/>
    <x v="38"/>
    <s v="AZ"/>
  </r>
  <r>
    <s v="Bluebell Bazaar 2706362 :  4950 E CHANDLER BLVD, PHOENIX, AZ"/>
    <n v="58079.71"/>
    <x v="2"/>
    <n v="33.305491549999999"/>
    <n v="-111.976905"/>
    <x v="38"/>
    <s v="AZ"/>
  </r>
  <r>
    <s v="Bluebell Bazaar 2706458 :  1609 N 91ST AVE, PHOENIX, AZ"/>
    <n v="46875.66"/>
    <x v="2"/>
    <n v="33.465355000000002"/>
    <n v="-112.25506559999999"/>
    <x v="38"/>
    <s v="AZ"/>
  </r>
  <r>
    <s v="Bluebell Bazaar 2706640 :  620 E CAREFREE HWY, PHOENIX, AZ"/>
    <n v="101879.43"/>
    <x v="2"/>
    <n v="33.799297469999999"/>
    <n v="-112.0660591"/>
    <x v="38"/>
    <s v="AZ"/>
  </r>
  <r>
    <s v="Bluebell Bazaar 2706643 :  19830 N 7TH ST, PHOENIX, AZ"/>
    <n v="39550.480000000003"/>
    <x v="2"/>
    <n v="33.668166569999997"/>
    <n v="-112.0658597"/>
    <x v="38"/>
    <s v="AZ"/>
  </r>
  <r>
    <s v="Bluebell Bazaar 2706644 :  1850 W UNION HILLS DR, PHOENIX, AZ"/>
    <n v="38283.5"/>
    <x v="2"/>
    <n v="33.654853770000003"/>
    <n v="-112.09907"/>
    <x v="38"/>
    <s v="AZ"/>
  </r>
  <r>
    <s v="Bluebell Bazaar 2706647 :  3449 W GREENWAY RD, PHOENIX, AZ"/>
    <n v="63855.3"/>
    <x v="2"/>
    <n v="33.62514023"/>
    <n v="-112.1329837"/>
    <x v="38"/>
    <s v="AZ"/>
  </r>
  <r>
    <s v="Bluebell Bazaar 2706648 :  2311 W DEER VALLEY RD, PHOENIX, AZ"/>
    <n v="71477.97"/>
    <x v="2"/>
    <n v="33.683582870000002"/>
    <n v="-112.1089308"/>
    <x v="38"/>
    <s v="AZ"/>
  </r>
  <r>
    <s v="Bluebell Bazaar 2706654 :  15412 N 32ND ST, PHOENIX, AZ"/>
    <n v="28663.65"/>
    <x v="2"/>
    <n v="33.626514"/>
    <n v="-112.0135047"/>
    <x v="38"/>
    <s v="AZ"/>
  </r>
  <r>
    <s v="Bluebell Bazaar 2706662 :  1146 N 35TH AVE, PHOENIX, AZ"/>
    <n v="46533.120000000003"/>
    <x v="2"/>
    <n v="33.460899859999998"/>
    <n v="-112.13463400000001"/>
    <x v="38"/>
    <s v="AZ"/>
  </r>
  <r>
    <s v="Bluebell Bazaar 2708518 :  1901 W CACTUS, PHOENIX, AZ"/>
    <n v="55963.51"/>
    <x v="2"/>
    <n v="33.596395749999999"/>
    <n v="-112.1010843"/>
    <x v="38"/>
    <s v="AZ"/>
  </r>
  <r>
    <s v="Bluebell Bazaar 2708553 :  1605 E BELL RD, PHOENIX, AZ"/>
    <n v="37554.559999999998"/>
    <x v="2"/>
    <n v="33.640172870000001"/>
    <n v="-112.0481193"/>
    <x v="38"/>
    <s v="AZ"/>
  </r>
  <r>
    <s v="Bluebell Bazaar 2708555 :  4005 E UNION HLS, PHOENIX, AZ"/>
    <n v="46779.79"/>
    <x v="2"/>
    <n v="33.691009999999999"/>
    <n v="-111.99737"/>
    <x v="38"/>
    <s v="AZ"/>
  </r>
  <r>
    <s v="Bluebell Bazaar 2708556 :  2702 W DEER VALLEY RD, PHOENIX, AZ"/>
    <n v="55820.85"/>
    <x v="2"/>
    <n v="33.683967129999999"/>
    <n v="-112.11809"/>
    <x v="38"/>
    <s v="AZ"/>
  </r>
  <r>
    <s v="Bluebell Bazaar 2708596 :  1602 E WASHINGTON, PHOENIX, AZ"/>
    <n v="41266.47"/>
    <x v="2"/>
    <n v="33.44849713"/>
    <n v="-112.04756"/>
    <x v="38"/>
    <s v="AZ"/>
  </r>
  <r>
    <s v="Bluebell Bazaar 2708597 :  4849 N 83RD AVE, PHOENIX, AZ"/>
    <n v="54050.27"/>
    <x v="2"/>
    <n v="33.508330000000001"/>
    <n v="-112.2375255"/>
    <x v="38"/>
    <s v="AZ"/>
  </r>
  <r>
    <s v="Bluebell Bazaar 2708598 :  15410 N 40TH ST, PHOENIX, AZ"/>
    <n v="31711.46"/>
    <x v="2"/>
    <n v="33.62659489"/>
    <n v="-111.996196"/>
    <x v="38"/>
    <s v="AZ"/>
  </r>
  <r>
    <s v="Bluebell Bazaar 2708599 :  1601 N 67TH AVE, PHOENIX, AZ"/>
    <n v="31425.47"/>
    <x v="2"/>
    <n v="33.465850000000003"/>
    <n v="-112.20312560000001"/>
    <x v="38"/>
    <s v="AZ"/>
  </r>
  <r>
    <s v="Bluebell Bazaar 2708600 :  13802 N 40TH ST, PHOENIX, AZ"/>
    <n v="64946.94"/>
    <x v="2"/>
    <n v="33.611939999999997"/>
    <n v="-111.9960847"/>
    <x v="38"/>
    <s v="AZ"/>
  </r>
  <r>
    <s v="Bluebell Bazaar 2708651 :  5849 N 35TH AVE, PHOENIX, AZ"/>
    <n v="37859.160000000003"/>
    <x v="2"/>
    <n v="33.523221829999997"/>
    <n v="-112.13408509999999"/>
    <x v="38"/>
    <s v="AZ"/>
  </r>
  <r>
    <s v="Bluebell Bazaar 2708652 :  1502 W INDIAN SCHOOL RD, PHOENIX, AZ"/>
    <n v="28797.34"/>
    <x v="2"/>
    <n v="33.495087130000002"/>
    <n v="-112.09139860000001"/>
    <x v="38"/>
    <s v="AZ"/>
  </r>
  <r>
    <s v="Bluebell Bazaar 2708689 :  2708 W BUCKEYE RD, PHOENIX, AZ"/>
    <n v="45385.26"/>
    <x v="2"/>
    <n v="33.436946120000002"/>
    <n v="-112.1178444"/>
    <x v="38"/>
    <s v="AZ"/>
  </r>
  <r>
    <s v="Bluebell Bazaar 2708692 :  2524 W THUNDERBIRD, PHOENIX, AZ"/>
    <n v="58928.33"/>
    <x v="2"/>
    <n v="33.611091649999999"/>
    <n v="-112.1103214"/>
    <x v="38"/>
    <s v="AZ"/>
  </r>
  <r>
    <s v="Bluebell Bazaar 2708696 :  7424 W MCDOWELL RD, PHOENIX, AZ"/>
    <n v="28437.37"/>
    <x v="2"/>
    <n v="33.465887129999999"/>
    <n v="-112.22004219999999"/>
    <x v="38"/>
    <s v="AZ"/>
  </r>
  <r>
    <s v="Bluebell Bazaar 2708747 :  3196 E UNION HILLS DR, PHOENIX, AZ"/>
    <n v="58194.73"/>
    <x v="2"/>
    <n v="33.655246570000003"/>
    <n v="-112.01365149999999"/>
    <x v="38"/>
    <s v="AZ"/>
  </r>
  <r>
    <s v="Bluebell Bazaar 2708771 :  1601 E INDIAN SCHOOL RD, PHOENIX, AZ"/>
    <n v="36349.279999999999"/>
    <x v="2"/>
    <n v="33.494512880000002"/>
    <n v="-112.0476025"/>
    <x v="38"/>
    <s v="AZ"/>
  </r>
  <r>
    <s v="Bluebell Bazaar 2708776 :  1544 E SOUTHERN AVE, PHOENIX, AZ"/>
    <n v="60723.07"/>
    <x v="2"/>
    <n v="33.392857720000002"/>
    <n v="-112.0480855"/>
    <x v="38"/>
    <s v="AZ"/>
  </r>
  <r>
    <s v="Bluebell Bazaar 2708827 :  5850 W INDIAN SCHOOL RD, PHOENIX, AZ"/>
    <n v="32053.54"/>
    <x v="2"/>
    <n v="33.495167129999999"/>
    <n v="-112.18423"/>
    <x v="38"/>
    <s v="AZ"/>
  </r>
  <r>
    <s v="Bluebell Bazaar 2708829 :  2041 W VAN BUREN, PHOENIX, AZ"/>
    <n v="31333.31"/>
    <x v="2"/>
    <n v="33.451092869999997"/>
    <n v="-112.103585"/>
    <x v="38"/>
    <s v="AZ"/>
  </r>
  <r>
    <s v="Bluebell Bazaar 2708833 :  6649 W THOMAS RD, PHOENIX, AZ"/>
    <n v="31445.77"/>
    <x v="2"/>
    <n v="33.480122870000002"/>
    <n v="-112.20227"/>
    <x v="38"/>
    <s v="AZ"/>
  </r>
  <r>
    <s v="Bluebell Bazaar 2708841 :  966 E VAN BUREN, PHOENIX, AZ"/>
    <n v="45146.31"/>
    <x v="2"/>
    <n v="33.451487110000002"/>
    <n v="-112.0595727"/>
    <x v="38"/>
    <s v="AZ"/>
  </r>
  <r>
    <s v="Bluebell Bazaar 2708870 :  3501 W LOWER BUCKEYE RD, PHOENIX, AZ"/>
    <n v="53321.8"/>
    <x v="2"/>
    <n v="33.422332879999999"/>
    <n v="-112.13514259999999"/>
    <x v="38"/>
    <s v="AZ"/>
  </r>
  <r>
    <s v="Bluebell Bazaar 2708875 :  3402 N 16TH ST, PHOENIX, AZ"/>
    <n v="40738.839999999997"/>
    <x v="2"/>
    <n v="33.487535000000001"/>
    <n v="-112.04781439999999"/>
    <x v="38"/>
    <s v="AZ"/>
  </r>
  <r>
    <s v="Bluebell Bazaar 2709151 :  13801 N TATUM, PHOENIX, AZ"/>
    <n v="33519.19"/>
    <x v="2"/>
    <n v="33.611530000000002"/>
    <n v="-111.9776253"/>
    <x v="38"/>
    <s v="AZ"/>
  </r>
  <r>
    <s v="Bluebell Bazaar 2709152 :  5105 E ELLIOT RD, PHOENIX, AZ"/>
    <n v="43771.33"/>
    <x v="2"/>
    <n v="33.348789799999999"/>
    <n v="-111.9755279"/>
    <x v="38"/>
    <s v="AZ"/>
  </r>
  <r>
    <s v="Bluebell Bazaar 2709154 :  10712 W INDIAN SCHOOL, PHOENIX, AZ"/>
    <n v="53565.85"/>
    <x v="2"/>
    <n v="33.493757090000003"/>
    <n v="-112.2902239"/>
    <x v="38"/>
    <s v="AZ"/>
  </r>
  <r>
    <s v="Bluebell Bazaar 2709164 :  4001 E CHANDLER BLVD, PHOENIX, AZ"/>
    <n v="22813.23"/>
    <x v="2"/>
    <n v="33.30497287"/>
    <n v="-111.99718"/>
    <x v="38"/>
    <s v="AZ"/>
  </r>
  <r>
    <s v="Bluebell Bazaar 2709166 :  3441 W UNION HILLS DR, PHOENIX, AZ"/>
    <n v="41731.519999999997"/>
    <x v="2"/>
    <n v="33.654523820000001"/>
    <n v="-112.1338489"/>
    <x v="38"/>
    <s v="AZ"/>
  </r>
  <r>
    <s v="Bluebell Bazaar 2709168 :  4801 E THOMAS RD, PHOENIX, AZ"/>
    <n v="32316.36"/>
    <x v="2"/>
    <n v="33.479952879999999"/>
    <n v="-111.9780623"/>
    <x v="38"/>
    <s v="AZ"/>
  </r>
  <r>
    <s v="Bluebell Bazaar 2709184 :  15262 N TATUM BLVD, PHOENIX, AZ"/>
    <n v="64659.05"/>
    <x v="2"/>
    <n v="33.625639999999997"/>
    <n v="-111.9780547"/>
    <x v="38"/>
    <s v="AZ"/>
  </r>
  <r>
    <s v="Bluebell Bazaar 2709190 :  4930 N 91ST AVE, PHOENIX, AZ"/>
    <n v="70798.48"/>
    <x v="2"/>
    <n v="33.507723480000003"/>
    <n v="-112.2551643"/>
    <x v="38"/>
    <s v="AZ"/>
  </r>
  <r>
    <s v="Bluebell Bazaar 2709193 :  3140 E BROADWAY RD, PHOENIX, AZ"/>
    <n v="64077.03"/>
    <x v="2"/>
    <n v="33.407167129999998"/>
    <n v="-112.01308"/>
    <x v="38"/>
    <s v="AZ"/>
  </r>
  <r>
    <s v="Bluebell Bazaar 2709523 :  9418 N 7TH ST, PHOENIX, AZ"/>
    <n v="71898.59"/>
    <x v="2"/>
    <n v="33.571936669999999"/>
    <n v="-112.0653446"/>
    <x v="38"/>
    <s v="AZ"/>
  </r>
  <r>
    <s v="Bluebell Bazaar 2709541 :  2775 S 51ST AVE, PHOENIX, AZ"/>
    <n v="101298.8"/>
    <x v="2"/>
    <n v="33.422398479999998"/>
    <n v="-112.1691537"/>
    <x v="38"/>
    <s v="AZ"/>
  </r>
  <r>
    <s v="Bluebell Bazaar 2709556 :  5150 W LOWER BUCKEYE RD, PHOENIX, AZ"/>
    <n v="98118.59"/>
    <x v="2"/>
    <s v="N/A"/>
    <s v="N/A"/>
    <x v="38"/>
    <s v="AZ"/>
  </r>
  <r>
    <s v="Bluebell Bazaar 2709580 :  2440 W BETHANY HOME RD, PHOENIX, AZ"/>
    <n v="65812.509999999995"/>
    <x v="2"/>
    <n v="33.52431713"/>
    <n v="-112.1107959"/>
    <x v="38"/>
    <s v="AZ"/>
  </r>
  <r>
    <s v="Bluebell Bazaar 2741612 :  5850 W MCDOWELL RD, PHOENIX, AZ"/>
    <n v="57652.54"/>
    <x v="2"/>
    <n v="33.466100699999998"/>
    <n v="-112.18481319999999"/>
    <x v="38"/>
    <s v="AZ"/>
  </r>
  <r>
    <s v="Bluebell Bazaar 2741622 :  2350 E BASELINE RD, PHOENIX, AZ"/>
    <n v="30829.59"/>
    <x v="2"/>
    <n v="33.377987130000001"/>
    <n v="-112.03066440000001"/>
    <x v="38"/>
    <s v="AZ"/>
  </r>
  <r>
    <s v="Bluebell Bazaar 2741628 :  1111 N 67TH AVE, PHOENIX, AZ"/>
    <n v="56507.64"/>
    <x v="2"/>
    <n v="33.459496000000001"/>
    <n v="-112.2032256"/>
    <x v="38"/>
    <s v="AZ"/>
  </r>
  <r>
    <s v="Bluebell Bazaar 2741635 :  3980 E MCDOWELL RD, PHOENIX, AZ"/>
    <n v="57353.18"/>
    <x v="2"/>
    <n v="33.465827130000001"/>
    <n v="-111.9959322"/>
    <x v="38"/>
    <s v="AZ"/>
  </r>
  <r>
    <s v="Bluebell Bazaar 2741639 :  2575 W SONORAN DESERT DR, PHOENIX, AZ"/>
    <n v="122707.81"/>
    <x v="2"/>
    <n v="33.769507130000001"/>
    <n v="-112.11166900000001"/>
    <x v="38"/>
    <s v="AZ"/>
  </r>
  <r>
    <s v="Bluebell Bazaar 2741652 :  5049 W BUCKEYE, PHOENIX, AZ"/>
    <n v="36156.660000000003"/>
    <x v="2"/>
    <n v="33.436632869999997"/>
    <n v="-112.16886100000001"/>
    <x v="38"/>
    <s v="AZ"/>
  </r>
  <r>
    <s v="Bluebell Bazaar 4 :  4252 S 48TH ST, PHOENIX, AZ"/>
    <n v="20805.78"/>
    <x v="2"/>
    <n v="33.406437279999999"/>
    <n v="-111.9784343"/>
    <x v="38"/>
    <s v="AZ"/>
  </r>
  <r>
    <s v="Mossy Hollow Market 12 :  18420 N 19TH AVE, PHOENIX, AZ"/>
    <n v="136849.03"/>
    <x v="2"/>
    <n v="33.653891860000002"/>
    <n v="-112.0998957"/>
    <x v="38"/>
    <s v="AZ"/>
  </r>
  <r>
    <s v="Mossy Hollow Market 121 :  4025 E THUNDERBIRD RD, PHOENIX, AZ"/>
    <n v="101302.72"/>
    <x v="2"/>
    <n v="33.611712869999998"/>
    <n v="-111.995328"/>
    <x v="38"/>
    <s v="AZ"/>
  </r>
  <r>
    <s v="Mossy Hollow Market 126 :  6601 W INDIAN SCHOOL RD, PHOENIX, AZ"/>
    <n v="107461.1"/>
    <x v="2"/>
    <n v="33.494692870000002"/>
    <n v="-112.20114289999999"/>
    <x v="38"/>
    <s v="AZ"/>
  </r>
  <r>
    <s v="Mossy Hollow Market 127 :  4204 W CACTUS RD, PHOENIX, AZ"/>
    <n v="149788.79"/>
    <x v="2"/>
    <n v="33.59648713"/>
    <n v="-112.149794"/>
    <x v="38"/>
    <s v="AZ"/>
  </r>
  <r>
    <s v="Mossy Hollow Market 128 :  744 W CAMELBACK RD, PHOENIX, AZ"/>
    <n v="87411.94"/>
    <x v="2"/>
    <n v="33.509576799999998"/>
    <n v="-112.08418519999999"/>
    <x v="38"/>
    <s v="AZ"/>
  </r>
  <r>
    <s v="Mossy Hollow Market 129 :  4724 N 20TH ST, PHOENIX, AZ"/>
    <n v="156539.92000000001"/>
    <x v="2"/>
    <n v="33.506529999999998"/>
    <n v="-112.0390345"/>
    <x v="38"/>
    <s v="AZ"/>
  </r>
  <r>
    <s v="Mossy Hollow Market 135 :  4505 E THOMAS RD, PHOENIX, AZ"/>
    <n v="119996.73"/>
    <x v="2"/>
    <n v="33.47999986"/>
    <n v="-111.9851927"/>
    <x v="38"/>
    <s v="AZ"/>
  </r>
  <r>
    <s v="Mossy Hollow Market 2 :  3036 E THOMAS, PHOENIX, AZ"/>
    <n v="78898.570000000007"/>
    <x v="2"/>
    <n v="33.480587130000004"/>
    <n v="-112.0161615"/>
    <x v="38"/>
    <s v="AZ"/>
  </r>
  <r>
    <s v="Mossy Hollow Market 27 :  3616 E RAY RD, PHOENIX, AZ"/>
    <n v="69580.899999999994"/>
    <x v="2"/>
    <n v="33.315625750000002"/>
    <n v="-112.0056132"/>
    <x v="38"/>
    <s v="AZ"/>
  </r>
  <r>
    <s v="Mossy Hollow Market 40 :  3421 W THUNDERBIRD, PHOENIX, AZ"/>
    <n v="90146.26"/>
    <x v="2"/>
    <n v="33.61062287"/>
    <n v="-112.13151000000001"/>
    <x v="38"/>
    <s v="AZ"/>
  </r>
  <r>
    <s v="Mossy Hollow Market 46 :  520 E BASELINE, PHOENIX, AZ"/>
    <n v="100917.57"/>
    <x v="2"/>
    <n v="33.377877130000002"/>
    <n v="-112.0667389"/>
    <x v="38"/>
    <s v="AZ"/>
  </r>
  <r>
    <s v="Mossy Hollow Market 609 :  850 E HATCHER RD, PHOENIX, AZ"/>
    <n v="71259.759999999995"/>
    <x v="2"/>
    <n v="33.571508979999997"/>
    <n v="-112.0611542"/>
    <x v="38"/>
    <s v="AZ"/>
  </r>
  <r>
    <s v="Mossy Hollow Market 612 :  4707 E SHEA BLVD, PHOENIX, AZ"/>
    <n v="84468.88"/>
    <x v="2"/>
    <n v="33.582472869999997"/>
    <n v="-111.97978000000001"/>
    <x v="38"/>
    <s v="AZ"/>
  </r>
  <r>
    <s v="Mossy Hollow Market 617 :  2727 W BELL RD, PHOENIX, AZ"/>
    <n v="143036.41"/>
    <x v="2"/>
    <n v="33.639619830000001"/>
    <n v="-112.1195616"/>
    <x v="38"/>
    <s v="AZ"/>
  </r>
  <r>
    <s v="Mossy Hollow Market 618 :  3246 E BELL RD, PHOENIX, AZ"/>
    <n v="118622.29"/>
    <x v="2"/>
    <n v="33.640817130000002"/>
    <n v="-112.012731"/>
    <x v="38"/>
    <s v="AZ"/>
  </r>
  <r>
    <s v="Mossy Hollow Market 619 :  8325 W INDIAN SCHOOL RD, PHOENIX, AZ"/>
    <n v="127763.82"/>
    <x v="2"/>
    <n v="33.494132870000001"/>
    <n v="-112.2382327"/>
    <x v="38"/>
    <s v="AZ"/>
  </r>
  <r>
    <s v="Mossy Hollow Market 623 :  1815 W GLENDALE AVE, PHOENIX, AZ"/>
    <n v="104362.97"/>
    <x v="2"/>
    <n v="33.538480020000002"/>
    <n v="-112.0977772"/>
    <x v="38"/>
    <s v="AZ"/>
  </r>
  <r>
    <s v="Mossy Hollow Market 628 :  3949 E CHANDLER BLVD, PHOENIX, AZ"/>
    <n v="119354.52"/>
    <x v="2"/>
    <n v="33.30499287"/>
    <n v="-111.999368"/>
    <x v="38"/>
    <s v="AZ"/>
  </r>
  <r>
    <s v="Mossy Hollow Market 641 :  3511 W PEORIA AVE, PHOENIX, AZ"/>
    <n v="85785.07"/>
    <x v="2"/>
    <n v="33.581742869999999"/>
    <n v="-112.13543"/>
    <x v="38"/>
    <s v="AZ"/>
  </r>
  <r>
    <s v="Mossy Hollow Market 694 :  2800 W DOVE VLY, PHOENIX, AZ"/>
    <n v="184809.66"/>
    <x v="2"/>
    <n v="33.761740000000003"/>
    <n v="-112.11083000000001"/>
    <x v="38"/>
    <s v="AZ"/>
  </r>
  <r>
    <s v="Mossy Hollow Market 698 :  1311 E BELL RD, PHOENIX, AZ"/>
    <n v="161568.15"/>
    <x v="2"/>
    <n v="33.640142869999998"/>
    <n v="-112.05425"/>
    <x v="38"/>
    <s v="AZ"/>
  </r>
  <r>
    <s v="Mossy Hollow Market 78 :  39508 N DAISY MOUNTAIN DR, PHOENIX, AZ"/>
    <n v="78806.16"/>
    <x v="2"/>
    <n v="33.843196839999997"/>
    <n v="-112.1348041"/>
    <x v="38"/>
    <s v="AZ"/>
  </r>
  <r>
    <s v="Mossy Hollow Market 79 :  2626 S 83RD AVE, PHOENIX, AZ"/>
    <n v="167403.79"/>
    <x v="2"/>
    <n v="33.424076229999997"/>
    <n v="-112.23875409999999"/>
    <x v="38"/>
    <s v="AZ"/>
  </r>
  <r>
    <s v="Mossy Hollow Market 81 :  2250 E BASELINE RD, PHOENIX, AZ"/>
    <n v="105682.85"/>
    <x v="2"/>
    <n v="33.377977129999998"/>
    <n v="-112.03161"/>
    <x v="38"/>
    <s v="AZ"/>
  </r>
  <r>
    <s v="Mossy Hollow Market 88 :  100 E JEFFERSON ST, PHOENIX, AZ"/>
    <n v="139741.94"/>
    <x v="2"/>
    <n v="33.44727657"/>
    <n v="-112.0725351"/>
    <x v="38"/>
    <s v="AZ"/>
  </r>
  <r>
    <s v="Mossy Hollow Market 96 :  26300 N NORTERRA PKWY, PHOENIX, AZ"/>
    <n v="178546.65"/>
    <x v="2"/>
    <n v="33.723233270000001"/>
    <n v="-112.1146026"/>
    <x v="38"/>
    <s v="AZ"/>
  </r>
  <r>
    <s v="Copper Creek Goods 610 :  4230 W MCDOWELL RD, PHOENIX, AZ"/>
    <n v="130892.12"/>
    <x v="2"/>
    <n v="33.46609213"/>
    <n v="-112.15005619999999"/>
    <x v="38"/>
    <s v="AZ"/>
  </r>
  <r>
    <s v="Sunny Pebble Co. 802 :  2501 W HAPPY VALLEY RD, PHOENIX, AZ"/>
    <n v="67790.100000000006"/>
    <x v="2"/>
    <n v="33.712682870000002"/>
    <n v="-112.111695"/>
    <x v="38"/>
    <s v="AZ"/>
  </r>
  <r>
    <s v="Sunny Pebble Co. 804 :  21001 N TATUM BLVD STE 84, PHOENIX, AZ"/>
    <n v="120532.21"/>
    <x v="2"/>
    <n v="33.677403120000001"/>
    <n v="-111.97711889999999"/>
    <x v="38"/>
    <s v="AZ"/>
  </r>
  <r>
    <s v="Sunny Pebble Co. 808 :  12010 N TATUM BLVD, PHOENIX, AZ"/>
    <n v="62896.66"/>
    <x v="2"/>
    <n v="33.595567459999998"/>
    <n v="-111.9811924"/>
    <x v="38"/>
    <s v="AZ"/>
  </r>
  <r>
    <s v="Sunny Pebble Co. 809 :  1954 E HIGHLAND AVE, PHOENIX, AZ"/>
    <n v="38388.050000000003"/>
    <x v="2"/>
    <n v="33.505814190000002"/>
    <n v="-112.0396063"/>
    <x v="38"/>
    <s v="AZ"/>
  </r>
  <r>
    <s v="Timberline Market 611 :  6700 W LATHAM ST, PHOENIX, AZ"/>
    <n v="52727.701979999998"/>
    <x v="2"/>
    <n v="33.460247129999999"/>
    <n v="-112.20350000000001"/>
    <x v="38"/>
    <s v="AZ"/>
  </r>
  <r>
    <s v="Haven Hearth Goods 1201 :  4005 E CHANDLER BLVD, PHOENIX, AZ"/>
    <n v="38564.81"/>
    <x v="2"/>
    <n v="33.30497287"/>
    <n v="-111.9967"/>
    <x v="38"/>
    <s v="AZ"/>
  </r>
  <r>
    <s v="Haven Hearth Goods 1515 :  810 E GLENDALE AVE, PHOENIX, AZ"/>
    <n v="62887.11"/>
    <x v="2"/>
    <n v="33.538407130000003"/>
    <n v="-112.06263250000001"/>
    <x v="38"/>
    <s v="AZ"/>
  </r>
  <r>
    <s v="Haven Hearth Goods 1591 :  6202 S 16TH ST, PHOENIX, AZ"/>
    <n v="67470.509999999995"/>
    <x v="2"/>
    <n v="33.389626100000001"/>
    <n v="-112.04746919999999"/>
    <x v="38"/>
    <s v="AZ"/>
  </r>
  <r>
    <s v="Haven Hearth Goods 1654 :  4811 N 83RD AVE, PHOENIX, AZ"/>
    <n v="70783.78"/>
    <x v="2"/>
    <n v="33.507719999999999"/>
    <n v="-112.2375255"/>
    <x v="38"/>
    <s v="AZ"/>
  </r>
  <r>
    <s v="Haven Hearth Goods 174 :  520 W OSBORN RD, PHOENIX, AZ"/>
    <n v="114282.38"/>
    <x v="2"/>
    <n v="33.487727100000001"/>
    <n v="-112.0816334"/>
    <x v="38"/>
    <s v="AZ"/>
  </r>
  <r>
    <s v="Haven Hearth Goods 1979 :  13440 N 7TH ST, PHOENIX, AZ"/>
    <n v="54637.55"/>
    <x v="2"/>
    <n v="33.609888980000001"/>
    <n v="-112.0655491"/>
    <x v="38"/>
    <s v="AZ"/>
  </r>
  <r>
    <s v="Haven Hearth Goods 1980 :  1334 E CHANDLER BLVD, PHOENIX, AZ"/>
    <n v="43545.27"/>
    <x v="2"/>
    <n v="33.306009520000003"/>
    <n v="-112.05466610000001"/>
    <x v="38"/>
    <s v="AZ"/>
  </r>
  <r>
    <s v="Haven Hearth Goods 2042 :  3132 E CAMELBACK RD, PHOENIX, AZ"/>
    <n v="70476.61"/>
    <x v="2"/>
    <n v="33.510177050000003"/>
    <n v="-112.0145156"/>
    <x v="38"/>
    <s v="AZ"/>
  </r>
  <r>
    <s v="Haven Hearth Goods 2097 :  4747 E GREENWAY RD, PHOENIX, AZ"/>
    <n v="49554.83"/>
    <x v="2"/>
    <n v="33.625902869999997"/>
    <n v="-111.97902999999999"/>
    <x v="38"/>
    <s v="AZ"/>
  </r>
  <r>
    <s v="Haven Hearth Goods 240 :  3450 W BELL RD, PHOENIX, AZ"/>
    <n v="47250.41"/>
    <x v="2"/>
    <n v="33.639817129999997"/>
    <n v="-112.1336143"/>
    <x v="38"/>
    <s v="AZ"/>
  </r>
  <r>
    <s v="Haven Hearth Goods 2651 :  340 E MCDOWELL RD, PHOENIX, AZ"/>
    <n v="93466.71"/>
    <x v="2"/>
    <n v="33.465867129999999"/>
    <n v="-112.0673864"/>
    <x v="38"/>
    <s v="AZ"/>
  </r>
  <r>
    <s v="Haven Hearth Goods 2716 :  4750 E INDIAN SCHOOL RD, PHOENIX, AZ"/>
    <n v="68217.86"/>
    <x v="2"/>
    <n v="33.49476713"/>
    <n v="-111.9794409"/>
    <x v="38"/>
    <s v="AZ"/>
  </r>
  <r>
    <s v="Haven Hearth Goods 413 :  550 E BELL RD, PHOENIX, AZ"/>
    <n v="48529.54"/>
    <x v="2"/>
    <n v="33.640507130000003"/>
    <n v="-112.06717"/>
    <x v="38"/>
    <s v="AZ"/>
  </r>
  <r>
    <s v="Haven Hearth Goods 752 :  4747 E ELLIOT RD, PHOENIX, AZ"/>
    <n v="46203.91"/>
    <x v="2"/>
    <n v="33.348746069999997"/>
    <n v="-111.9799543"/>
    <x v="38"/>
    <s v="AZ"/>
  </r>
  <r>
    <s v="Jellybean Junction 2236 :  16806 N 7TH ST, PHOENIX, AZ"/>
    <n v="87358.35"/>
    <x v="2"/>
    <n v="33.637824000000002"/>
    <n v="-112.0657547"/>
    <x v="38"/>
    <s v="AZ"/>
  </r>
  <r>
    <s v="Jellybean Junction 2354 :  5715 N 19TH AVE, PHOENIX, AZ"/>
    <n v="134926.96"/>
    <x v="2"/>
    <n v="33.520878609999997"/>
    <n v="-112.0994311"/>
    <x v="38"/>
    <s v="AZ"/>
  </r>
  <r>
    <s v="Bramble &amp; Co. 3261 :  1625 E CAMELBACK RD, PHOENIX, AZ"/>
    <n v="76174.67"/>
    <x v="2"/>
    <n v="33.509092870000003"/>
    <n v="-112.04627000000001"/>
    <x v="38"/>
    <s v="AZ"/>
  </r>
  <r>
    <s v="Foxtail Grocers 851 :  7409 W VIRGINIA AVE, PHOENIX, AZ"/>
    <n v="58430.74"/>
    <x v="2"/>
    <n v="33.476407930000001"/>
    <n v="-112.21852509999999"/>
    <x v="38"/>
    <s v="AZ"/>
  </r>
  <r>
    <s v="Maplewood Mercantile 1141 :  2727 W AGUA FRIA FWY, PHOENIX, AZ"/>
    <n v="63211.71"/>
    <x v="2"/>
    <n v="33.667840069999997"/>
    <n v="-112.1197931"/>
    <x v="38"/>
    <s v="AZ"/>
  </r>
  <r>
    <s v="Maplewood Mercantile 1360 :  21001 N TATUM BLVD STE 20, PHOENIX, AZ"/>
    <n v="70889.09"/>
    <x v="2"/>
    <n v="33.677403120000001"/>
    <n v="-111.97711889999999"/>
    <x v="38"/>
    <s v="AZ"/>
  </r>
  <r>
    <s v="Maplewood Mercantile 1905 :  2140 E BASELINE RD, PHOENIX, AZ"/>
    <n v="61799.09"/>
    <x v="2"/>
    <n v="33.377977129999998"/>
    <n v="-112.0338733"/>
    <x v="38"/>
    <s v="AZ"/>
  </r>
  <r>
    <s v="Maplewood Mercantile 233 :  12602 N PARADISE VLG, PHOENIX, AZ"/>
    <n v="64165.78"/>
    <x v="2"/>
    <n v="33.625790000000002"/>
    <n v="-112.00458"/>
    <x v="38"/>
    <s v="AZ"/>
  </r>
  <r>
    <s v="Maplewood Mercantile 909 :  4734 E RAY RD, PHOENIX, AZ"/>
    <n v="82243.17"/>
    <x v="2"/>
    <n v="33.320057130000002"/>
    <n v="-111.9812625"/>
    <x v="38"/>
    <s v="AZ"/>
  </r>
  <r>
    <s v="Maplewood Mercantile 950 :  4515 E THOMAS RD, PHOENIX, AZ"/>
    <n v="74941.350000000006"/>
    <x v="2"/>
    <n v="33.479995520000003"/>
    <n v="-111.9850122"/>
    <x v="38"/>
    <s v="AZ"/>
  </r>
  <r>
    <s v="Pebble &amp; Pine Pharmacy 10111 :  3434 W SOUTHERN AVE, PHOENIX, AZ"/>
    <n v="23728.98"/>
    <x v="2"/>
    <n v="33.39228713"/>
    <n v="-112.1323388"/>
    <x v="38"/>
    <s v="AZ"/>
  </r>
  <r>
    <s v="Pebble &amp; Pine Pharmacy 1272 :  5101 W INDIAN SCHOOL RD, PHOENIX, AZ"/>
    <n v="14218.21"/>
    <x v="2"/>
    <n v="33.494732880000001"/>
    <n v="-112.1689418"/>
    <x v="38"/>
    <s v="AZ"/>
  </r>
  <r>
    <s v="Pebble &amp; Pine Pharmacy 12739 :  15450 N TATUM BLVD, PHOENIX, AZ"/>
    <n v="10073.52"/>
    <x v="2"/>
    <n v="33.626706839999997"/>
    <n v="-111.97805959999999"/>
    <x v="38"/>
    <s v="AZ"/>
  </r>
  <r>
    <s v="Pebble &amp; Pine Pharmacy 13870 :  4875 E ELLIOT RD, PHOENIX, AZ"/>
    <n v="10846.19"/>
    <x v="2"/>
    <n v="33.348759680000001"/>
    <n v="-111.97876359999999"/>
    <x v="38"/>
    <s v="AZ"/>
  </r>
  <r>
    <s v="Pebble &amp; Pine Pharmacy 16082 :  10602 N 32ND ST, PHOENIX, AZ"/>
    <n v="17132.080000000002"/>
    <x v="2"/>
    <n v="33.582532819999997"/>
    <n v="-112.0132462"/>
    <x v="38"/>
    <s v="AZ"/>
  </r>
  <r>
    <s v="Pebble &amp; Pine Pharmacy 2079 :  3131 E THUNDERBIRD RD, PHOENIX, AZ"/>
    <m/>
    <x v="2"/>
    <n v="33.611395379999998"/>
    <n v="-112.0147444"/>
    <x v="38"/>
    <s v="AZ"/>
  </r>
  <r>
    <s v="Pebble &amp; Pine Pharmacy 2851 :  7000 N 16TH ST, PHOENIX, AZ"/>
    <n v="35328.86"/>
    <x v="2"/>
    <n v="33.538924049999999"/>
    <n v="-112.0476338"/>
    <x v="38"/>
    <s v="AZ"/>
  </r>
  <r>
    <s v="Pebble &amp; Pine Pharmacy 3087 :  5625 E THOMAS RD, PHOENIX, AZ"/>
    <n v="21876"/>
    <x v="2"/>
    <n v="33.479884830000003"/>
    <n v="-111.9601153"/>
    <x v="38"/>
    <s v="AZ"/>
  </r>
  <r>
    <s v="Pebble &amp; Pine Pharmacy 3132 :  2415 E UNION HILLS DR, PHOENIX, AZ"/>
    <n v="15010.77"/>
    <x v="2"/>
    <n v="33.654912879999998"/>
    <n v="-112.0301875"/>
    <x v="38"/>
    <s v="AZ"/>
  </r>
  <r>
    <s v="Pebble &amp; Pine Pharmacy 3191 :  10865 N TATUM BLVD, PHOENIX, AZ"/>
    <n v="12888.38"/>
    <x v="2"/>
    <n v="33.58466"/>
    <n v="-111.97762539999999"/>
    <x v="38"/>
    <s v="AZ"/>
  </r>
  <r>
    <s v="Pebble &amp; Pine Pharmacy 3464 :  3402 N CENTRAL AVE, PHOENIX, AZ"/>
    <n v="25191.01"/>
    <x v="2"/>
    <n v="33.487523770000003"/>
    <n v="-112.07407430000001"/>
    <x v="38"/>
    <s v="AZ"/>
  </r>
  <r>
    <s v="Pebble &amp; Pine Pharmacy 3477 :  204 E BELL RD, PHOENIX, AZ"/>
    <n v="28873.599999999999"/>
    <x v="2"/>
    <n v="33.640487129999997"/>
    <n v="-112.0714414"/>
    <x v="38"/>
    <s v="AZ"/>
  </r>
  <r>
    <s v="Pebble &amp; Pine Pharmacy 3593 :  2610 W THUNDERBIRD RD, PHOENIX, AZ"/>
    <n v="18476.46"/>
    <x v="2"/>
    <n v="33.611117129999997"/>
    <n v="-112.1118"/>
    <x v="38"/>
    <s v="AZ"/>
  </r>
  <r>
    <s v="Pebble &amp; Pine Pharmacy 3769 :  1616 E THOMAS RD, PHOENIX, AZ"/>
    <n v="12452.28"/>
    <x v="2"/>
    <n v="33.480347129999998"/>
    <n v="-112.0473296"/>
    <x v="38"/>
    <s v="AZ"/>
  </r>
  <r>
    <s v="Pebble &amp; Pine Pharmacy 3789 :  3605 E THOMAS RD, PHOENIX, AZ"/>
    <n v="24599"/>
    <x v="2"/>
    <n v="33.480312869999999"/>
    <n v="-112.0041071"/>
    <x v="38"/>
    <s v="AZ"/>
  </r>
  <r>
    <s v="Pebble &amp; Pine Pharmacy 4046 :  3960 E CHANDLER BLVD, PHOENIX, AZ"/>
    <n v="13354.78"/>
    <x v="2"/>
    <n v="33.305427080000001"/>
    <n v="-111.99803540000001"/>
    <x v="38"/>
    <s v="AZ"/>
  </r>
  <r>
    <s v="Pebble &amp; Pine Pharmacy 4139 :  3450 W DUNLAP AVE, PHOENIX, AZ"/>
    <n v="11796.67"/>
    <x v="2"/>
    <n v="33.567687890000002"/>
    <n v="-112.1334011"/>
    <x v="38"/>
    <s v="AZ"/>
  </r>
  <r>
    <s v="Pebble &amp; Pine Pharmacy 4422 :  3945 E SOUTHERN AVE, PHOENIX, AZ"/>
    <n v="15648.65"/>
    <x v="2"/>
    <n v="33.392482870000002"/>
    <n v="-111.9967408"/>
    <x v="38"/>
    <s v="AZ"/>
  </r>
  <r>
    <s v="Pebble &amp; Pine Pharmacy 4508 :  3431 W UNION HILLS DR, PHOENIX, AZ"/>
    <n v="14245.06"/>
    <x v="2"/>
    <n v="33.654522870000001"/>
    <n v="-112.13342"/>
    <x v="38"/>
    <s v="AZ"/>
  </r>
  <r>
    <s v="Pebble &amp; Pine Pharmacy 4722 :  4111 N 24TH ST, PHOENIX, AZ"/>
    <n v="14729.88"/>
    <x v="2"/>
    <n v="33.49524985"/>
    <n v="-112.0300323"/>
    <x v="38"/>
    <s v="AZ"/>
  </r>
  <r>
    <s v="Pebble &amp; Pine Pharmacy 4762 :  2435 E GREENWAY PKWY, PHOENIX, AZ"/>
    <m/>
    <x v="2"/>
    <n v="33.631326090000002"/>
    <n v="-112.0292415"/>
    <x v="38"/>
    <s v="AZ"/>
  </r>
  <r>
    <s v="Pebble &amp; Pine Pharmacy 4909 :  2921 N 83RD AVE, PHOENIX, AZ"/>
    <n v="12209.62"/>
    <x v="2"/>
    <n v="33.480717210000002"/>
    <n v="-112.2375658"/>
    <x v="38"/>
    <s v="AZ"/>
  </r>
  <r>
    <s v="Pebble &amp; Pine Pharmacy 4951 :  4006 E BELL RD, PHOENIX, AZ"/>
    <n v="11691.07"/>
    <x v="2"/>
    <n v="33.64091337"/>
    <n v="-111.9958889"/>
    <x v="38"/>
    <s v="AZ"/>
  </r>
  <r>
    <s v="Pebble &amp; Pine Pharmacy 5504 :  4249 W GLENDALE AVE, PHOENIX, AZ"/>
    <n v="24919.45"/>
    <x v="2"/>
    <n v="33.538255820000003"/>
    <n v="-112.15063069999999"/>
    <x v="38"/>
    <s v="AZ"/>
  </r>
  <r>
    <s v="Pebble &amp; Pine Pharmacy 5505 :  3502 W CAMELBACK RD, PHOENIX, AZ"/>
    <m/>
    <x v="2"/>
    <n v="33.50958713"/>
    <n v="-112.1342083"/>
    <x v="38"/>
    <s v="AZ"/>
  </r>
  <r>
    <s v="Pebble &amp; Pine Pharmacy 5569 :  1315 E CHANDLER BLVD, PHOENIX, AZ"/>
    <n v="9939.2199999999993"/>
    <x v="2"/>
    <n v="33.305541499999997"/>
    <n v="-112.0546173"/>
    <x v="38"/>
    <s v="AZ"/>
  </r>
  <r>
    <s v="Pebble &amp; Pine Pharmacy 5668 :  8301 W CAMELBACK RD, PHOENIX, AZ"/>
    <n v="18113.91"/>
    <x v="2"/>
    <n v="33.508642870000003"/>
    <n v="-112.23806"/>
    <x v="38"/>
    <s v="AZ"/>
  </r>
  <r>
    <s v="Pebble &amp; Pine Pharmacy 5893 :  705 E MCDOWELL RD, PHOENIX, AZ"/>
    <n v="25269.49"/>
    <x v="2"/>
    <n v="33.465586340000002"/>
    <n v="-112.0633509"/>
    <x v="38"/>
    <s v="AZ"/>
  </r>
  <r>
    <s v="Pebble &amp; Pine Pharmacy 5937 :  4315 W MCDOWELL RD, PHOENIX, AZ"/>
    <n v="13654.69"/>
    <x v="2"/>
    <n v="33.465812870000001"/>
    <n v="-112.15292239999999"/>
    <x v="38"/>
    <s v="AZ"/>
  </r>
  <r>
    <s v="Pebble &amp; Pine Pharmacy 5938 :  4134 N 44TH ST, PHOENIX, AZ"/>
    <n v="12729.9"/>
    <x v="2"/>
    <n v="33.496124350000002"/>
    <n v="-111.98710440000001"/>
    <x v="38"/>
    <s v="AZ"/>
  </r>
  <r>
    <s v="Pebble &amp; Pine Pharmacy 6021 :  1620 N 59TH AVE, PHOENIX, AZ"/>
    <n v="16701.990000000002"/>
    <x v="2"/>
    <n v="33.466155710000002"/>
    <n v="-112.18667670000001"/>
    <x v="38"/>
    <s v="AZ"/>
  </r>
  <r>
    <s v="Pebble &amp; Pine Pharmacy 6063 :  1825 W BETHANY HOME RD, PHOENIX, AZ"/>
    <n v="13673.42"/>
    <x v="2"/>
    <n v="33.523959990000002"/>
    <n v="-112.0984579"/>
    <x v="38"/>
    <s v="AZ"/>
  </r>
  <r>
    <s v="Pebble &amp; Pine Pharmacy 6095 :  9045 W INDIAN SCHOOL RD, PHOENIX, AZ"/>
    <m/>
    <x v="2"/>
    <n v="33.494102869999999"/>
    <n v="-112.25356650000001"/>
    <x v="38"/>
    <s v="AZ"/>
  </r>
  <r>
    <s v="Pebble &amp; Pine Pharmacy 6400 :  8030 N 19TH AVE, PHOENIX, AZ"/>
    <n v="12834.97"/>
    <x v="2"/>
    <n v="33.554631430000001"/>
    <n v="-112.09982460000001"/>
    <x v="38"/>
    <s v="AZ"/>
  </r>
  <r>
    <s v="Pebble &amp; Pine Pharmacy 6527 :  710 E CAMELBACK RD, PHOENIX, AZ"/>
    <n v="14254.58"/>
    <x v="2"/>
    <n v="33.509367130000001"/>
    <n v="-112.0646917"/>
    <x v="38"/>
    <s v="AZ"/>
  </r>
  <r>
    <s v="Pebble &amp; Pine Pharmacy 6535 :  2420 E BASELINE RD, PHOENIX, AZ"/>
    <n v="12150.84"/>
    <x v="2"/>
    <n v="33.378003370000002"/>
    <n v="-112.0295689"/>
    <x v="38"/>
    <s v="AZ"/>
  </r>
  <r>
    <s v="Pebble &amp; Pine Pharmacy 6599 :  13227 N 7TH ST, PHOENIX, AZ"/>
    <n v="9887.4599999999991"/>
    <x v="2"/>
    <n v="33.605893430000002"/>
    <n v="-112.0648544"/>
    <x v="38"/>
    <s v="AZ"/>
  </r>
  <r>
    <s v="Pebble &amp; Pine Pharmacy 6697 :  7606 S 7TH ST, PHOENIX, AZ"/>
    <n v="17882.650000000001"/>
    <x v="2"/>
    <n v="33.376860540000003"/>
    <n v="-112.06479469999999"/>
    <x v="38"/>
    <s v="AZ"/>
  </r>
  <r>
    <s v="Pebble &amp; Pine Pharmacy 6872 :  2930 N 67TH AVE, PHOENIX, AZ"/>
    <n v="11428.15"/>
    <x v="2"/>
    <n v="33.481180000000002"/>
    <n v="-112.20343440000001"/>
    <x v="38"/>
    <s v="AZ"/>
  </r>
  <r>
    <s v="Pebble &amp; Pine Pharmacy 7018 :  6838 N 7TH ST, PHOENIX, AZ"/>
    <n v="11972.77"/>
    <x v="2"/>
    <n v="33.537443070000002"/>
    <n v="-112.0652154"/>
    <x v="38"/>
    <s v="AZ"/>
  </r>
  <r>
    <s v="Pebble &amp; Pine Pharmacy 7375 :  1840 W SOUTHERN AVE, PHOENIX, AZ"/>
    <m/>
    <x v="2"/>
    <n v="33.392397129999999"/>
    <n v="-112.0967491"/>
    <x v="38"/>
    <s v="AZ"/>
  </r>
  <r>
    <s v="Pebble &amp; Pine Pharmacy 7663 :  8280 W LOWER BUCKEYE RD, PHOENIX, AZ"/>
    <n v="18560.419999999998"/>
    <x v="2"/>
    <n v="33.423127129999997"/>
    <n v="-112.237936"/>
    <x v="38"/>
    <s v="AZ"/>
  </r>
  <r>
    <s v="Pebble &amp; Pine Pharmacy 809 :  8911 N 7TH ST, PHOENIX, AZ"/>
    <m/>
    <x v="2"/>
    <n v="33.566877140000003"/>
    <n v="-112.0650555"/>
    <x v="38"/>
    <s v="AZ"/>
  </r>
  <r>
    <s v="Pebble &amp; Pine Pharmacy 9057 :  18433 N 19TH AVE, PHOENIX, AZ"/>
    <n v="6513.27"/>
    <x v="2"/>
    <n v="33.653111520000003"/>
    <n v="-112.0995588"/>
    <x v="38"/>
    <s v="AZ"/>
  </r>
  <r>
    <s v="Pebble &amp; Pine Pharmacy 9261 :  4710 E ROSE GARDEN LN, PHOENIX, AZ"/>
    <n v="15653.87"/>
    <x v="2"/>
    <n v="33.676937129999999"/>
    <n v="-111.97951449999999"/>
    <x v="38"/>
    <s v="AZ"/>
  </r>
  <r>
    <s v="Pebble &amp; Pine Pharmacy 9472 :  2707 W CAREFREE HWY, PHOENIX, AZ"/>
    <n v="21845.43"/>
    <x v="2"/>
    <n v="33.798202869999997"/>
    <n v="-112.11866759999999"/>
    <x v="38"/>
    <s v="AZ"/>
  </r>
  <r>
    <s v="Iron Pine Outpost 46 :  23760 S POWER RD, QUEEN CREEK, AZ"/>
    <n v="27824.58"/>
    <x v="2"/>
    <n v="33.232881380000002"/>
    <n v="-111.685682"/>
    <x v="39"/>
    <s v="AZ"/>
  </r>
  <r>
    <s v="Bluebell Bazaar 2705285 :  23447 S POWER RD, QUEEN CREEK, AZ"/>
    <n v="47994.33"/>
    <x v="2"/>
    <n v="33.235921040000001"/>
    <n v="-111.68564600000001"/>
    <x v="39"/>
    <s v="AZ"/>
  </r>
  <r>
    <s v="Bluebell Bazaar 2705918 :  320 HUNT HWY, QUEEN CREEK, AZ"/>
    <n v="138533.69"/>
    <x v="2"/>
    <n v="33.161616109999997"/>
    <n v="-111.5631776"/>
    <x v="39"/>
    <s v="AZ"/>
  </r>
  <r>
    <s v="Bluebell Bazaar 2708593 :  21895 S ELLSWORTH RD, QUEEN CREEK, AZ"/>
    <n v="54886.2"/>
    <x v="2"/>
    <n v="33.248991670000002"/>
    <n v="-111.634336"/>
    <x v="39"/>
    <s v="AZ"/>
  </r>
  <r>
    <s v="Bluebell Bazaar 2709549 :  18501 E RIGGS RD, QUEEN CREEK, AZ"/>
    <n v="113720.24"/>
    <x v="2"/>
    <s v="N/A"/>
    <s v="N/A"/>
    <x v="39"/>
    <s v="AZ"/>
  </r>
  <r>
    <s v="Bluebell Bazaar 2709560 :  23024 E RIGGS RD, QUEEN CREEK, AZ"/>
    <n v="117654.24"/>
    <x v="2"/>
    <n v="33.219862849999998"/>
    <n v="-111.5942005"/>
    <x v="39"/>
    <s v="AZ"/>
  </r>
  <r>
    <s v="Bluebell Bazaar 2741610 :  35850 N GARY RD, QUEEN CREEK, AZ"/>
    <n v="157529.51"/>
    <x v="2"/>
    <n v="33.170279999999998"/>
    <n v="-111.65497000000001"/>
    <x v="39"/>
    <s v="AZ"/>
  </r>
  <r>
    <s v="Mossy Hollow Market 656 :  22265 E QUEEN CREEK RD, QUEEN CREEK, AZ"/>
    <n v="174638.25"/>
    <x v="2"/>
    <n v="33.262909270000002"/>
    <n v="-111.6031938"/>
    <x v="39"/>
    <s v="AZ"/>
  </r>
  <r>
    <s v="Mossy Hollow Market 693 :  25105 S ELLSWORTH RD, QUEEN CREEK, AZ"/>
    <n v="221617.57"/>
    <x v="2"/>
    <n v="33.220426779999997"/>
    <n v="-111.6342061"/>
    <x v="39"/>
    <s v="AZ"/>
  </r>
  <r>
    <s v="Haven Hearth Goods 1819 :  18495 E QUEEN CREEK RD, QUEEN CREEK, AZ"/>
    <n v="71793.899999999994"/>
    <x v="2"/>
    <n v="33.266103129999998"/>
    <n v="-111.68402020000001"/>
    <x v="39"/>
    <s v="AZ"/>
  </r>
  <r>
    <s v="Jellybean Junction 2365 :  21398 S ELLSWORTH LOOP RD, QUEEN CREEK, AZ"/>
    <n v="134102.57"/>
    <x v="2"/>
    <n v="33.254221919999999"/>
    <n v="-111.63824390000001"/>
    <x v="39"/>
    <s v="AZ"/>
  </r>
  <r>
    <s v="Pebble &amp; Pine Pharmacy 11116 :  21212 E OCOTILLO RD, QUEEN CREEK, AZ"/>
    <n v="11050.68"/>
    <x v="2"/>
    <n v="33.248837109999997"/>
    <n v="-111.62567730000001"/>
    <x v="39"/>
    <s v="AZ"/>
  </r>
  <r>
    <s v="Pebble &amp; Pine Pharmacy 9840 :  3111 W HUNT HWY, QUEEN CREEK, AZ"/>
    <n v="28794.47"/>
    <x v="2"/>
    <n v="33.190119879999997"/>
    <n v="-111.59946100000001"/>
    <x v="39"/>
    <s v="AZ"/>
  </r>
  <r>
    <s v="Bluebell Bazaar 2703388 :  4295 W HUNT HWY, SAN TAN VALLEY, AZ"/>
    <n v="131451.82999999999"/>
    <x v="2"/>
    <n v="33.198924069999997"/>
    <n v="-111.6153695"/>
    <x v="40"/>
    <s v="AZ"/>
  </r>
  <r>
    <s v="Mr Fantastic's Emporium 25845 :  8402 E MCDOWELL RD, SCOTTSDALE, AZ"/>
    <n v="32107.200000000001"/>
    <x v="2"/>
    <n v="33.466048729999997"/>
    <n v="-111.9002546"/>
    <x v="41"/>
    <s v="AZ"/>
  </r>
  <r>
    <s v="Mr Fantastic's Emporium 26411 :  8410 E MCDONALD, SCOTTSDALE, AZ"/>
    <n v="48032.38"/>
    <x v="2"/>
    <n v="33.524037130000004"/>
    <n v="-111.89991000000001"/>
    <x v="41"/>
    <s v="AZ"/>
  </r>
  <r>
    <s v="Snap &amp; Go 118 :  15031 N THOMPSON PEAK PKWY, SCOTTSDALE, AZ"/>
    <n v="6442.5"/>
    <x v="2"/>
    <n v="33.62236953"/>
    <n v="-111.8742331"/>
    <x v="41"/>
    <s v="AZ"/>
  </r>
  <r>
    <s v="Snap &amp; Go 173 :  18271 N PIMA RD, SCOTTSDALE, AZ"/>
    <n v="14084.93"/>
    <x v="2"/>
    <n v="33.650384410000001"/>
    <n v="-111.8876478"/>
    <x v="41"/>
    <s v="AZ"/>
  </r>
  <r>
    <s v="Snap &amp; Go 63 :  7141 E LINCOLN DR, SCOTTSDALE, AZ"/>
    <n v="12692.36"/>
    <x v="2"/>
    <n v="33.53121402"/>
    <n v="-111.9281124"/>
    <x v="41"/>
    <s v="AZ"/>
  </r>
  <r>
    <s v="Snap &amp; Go 75 :  23251 N PIMA RD, SCOTTSDALE, AZ"/>
    <n v="5085.99"/>
    <x v="2"/>
    <n v="33.696934980000002"/>
    <n v="-111.8903352"/>
    <x v="41"/>
    <s v="AZ"/>
  </r>
  <r>
    <s v="Snap &amp; Go 90 :  31311 N SCOTTSDALE RD, SCOTTSDALE, AZ"/>
    <n v="4119.8900000000003"/>
    <x v="2"/>
    <n v="33.768769120000002"/>
    <n v="-111.92564539999999"/>
    <x v="41"/>
    <s v="AZ"/>
  </r>
  <r>
    <s v="Driftwood Market 197 :  11475 E VIA LINDA, SCOTTSDALE, AZ"/>
    <n v="48180.1"/>
    <x v="2"/>
    <n v="33.589524730000001"/>
    <n v="-111.8344329"/>
    <x v="41"/>
    <s v="AZ"/>
  </r>
  <r>
    <s v="Driftwood Market 2955 :  2785 N SCOTTSDALE RD, SCOTTSDALE, AZ"/>
    <n v="82966.740000000005"/>
    <x v="2"/>
    <n v="33.478928889999999"/>
    <n v="-111.9259856"/>
    <x v="41"/>
    <s v="AZ"/>
  </r>
  <r>
    <s v="Driftwood Market 966 :  6965 N HAYDEN RD, SCOTTSDALE, AZ"/>
    <n v="38535.51"/>
    <x v="2"/>
    <n v="33.53779548"/>
    <n v="-111.908357"/>
    <x v="41"/>
    <s v="AZ"/>
  </r>
  <r>
    <s v="Iron Pine Outpost 16 :  8423 E MCDONALD DR, SCOTTSDALE, AZ"/>
    <n v="29314.05"/>
    <x v="2"/>
    <n v="33.523762869999999"/>
    <n v="-111.89933069999999"/>
    <x v="41"/>
    <s v="AZ"/>
  </r>
  <r>
    <s v="Iron Pine Outpost 7 :  8035 E INDIAN SCHOOL RD, SCOTTSDALE, AZ"/>
    <n v="32795.65"/>
    <x v="2"/>
    <n v="33.494655479999999"/>
    <n v="-111.90794150000001"/>
    <x v="41"/>
    <s v="AZ"/>
  </r>
  <r>
    <s v="Iron Pine Outpost 99 :  10111 E BELL RD, SCOTTSDALE, AZ"/>
    <n v="31083.31"/>
    <x v="2"/>
    <n v="33.639862870000002"/>
    <n v="-111.8626556"/>
    <x v="41"/>
    <s v="AZ"/>
  </r>
  <r>
    <s v="Bluebell Bazaar 2700079 :  3050 N 68TH ST, SCOTTSDALE, AZ"/>
    <n v="35026.639999999999"/>
    <x v="2"/>
    <n v="33.48290429"/>
    <n v="-111.9349244"/>
    <x v="41"/>
    <s v="AZ"/>
  </r>
  <r>
    <s v="Bluebell Bazaar 2700127 :  4440 N MILLER RD, SCOTTSDALE, AZ"/>
    <n v="82602.240000000005"/>
    <x v="2"/>
    <n v="33.501456879999999"/>
    <n v="-111.91768449999999"/>
    <x v="41"/>
    <s v="AZ"/>
  </r>
  <r>
    <s v="Bluebell Bazaar 2700248 :  6901 E INDIAN SCHOOL RD, SCOTTSDALE, AZ"/>
    <n v="51282.42"/>
    <x v="2"/>
    <n v="33.494612869999997"/>
    <n v="-111.93247"/>
    <x v="41"/>
    <s v="AZ"/>
  </r>
  <r>
    <s v="Bluebell Bazaar 2701613 :  8001 E THOMAS RD, SCOTTSDALE, AZ"/>
    <n v="43542.18"/>
    <x v="2"/>
    <n v="33.480262869999997"/>
    <n v="-111.90894"/>
    <x v="41"/>
    <s v="AZ"/>
  </r>
  <r>
    <s v="Bluebell Bazaar 2701728 :  6744 E MCDOWELL RD, SCOTTSDALE, AZ"/>
    <n v="54637.93"/>
    <x v="2"/>
    <n v="33.4658236"/>
    <n v="-111.9354647"/>
    <x v="41"/>
    <s v="AZ"/>
  </r>
  <r>
    <s v="Bluebell Bazaar 2701797 :  7602 E MCKELLIPS, SCOTTSDALE, AZ"/>
    <n v="39087"/>
    <x v="2"/>
    <n v="33.451397129999997"/>
    <n v="-111.9178567"/>
    <x v="41"/>
    <s v="AZ"/>
  </r>
  <r>
    <s v="Bluebell Bazaar 2703745 :  3410 N HAYDEN RD, SCOTTSDALE, AZ"/>
    <n v="35266.39"/>
    <x v="2"/>
    <n v="33.488141329999998"/>
    <n v="-111.90906440000001"/>
    <x v="41"/>
    <s v="AZ"/>
  </r>
  <r>
    <s v="Bluebell Bazaar 2705027 :  7140 E SHEA BLVD, SCOTTSDALE, AZ"/>
    <n v="41744.65"/>
    <x v="2"/>
    <n v="33.582357129999998"/>
    <n v="-111.9270909"/>
    <x v="41"/>
    <s v="AZ"/>
  </r>
  <r>
    <s v="Bluebell Bazaar 2705296 :  13880 N FRANK LLOYD WRIGHT, SCOTTSDALE, AZ"/>
    <n v="53303.02"/>
    <x v="2"/>
    <n v="33.612079870000002"/>
    <n v="-111.8651531"/>
    <x v="41"/>
    <s v="AZ"/>
  </r>
  <r>
    <s v="Bluebell Bazaar 2705410 :  8890 E SHEA BLVD, SCOTTSDALE, AZ"/>
    <n v="60676.83"/>
    <x v="2"/>
    <n v="33.582742400000001"/>
    <n v="-111.88844760000001"/>
    <x v="41"/>
    <s v="AZ"/>
  </r>
  <r>
    <s v="Bluebell Bazaar 2705915 :  20721 N SCOTTSDALE RD, SCOTTSDALE, AZ"/>
    <n v="80078.929999999993"/>
    <x v="2"/>
    <n v="33.675730000000001"/>
    <n v="-111.9251752"/>
    <x v="41"/>
    <s v="AZ"/>
  </r>
  <r>
    <s v="Bluebell Bazaar 2706347 :  8202 E MCDOWELL RD, SCOTTSDALE, AZ"/>
    <n v="27658.98"/>
    <x v="2"/>
    <n v="33.46604713"/>
    <n v="-111.90317"/>
    <x v="41"/>
    <s v="AZ"/>
  </r>
  <r>
    <s v="Bluebell Bazaar 2706652 :  10989 E DYNAMITE BLVD, SCOTTSDALE, AZ"/>
    <n v="79819.009999999995"/>
    <x v="2"/>
    <n v="33.742331030000003"/>
    <n v="-111.8432487"/>
    <x v="41"/>
    <s v="AZ"/>
  </r>
  <r>
    <s v="Bluebell Bazaar 2708557 :  8001 E MCDOWELL RD, SCOTTSDALE, AZ"/>
    <n v="48341.09"/>
    <x v="2"/>
    <n v="33.465572889999997"/>
    <n v="-111.9087473"/>
    <x v="41"/>
    <s v="AZ"/>
  </r>
  <r>
    <s v="Bluebell Bazaar 2709167 :  9709 N HAYDEN RD, SCOTTSDALE, AZ"/>
    <n v="29602.38"/>
    <x v="2"/>
    <n v="33.574369560000001"/>
    <n v="-111.9055765"/>
    <x v="41"/>
    <s v="AZ"/>
  </r>
  <r>
    <s v="Bluebell Bazaar 2709169 :  4101 N HAYDEN RD, SCOTTSDALE, AZ"/>
    <n v="100210.71"/>
    <x v="2"/>
    <n v="33.496131990000002"/>
    <n v="-111.9087047"/>
    <x v="41"/>
    <s v="AZ"/>
  </r>
  <r>
    <s v="Bluebell Bazaar 2709170 :  10200 N SCOTTSDALE RD, SCOTTSDALE, AZ"/>
    <n v="90750.67"/>
    <x v="2"/>
    <n v="33.57846"/>
    <n v="-111.92629460000001"/>
    <x v="41"/>
    <s v="AZ"/>
  </r>
  <r>
    <s v="Bluebell Bazaar 2709174 :  10050 E MOUNTAIN VIEW RD, SCOTTSDALE, AZ"/>
    <n v="39506.19"/>
    <x v="2"/>
    <n v="33.574128639999998"/>
    <n v="-111.8646081"/>
    <x v="41"/>
    <s v="AZ"/>
  </r>
  <r>
    <s v="Bluebell Bazaar 2709529 :  5601 E BELL RD, SCOTTSDALE, AZ"/>
    <n v="63835.9"/>
    <x v="2"/>
    <n v="33.640252869999998"/>
    <n v="-111.960021"/>
    <x v="41"/>
    <s v="AZ"/>
  </r>
  <r>
    <s v="Bluebell Bazaar 2741711 :  2865 N SCOTTSDALE RD, SCOTTSDALE, AZ"/>
    <n v="44680.91"/>
    <x v="2"/>
    <n v="33.479845130000001"/>
    <n v="-111.92588170000001"/>
    <x v="41"/>
    <s v="AZ"/>
  </r>
  <r>
    <s v="Mossy Hollow Market 120 :  6321 E GREENWAY, SCOTTSDALE, AZ"/>
    <n v="93538.61"/>
    <x v="2"/>
    <n v="33.62573287"/>
    <n v="-111.94438"/>
    <x v="41"/>
    <s v="AZ"/>
  </r>
  <r>
    <s v="Mossy Hollow Market 125 :  10450 N 90TH ST, SCOTTSDALE, AZ"/>
    <n v="71898.03"/>
    <x v="2"/>
    <n v="33.58057659"/>
    <n v="-111.8866764"/>
    <x v="41"/>
    <s v="AZ"/>
  </r>
  <r>
    <s v="Mossy Hollow Market 25 :  7628 A E INDIAN SCHOOL RD, SCOTTSDALE, AZ"/>
    <m/>
    <x v="2"/>
    <n v="33.494520000000001"/>
    <n v="-111.92093"/>
    <x v="41"/>
    <s v="AZ"/>
  </r>
  <r>
    <s v="Mossy Hollow Market 5 :  7770 E MCDOWELL, SCOTTSDALE, AZ"/>
    <n v="149324.26"/>
    <x v="2"/>
    <n v="33.466005180000003"/>
    <n v="-111.9131144"/>
    <x v="41"/>
    <s v="AZ"/>
  </r>
  <r>
    <s v="Mossy Hollow Market 54 :  4842 E BELL RD, SCOTTSDALE, AZ"/>
    <n v="68084.28"/>
    <x v="2"/>
    <n v="33.640769089999999"/>
    <n v="-111.9760201"/>
    <x v="41"/>
    <s v="AZ"/>
  </r>
  <r>
    <s v="Mossy Hollow Market 621 :  8900 E VIA LINDA, SCOTTSDALE, AZ"/>
    <n v="85370.95"/>
    <x v="2"/>
    <n v="33.568957109999999"/>
    <n v="-111.88864030000001"/>
    <x v="41"/>
    <s v="AZ"/>
  </r>
  <r>
    <s v="Mossy Hollow Market 673 :  20427 N HAYDEN RD, SCOTTSDALE, AZ"/>
    <n v="86398.720000000001"/>
    <x v="2"/>
    <n v="33.670571520000003"/>
    <n v="-111.90621489999999"/>
    <x v="41"/>
    <s v="AZ"/>
  </r>
  <r>
    <s v="Sunny Pebble Co. 805 :  16610 N SCOTTSDALE RD, SCOTTSDALE, AZ"/>
    <n v="115614.42"/>
    <x v="2"/>
    <n v="33.637310550000002"/>
    <n v="-111.92564659999999"/>
    <x v="41"/>
    <s v="AZ"/>
  </r>
  <r>
    <s v="Sunny Pebble Co. 806 :  15515 N SCOTTSDALE RD, SCOTTSDALE, AZ"/>
    <n v="92717.19"/>
    <x v="2"/>
    <n v="33.628576700000004"/>
    <n v="-111.92528540000001"/>
    <x v="41"/>
    <s v="AZ"/>
  </r>
  <r>
    <s v="Sunny Pebble Co. 807 :  14717 N NORTHSIGHT BLVD, SCOTTSDALE, AZ"/>
    <n v="89169.74"/>
    <x v="2"/>
    <n v="33.61947"/>
    <n v="-111.8974753"/>
    <x v="41"/>
    <s v="AZ"/>
  </r>
  <r>
    <s v="Haven Hearth Goods 1253 :  23565 N SCOTTSDALE RD, SCOTTSDALE, AZ"/>
    <n v="38396.71"/>
    <x v="2"/>
    <n v="33.70064343"/>
    <n v="-111.9251404"/>
    <x v="41"/>
    <s v="AZ"/>
  </r>
  <r>
    <s v="Haven Hearth Goods 1491 :  7920 E CHAPARRAL RD, SCOTTSDALE, AZ"/>
    <n v="79867.53"/>
    <x v="2"/>
    <n v="33.509547130000001"/>
    <n v="-111.91065500000001"/>
    <x v="41"/>
    <s v="AZ"/>
  </r>
  <r>
    <s v="Haven Hearth Goods 1549 :  14696 N FRANK LLOYD WRIGHT B, SCOTTSDALE, AZ"/>
    <n v="65331.28"/>
    <x v="2"/>
    <n v="33.620164699999997"/>
    <n v="-111.8743056"/>
    <x v="41"/>
    <s v="AZ"/>
  </r>
  <r>
    <s v="Haven Hearth Goods 1663 :  20901 N PIMA RD, SCOTTSDALE, AZ"/>
    <n v="42077.2"/>
    <x v="2"/>
    <n v="33.6742287"/>
    <n v="-111.8902952"/>
    <x v="41"/>
    <s v="AZ"/>
  </r>
  <r>
    <s v="Haven Hearth Goods 1750 :  6501 E GREENWAY PKWY BLDG 4, SCOTTSDALE, AZ"/>
    <n v="59102.52"/>
    <x v="2"/>
    <n v="33.625666279999997"/>
    <n v="-111.9415465"/>
    <x v="41"/>
    <s v="AZ"/>
  </r>
  <r>
    <s v="Haven Hearth Goods 1849 :  32551 N SCOTTSDALE RD, SCOTTSDALE, AZ"/>
    <n v="49412.83"/>
    <x v="2"/>
    <n v="33.780722679999997"/>
    <n v="-111.925625"/>
    <x v="41"/>
    <s v="AZ"/>
  </r>
  <r>
    <s v="Haven Hearth Goods 2032 :  10773 N SCOTTSDALE RD, SCOTTSDALE, AZ"/>
    <n v="58600.12"/>
    <x v="2"/>
    <n v="33.584150000000001"/>
    <n v="-111.9257454"/>
    <x v="41"/>
    <s v="AZ"/>
  </r>
  <r>
    <s v="Maplewood Mercantile 1327 :  32351 N SCOTTSDALE RD, SCOTTSDALE, AZ"/>
    <n v="27318.080000000002"/>
    <x v="2"/>
    <n v="33.779634469999998"/>
    <n v="-111.925625"/>
    <x v="41"/>
    <s v="AZ"/>
  </r>
  <r>
    <s v="Maplewood Mercantile 363 :  9000 E TALKING STICK WAY, SCOTTSDALE, AZ"/>
    <n v="72337.320000000007"/>
    <x v="2"/>
    <n v="33.538626090000001"/>
    <n v="-111.886894"/>
    <x v="41"/>
    <s v="AZ"/>
  </r>
  <r>
    <s v="Maplewood Mercantile 936 :  15444 N FRANK LLOYD WRIGHT, SCOTTSDALE, AZ"/>
    <n v="73747.899999999994"/>
    <x v="2"/>
    <n v="33.626686800000002"/>
    <n v="-111.8799933"/>
    <x v="41"/>
    <s v="AZ"/>
  </r>
  <r>
    <s v="Pebble &amp; Pine Pharmacy 13758 :  6200 N SCOTTSDALE RD, SCOTTSDALE, AZ"/>
    <n v="27020.33"/>
    <x v="2"/>
    <n v="33.528799999999997"/>
    <n v="-111.9260045"/>
    <x v="41"/>
    <s v="AZ"/>
  </r>
  <r>
    <s v="Pebble &amp; Pine Pharmacy 1950 :  10135 E VIA LINDA, SCOTTSDALE, AZ"/>
    <n v="7933.42"/>
    <x v="2"/>
    <n v="33.574418309999999"/>
    <n v="-111.86293860000001"/>
    <x v="41"/>
    <s v="AZ"/>
  </r>
  <r>
    <s v="Pebble &amp; Pine Pharmacy 2599 :  7337 N VIA PASEO DEL SUR, SCOTTSDALE, AZ"/>
    <n v="13072.73"/>
    <x v="2"/>
    <n v="33.542743260000002"/>
    <n v="-111.9059204"/>
    <x v="41"/>
    <s v="AZ"/>
  </r>
  <r>
    <s v="Pebble &amp; Pine Pharmacy 3163 :  3420 N SCOTTSDALE RD, SCOTTSDALE, AZ"/>
    <n v="34182.78"/>
    <x v="2"/>
    <n v="33.488180610000001"/>
    <n v="-111.92640280000001"/>
    <x v="41"/>
    <s v="AZ"/>
  </r>
  <r>
    <s v="Pebble &amp; Pine Pharmacy 3177 :  7011 E SHEA BLVD, SCOTTSDALE, AZ"/>
    <n v="11991.23"/>
    <x v="2"/>
    <n v="33.581932870000003"/>
    <n v="-111.9299743"/>
    <x v="41"/>
    <s v="AZ"/>
  </r>
  <r>
    <s v="Pebble &amp; Pine Pharmacy 3602 :  8816 E PINNACLE PEAK RD, SCOTTSDALE, AZ"/>
    <n v="15002.65"/>
    <x v="2"/>
    <n v="33.69883677"/>
    <n v="-111.8896779"/>
    <x v="41"/>
    <s v="AZ"/>
  </r>
  <r>
    <s v="Pebble &amp; Pine Pharmacy 3766 :  34402 N SCOTTSDALE RD, SCOTTSDALE, AZ"/>
    <n v="8136.34"/>
    <x v="2"/>
    <n v="33.797506429999999"/>
    <n v="-111.92798019999999"/>
    <x v="41"/>
    <s v="AZ"/>
  </r>
  <r>
    <s v="Pebble &amp; Pine Pharmacy 4138 :  7923 E MCDOWELL RD, SCOTTSDALE, AZ"/>
    <n v="19041.259999999998"/>
    <x v="2"/>
    <n v="33.46557902"/>
    <n v="-111.9108354"/>
    <x v="41"/>
    <s v="AZ"/>
  </r>
  <r>
    <s v="Pebble &amp; Pine Pharmacy 4506 :  8015 E INDIAN SCHOOL RD, SCOTTSDALE, AZ"/>
    <n v="9377.64"/>
    <x v="2"/>
    <n v="33.494648069999997"/>
    <n v="-111.9084156"/>
    <x v="41"/>
    <s v="AZ"/>
  </r>
  <r>
    <s v="Pebble &amp; Pine Pharmacy 4507 :  15025 N THOMPSON PEAK PKWY, SCOTTSDALE, AZ"/>
    <n v="11078.57"/>
    <x v="2"/>
    <n v="33.622111160000003"/>
    <n v="-111.8746178"/>
    <x v="41"/>
    <s v="AZ"/>
  </r>
  <r>
    <s v="Pebble &amp; Pine Pharmacy 5453 :  6501 E GREENWAY PKWY, SCOTTSDALE, AZ"/>
    <n v="8876.2999999999993"/>
    <x v="2"/>
    <n v="33.625666279999997"/>
    <n v="-111.9415465"/>
    <x v="41"/>
    <s v="AZ"/>
  </r>
  <r>
    <s v="Pebble &amp; Pine Pharmacy 5890 :  11250 E VIA LINDA, SCOTTSDALE, AZ"/>
    <n v="7713.35"/>
    <x v="2"/>
    <n v="33.587505370000002"/>
    <n v="-111.8395696"/>
    <x v="41"/>
    <s v="AZ"/>
  </r>
  <r>
    <s v="Pebble &amp; Pine Pharmacy 6534 :  20631 N SCOTTSDALE RD, SCOTTSDALE, AZ"/>
    <n v="15316.69"/>
    <x v="2"/>
    <n v="33.674366880000001"/>
    <n v="-111.9251752"/>
    <x v="41"/>
    <s v="AZ"/>
  </r>
  <r>
    <s v="Pebble &amp; Pine Pharmacy 6729 :  10929 E DYNAMITE BLVD, SCOTTSDALE, AZ"/>
    <n v="20858.14"/>
    <x v="2"/>
    <n v="33.74260752"/>
    <n v="-111.8440202"/>
    <x v="41"/>
    <s v="AZ"/>
  </r>
  <r>
    <s v="Pebble &amp; Pine Pharmacy 9262 :  8469 E MCDONALD DR, SCOTTSDALE, AZ"/>
    <n v="6920.44"/>
    <x v="2"/>
    <n v="33.523762869999999"/>
    <n v="-111.89776999999999"/>
    <x v="41"/>
    <s v="AZ"/>
  </r>
  <r>
    <s v="Cloudline Provisions 82718 :  10303 W GRAND AVE, SUN CITY, AZ"/>
    <n v="38738.769999999997"/>
    <x v="2"/>
    <n v="33.599925429999999"/>
    <n v="-112.28133"/>
    <x v="42"/>
    <s v="AZ"/>
  </r>
  <r>
    <s v="Bluebell Bazaar 2709165 :  9848 W BELL RD, SUN CITY, AZ"/>
    <n v="27731.200000000001"/>
    <x v="2"/>
    <n v="33.638261069999999"/>
    <n v="-112.27215339999999"/>
    <x v="42"/>
    <s v="AZ"/>
  </r>
  <r>
    <s v="Mossy Hollow Market 122 :  10660 NW GRAND AVE, SUN CITY, AZ"/>
    <n v="82987.45"/>
    <x v="2"/>
    <n v="33.602538299999999"/>
    <n v="-112.2886639"/>
    <x v="42"/>
    <s v="AZ"/>
  </r>
  <r>
    <s v="Haven Hearth Goods 236 :  10926 W BELL RD, SUN CITY, AZ"/>
    <n v="24423.279999999999"/>
    <x v="2"/>
    <n v="33.638227129999997"/>
    <n v="-112.29187"/>
    <x v="42"/>
    <s v="AZ"/>
  </r>
  <r>
    <s v="Pebble &amp; Pine Pharmacy 5568 :  10707 W PEORIA AVE, SUN CITY, AZ"/>
    <n v="14900.71"/>
    <x v="2"/>
    <n v="33.579903620000003"/>
    <n v="-112.29062279999999"/>
    <x v="42"/>
    <s v="AZ"/>
  </r>
  <r>
    <s v="Pebble &amp; Pine Pharmacy 813 :  15442 N 99TH AVE, SUN CITY, AZ"/>
    <n v="6902"/>
    <x v="2"/>
    <n v="33.623302899999999"/>
    <n v="-112.26979059999999"/>
    <x v="42"/>
    <s v="AZ"/>
  </r>
  <r>
    <s v="Iron Pine Outpost 128 :  13940 W MEEKER BLVD, SUN CITY WEST, AZ"/>
    <n v="3987.98"/>
    <x v="2"/>
    <n v="33.660553540000002"/>
    <n v="-112.3602054"/>
    <x v="43"/>
    <s v="AZ"/>
  </r>
  <r>
    <s v="Mossy Hollow Market 86 :  19403 N RH JOHNSON BLVD, SUN CITY WEST, AZ"/>
    <n v="52111.82"/>
    <x v="2"/>
    <n v="33.660228590000003"/>
    <n v="-112.3553273"/>
    <x v="43"/>
    <s v="AZ"/>
  </r>
  <r>
    <s v="Haven Hearth Goods 2054 :  13503 CM DEL SOL, SUN CITY WEST, AZ"/>
    <n v="10159.969999999999"/>
    <x v="2"/>
    <n v="33.674419999999998"/>
    <n v="-112.35491"/>
    <x v="43"/>
    <s v="AZ"/>
  </r>
  <r>
    <s v="Pebble &amp; Pine Pharmacy 6128 :  19003 N R H JOHNSON BLVD, SUN CITY WEST, AZ"/>
    <n v="3955.3"/>
    <x v="2"/>
    <n v="33.657090289999999"/>
    <n v="-112.3508693"/>
    <x v="43"/>
    <s v="AZ"/>
  </r>
  <r>
    <s v="Iron Pine Outpost 43 :  10325 E RIGGS RD, SUN LAKES, AZ"/>
    <n v="15225.92"/>
    <x v="2"/>
    <n v="33.21809288"/>
    <n v="-111.8599081"/>
    <x v="44"/>
    <s v="AZ"/>
  </r>
  <r>
    <s v="Pebble &amp; Pine Pharmacy 3669 :  10324 E RIGGS RD, SUN LAKES, AZ"/>
    <n v="8533.89"/>
    <x v="2"/>
    <n v="33.218439070000002"/>
    <n v="-111.8606145"/>
    <x v="44"/>
    <s v="AZ"/>
  </r>
  <r>
    <s v="Mr Fantastic's Emporium 42300 :  13130 W BELL RD, SURPRISE, AZ"/>
    <n v="62466.69"/>
    <x v="2"/>
    <s v="N/A"/>
    <s v="N/A"/>
    <x v="45"/>
    <s v="AZ"/>
  </r>
  <r>
    <s v="Driftwood Market 977 :  14551 W GRAND AVE, SURPRISE, AZ"/>
    <n v="20528.66"/>
    <x v="2"/>
    <n v="33.656891309999999"/>
    <n v="-112.3740454"/>
    <x v="45"/>
    <s v="AZ"/>
  </r>
  <r>
    <s v="Iron Pine Outpost 137 :  15367 W WADDELL RD, SURPRISE, AZ"/>
    <n v="44369.279999999999"/>
    <x v="2"/>
    <n v="33.609439170000002"/>
    <n v="-112.3915918"/>
    <x v="45"/>
    <s v="AZ"/>
  </r>
  <r>
    <s v="Bluebell Bazaar 2701184 :  12707 W GRAND AVE, SURPRISE, AZ"/>
    <n v="36473.26"/>
    <x v="2"/>
    <n v="33.625068679999998"/>
    <n v="-112.33348959999999"/>
    <x v="45"/>
    <s v="AZ"/>
  </r>
  <r>
    <s v="Bluebell Bazaar 2703395 :  16247 W BELL RD, SURPRISE, AZ"/>
    <n v="76595.259999999995"/>
    <x v="2"/>
    <n v="33.638583130000001"/>
    <n v="-112.4087803"/>
    <x v="45"/>
    <s v="AZ"/>
  </r>
  <r>
    <s v="Bluebell Bazaar 2706285 :  11339 W BELL RD, SURPRISE, AZ"/>
    <n v="46233.7"/>
    <x v="2"/>
    <n v="33.638462869999998"/>
    <n v="-112.304615"/>
    <x v="45"/>
    <s v="AZ"/>
  </r>
  <r>
    <s v="Bluebell Bazaar 2709576 :  16934 W WADDELL RD, SURPRISE, AZ"/>
    <n v="169539.74"/>
    <x v="2"/>
    <s v="N/A"/>
    <s v="N/A"/>
    <x v="45"/>
    <s v="AZ"/>
  </r>
  <r>
    <s v="Bluebell Bazaar 2741641 :  13908 W BELL RD, SURPRISE, AZ"/>
    <n v="60424.61"/>
    <x v="2"/>
    <n v="33.638844769999999"/>
    <n v="-112.3596149"/>
    <x v="45"/>
    <s v="AZ"/>
  </r>
  <r>
    <s v="Bluebell Bazaar 2741712 :  14559 W GRAND AVE, SURPRISE, AZ"/>
    <n v="38506.129999999997"/>
    <x v="2"/>
    <n v="33.657081750000003"/>
    <n v="-112.37429109999999"/>
    <x v="45"/>
    <s v="AZ"/>
  </r>
  <r>
    <s v="Bluebell Bazaar 2741713 :  16794 W BELL RD, SURPRISE, AZ"/>
    <n v="50375.6"/>
    <x v="2"/>
    <n v="33.639037129999998"/>
    <n v="-112.42112"/>
    <x v="45"/>
    <s v="AZ"/>
  </r>
  <r>
    <s v="Mossy Hollow Market 61 :  15510 W BELL RD, SURPRISE, AZ"/>
    <n v="105099.04"/>
    <x v="2"/>
    <n v="33.638922010000002"/>
    <n v="-112.39517309999999"/>
    <x v="45"/>
    <s v="AZ"/>
  </r>
  <r>
    <s v="Mossy Hollow Market 674 :  13982 W WADDELL RD, SURPRISE, AZ"/>
    <n v="267171.26"/>
    <x v="2"/>
    <n v="33.609330730000003"/>
    <n v="-112.3614188"/>
    <x v="45"/>
    <s v="AZ"/>
  </r>
  <r>
    <s v="Mossy Hollow Market 678 :  16400 N PAT TILLMAN BLVD, SURPRISE, AZ"/>
    <n v="327853.78999999998"/>
    <x v="2"/>
    <n v="33.71123"/>
    <n v="-112.46876"/>
    <x v="45"/>
    <s v="AZ"/>
  </r>
  <r>
    <s v="Mossy Hollow Market 680 :  15215 N COTTON LN, SURPRISE, AZ"/>
    <n v="211411.26"/>
    <x v="2"/>
    <n v="33.622655000000002"/>
    <n v="-112.4266253"/>
    <x v="45"/>
    <s v="AZ"/>
  </r>
  <r>
    <s v="Haven Hearth Goods 1997 :  17049 W BELL RD, SURPRISE, AZ"/>
    <n v="65709.42"/>
    <x v="2"/>
    <n v="33.638642869999998"/>
    <n v="-112.4247225"/>
    <x v="45"/>
    <s v="AZ"/>
  </r>
  <r>
    <s v="Haven Hearth Goods 2699 :  13828 W WADDELL RD, SURPRISE, AZ"/>
    <n v="80329.61"/>
    <x v="2"/>
    <n v="33.609297089999998"/>
    <n v="-112.35779599999999"/>
    <x v="45"/>
    <s v="AZ"/>
  </r>
  <r>
    <s v="Haven Hearth Goods 48 :  17230 W PEORIA AVE, SURPRISE, AZ"/>
    <n v="117395.37"/>
    <x v="2"/>
    <n v="33.580831910000001"/>
    <n v="-112.4323715"/>
    <x v="45"/>
    <s v="AZ"/>
  </r>
  <r>
    <s v="Maplewood Mercantile 1335 :  13731 W BELL RD, SURPRISE, AZ"/>
    <n v="61314.84"/>
    <x v="2"/>
    <n v="33.638432870000003"/>
    <n v="-112.35380499999999"/>
    <x v="45"/>
    <s v="AZ"/>
  </r>
  <r>
    <s v="Maplewood Mercantile 2915 :  14101 N PRASADA PKWY, SURPRISE, AZ"/>
    <n v="26149.41"/>
    <x v="2"/>
    <s v="N/A"/>
    <s v="N/A"/>
    <x v="45"/>
    <s v="AZ"/>
  </r>
  <r>
    <s v="Pebble &amp; Pine Pharmacy 12087 :  13723 N LITCHFIELD RD, SURPRISE, AZ"/>
    <n v="16879.77"/>
    <x v="2"/>
    <n v="33.609047109999999"/>
    <n v="-112.3589644"/>
    <x v="45"/>
    <s v="AZ"/>
  </r>
  <r>
    <s v="Pebble &amp; Pine Pharmacy 4620 :  15490 W BELL RD, SURPRISE, AZ"/>
    <n v="11295.22"/>
    <x v="2"/>
    <n v="33.638907119999999"/>
    <n v="-112.3932677"/>
    <x v="45"/>
    <s v="AZ"/>
  </r>
  <r>
    <s v="Pebble &amp; Pine Pharmacy 4791 :  14285 W GRAND AVE, SURPRISE, AZ"/>
    <n v="12382.69"/>
    <x v="2"/>
    <n v="33.65285883"/>
    <n v="-112.3688865"/>
    <x v="45"/>
    <s v="AZ"/>
  </r>
  <r>
    <s v="Pebble &amp; Pine Pharmacy 6806 :  17088 W BELL RD, SURPRISE, AZ"/>
    <n v="17694.39"/>
    <x v="2"/>
    <n v="33.639067130000001"/>
    <n v="-112.42609330000001"/>
    <x v="45"/>
    <s v="AZ"/>
  </r>
  <r>
    <s v="Pebble &amp; Pine Pharmacy 7933 :  15514 W WADDELL RD, SURPRISE, AZ"/>
    <n v="26498.37"/>
    <x v="2"/>
    <n v="33.609757129999998"/>
    <n v="-112.394435"/>
    <x v="45"/>
    <s v="AZ"/>
  </r>
  <r>
    <s v="Mr Fantastic's Emporium 13017 :  1006 S MCCLINTOCK DR, TEMPE, AZ"/>
    <n v="31697.279999999999"/>
    <x v="2"/>
    <n v="33.417978339999998"/>
    <n v="-111.9092292"/>
    <x v="46"/>
    <s v="AZ"/>
  </r>
  <r>
    <s v="Mr Fantastic's Emporium 26096 :  5125 S MILL AVE, TEMPE, AZ"/>
    <n v="42103.71"/>
    <x v="2"/>
    <n v="33.378855139999999"/>
    <n v="-111.9391868"/>
    <x v="46"/>
    <s v="AZ"/>
  </r>
  <r>
    <s v="Mr Fantastic's Emporium 32265 :  485 W WARNER RD, TEMPE, AZ"/>
    <n v="51668.72"/>
    <x v="2"/>
    <n v="33.334472869999999"/>
    <n v="-111.9448778"/>
    <x v="46"/>
    <s v="AZ"/>
  </r>
  <r>
    <s v="Cloudline Provisions 82527 :  980 W UNIVERSITY DR, TEMPE, AZ"/>
    <n v="61172.09"/>
    <x v="2"/>
    <n v="33.422033020000001"/>
    <n v="-111.9518956"/>
    <x v="46"/>
    <s v="AZ"/>
  </r>
  <r>
    <s v="Iron Pine Outpost 48 :  1761 E WARNER RD, TEMPE, AZ"/>
    <n v="14623.53"/>
    <x v="2"/>
    <n v="33.334492869999998"/>
    <n v="-111.9117073"/>
    <x v="46"/>
    <s v="AZ"/>
  </r>
  <r>
    <s v="Rusty Cart Grocers 157 :  725 W BASELINE RD, TEMPE, AZ"/>
    <n v="30281.15"/>
    <x v="2"/>
    <n v="33.378072869999997"/>
    <n v="-111.9501606"/>
    <x v="46"/>
    <s v="AZ"/>
  </r>
  <r>
    <s v="Rusty Cart Grocers 41 :  1845 N SCOTTSDALE RD, TEMPE, AZ"/>
    <n v="22438.75"/>
    <x v="2"/>
    <n v="33.449449999999999"/>
    <n v="-111.9262056"/>
    <x v="46"/>
    <s v="AZ"/>
  </r>
  <r>
    <s v="Bluebell Bazaar 2700787 :  939 W BASELINE RD, TEMPE, AZ"/>
    <n v="31152.7"/>
    <x v="2"/>
    <n v="33.378092870000003"/>
    <n v="-111.9546567"/>
    <x v="46"/>
    <s v="AZ"/>
  </r>
  <r>
    <s v="Bluebell Bazaar 2701346 :  1330 W UNIVERSITY DR, TEMPE, AZ"/>
    <n v="43414.79"/>
    <x v="2"/>
    <n v="33.422057129999999"/>
    <n v="-111.9592945"/>
    <x v="46"/>
    <s v="AZ"/>
  </r>
  <r>
    <s v="Bluebell Bazaar 2701502 :  1323 W SOUTHERN AVE, TEMPE, AZ"/>
    <n v="24616.61"/>
    <x v="2"/>
    <n v="33.39272287"/>
    <n v="-111.9595767"/>
    <x v="46"/>
    <s v="AZ"/>
  </r>
  <r>
    <s v="Bluebell Bazaar 2701503 :  905 E GUADALUPE RD, TEMPE, AZ"/>
    <n v="48720.28"/>
    <x v="2"/>
    <n v="33.36362287"/>
    <n v="-111.928235"/>
    <x v="46"/>
    <s v="AZ"/>
  </r>
  <r>
    <s v="Bluebell Bazaar 2701572 :  904 W BROADWAY RD, TEMPE, AZ"/>
    <n v="40395.32"/>
    <x v="2"/>
    <n v="33.407525679999999"/>
    <n v="-111.95226289999999"/>
    <x v="46"/>
    <s v="AZ"/>
  </r>
  <r>
    <s v="Bluebell Bazaar 2701621 :  1406 W BROADWAY RD, TEMPE, AZ"/>
    <n v="47816.06"/>
    <x v="2"/>
    <n v="33.407627130000002"/>
    <n v="-111.9620875"/>
    <x v="46"/>
    <s v="AZ"/>
  </r>
  <r>
    <s v="Bluebell Bazaar 2701636 :  15 W SOUTHERN AVE, TEMPE, AZ"/>
    <n v="43617.02"/>
    <x v="2"/>
    <n v="33.392724289999997"/>
    <n v="-111.93973680000001"/>
    <x v="46"/>
    <s v="AZ"/>
  </r>
  <r>
    <s v="Bluebell Bazaar 2702844 :  119 W UNIVERSITY DR, TEMPE, AZ"/>
    <n v="41616.65"/>
    <x v="2"/>
    <n v="33.421782870000001"/>
    <n v="-111.94146050000001"/>
    <x v="46"/>
    <s v="AZ"/>
  </r>
  <r>
    <s v="Bluebell Bazaar 2703379 :  507 W BROADWAY RD, TEMPE, AZ"/>
    <n v="57733.2"/>
    <x v="2"/>
    <n v="33.407231240000002"/>
    <n v="-111.94661859999999"/>
    <x v="46"/>
    <s v="AZ"/>
  </r>
  <r>
    <s v="Bluebell Bazaar 2703398 :  5240 S RURAL RD, TEMPE, AZ"/>
    <n v="64870.7"/>
    <x v="2"/>
    <n v="33.377851900000003"/>
    <n v="-111.92882419999999"/>
    <x v="46"/>
    <s v="AZ"/>
  </r>
  <r>
    <s v="Bluebell Bazaar 2703747 :  2730 N SCOTTSDALE RD, TEMPE, AZ"/>
    <n v="35461.32"/>
    <x v="2"/>
    <n v="33.457856669999998"/>
    <n v="-111.9265844"/>
    <x v="46"/>
    <s v="AZ"/>
  </r>
  <r>
    <s v="Bluebell Bazaar 2705290 :  1501 W WARNER RD, TEMPE, AZ"/>
    <n v="70208.22"/>
    <x v="2"/>
    <n v="33.334402869999998"/>
    <n v="-111.96421789999999"/>
    <x v="46"/>
    <s v="AZ"/>
  </r>
  <r>
    <s v="Bluebell Bazaar 2705300 :  7530 S PRIEST DR, TEMPE, AZ"/>
    <n v="61377.43"/>
    <x v="2"/>
    <n v="33.35007581"/>
    <n v="-111.9633671"/>
    <x v="46"/>
    <s v="AZ"/>
  </r>
  <r>
    <s v="Bluebell Bazaar 2706348 :  995 W ELLIOT RD, TEMPE, AZ"/>
    <n v="42057.51"/>
    <x v="2"/>
    <n v="33.348942870000002"/>
    <n v="-111.95372"/>
    <x v="46"/>
    <s v="AZ"/>
  </r>
  <r>
    <s v="Bluebell Bazaar 2706460 :  2174 E UNIVERSITY DR, TEMPE, AZ"/>
    <n v="33013.72"/>
    <x v="2"/>
    <n v="33.422237129999999"/>
    <n v="-111.89261999999999"/>
    <x v="46"/>
    <s v="AZ"/>
  </r>
  <r>
    <s v="Bluebell Bazaar 2706663 :  6349 S MCCLINTOCK DR, TEMPE, AZ"/>
    <n v="44505.71"/>
    <x v="2"/>
    <n v="33.364262740000001"/>
    <n v="-111.9110458"/>
    <x v="46"/>
    <s v="AZ"/>
  </r>
  <r>
    <s v="Bluebell Bazaar 2708591 :  505 W GUADALUPE RD, TEMPE, AZ"/>
    <n v="44834.879999999997"/>
    <x v="2"/>
    <n v="33.363524310000003"/>
    <n v="-111.9460048"/>
    <x v="46"/>
    <s v="AZ"/>
  </r>
  <r>
    <s v="Bluebell Bazaar 2708592 :  2196 E APACHE BLVD, TEMPE, AZ"/>
    <n v="41862.449999999997"/>
    <x v="2"/>
    <n v="33.415024709999997"/>
    <n v="-111.8920004"/>
    <x v="46"/>
    <s v="AZ"/>
  </r>
  <r>
    <s v="Bluebell Bazaar 2708774 :  1802 E UNIVERSITY DR, TEMPE, AZ"/>
    <n v="62757.73"/>
    <x v="2"/>
    <n v="33.422107130000001"/>
    <n v="-111.90861"/>
    <x v="46"/>
    <s v="AZ"/>
  </r>
  <r>
    <s v="Bluebell Bazaar 2709172 :  1435 W BASELINE RD, TEMPE, AZ"/>
    <n v="46615.65"/>
    <x v="2"/>
    <n v="33.378052869999998"/>
    <n v="-111.96281"/>
    <x v="46"/>
    <s v="AZ"/>
  </r>
  <r>
    <s v="Bluebell Bazaar 2709537 :  1900 N SCOTTSDALE RD, TEMPE, AZ"/>
    <n v="53230.65"/>
    <x v="2"/>
    <n v="33.450143679999996"/>
    <n v="-111.9266944"/>
    <x v="46"/>
    <s v="AZ"/>
  </r>
  <r>
    <s v="Bluebell Bazaar 2741653 :  7550 S RURAL RD, TEMPE, AZ"/>
    <n v="24617.75"/>
    <x v="2"/>
    <n v="33.34986"/>
    <n v="-111.9286342"/>
    <x v="46"/>
    <s v="AZ"/>
  </r>
  <r>
    <s v="Mossy Hollow Market 101 :  3232 E MILL AVE, TEMPE, AZ"/>
    <n v="118153.44"/>
    <x v="2"/>
    <n v="33.39427311"/>
    <n v="-111.9397577"/>
    <x v="46"/>
    <s v="AZ"/>
  </r>
  <r>
    <s v="Mossy Hollow Market 124 :  3255 S RURAL RD, TEMPE, AZ"/>
    <n v="144116.23000000001"/>
    <x v="2"/>
    <n v="33.393859999999997"/>
    <n v="-111.9261458"/>
    <x v="46"/>
    <s v="AZ"/>
  </r>
  <r>
    <s v="Mossy Hollow Market 22 :  1835 E GUADALUPE, TEMPE, AZ"/>
    <n v="114187.4"/>
    <x v="2"/>
    <n v="33.363626349999997"/>
    <n v="-111.9099662"/>
    <x v="46"/>
    <s v="AZ"/>
  </r>
  <r>
    <s v="Mossy Hollow Market 43 :  2700 W BASELINE, TEMPE, AZ"/>
    <n v="93940.69"/>
    <x v="2"/>
    <n v="33.37832658"/>
    <n v="-111.9769668"/>
    <x v="46"/>
    <s v="AZ"/>
  </r>
  <r>
    <s v="Mossy Hollow Market 607 :  5100 S MCCLINTOCK DRI, TEMPE, AZ"/>
    <n v="90213.41"/>
    <x v="2"/>
    <n v="33.378976180000002"/>
    <n v="-111.90939419999999"/>
    <x v="46"/>
    <s v="AZ"/>
  </r>
  <r>
    <s v="Mossy Hollow Market 627 :  9900 S RURAL RD, TEMPE, AZ"/>
    <n v="124909.34"/>
    <x v="2"/>
    <n v="33.32203174"/>
    <n v="-111.92836440000001"/>
    <x v="46"/>
    <s v="AZ"/>
  </r>
  <r>
    <s v="Sunny Pebble Co. 810 :  2096 E RIO SALADO PKWY, TEMPE, AZ"/>
    <n v="76059.600000000006"/>
    <x v="2"/>
    <n v="33.429567130000002"/>
    <n v="-111.8960235"/>
    <x v="46"/>
    <s v="AZ"/>
  </r>
  <r>
    <s v="Haven Hearth Goods 1487 :  926 E BROADWAY RD, TEMPE, AZ"/>
    <n v="97060.57"/>
    <x v="2"/>
    <n v="33.407697130000003"/>
    <n v="-111.9253157"/>
    <x v="46"/>
    <s v="AZ"/>
  </r>
  <r>
    <s v="Haven Hearth Goods 1535 :  1515 E ELLIOT RD, TEMPE, AZ"/>
    <n v="33744.42"/>
    <x v="2"/>
    <n v="33.348912890000001"/>
    <n v="-111.91332300000001"/>
    <x v="46"/>
    <s v="AZ"/>
  </r>
  <r>
    <s v="Maplewood Mercantile 2176 :  1800 E RIO SALADO PKWY, TEMPE, AZ"/>
    <n v="194160.34"/>
    <x v="2"/>
    <n v="33.429467000000002"/>
    <n v="-111.90903710000001"/>
    <x v="46"/>
    <s v="AZ"/>
  </r>
  <r>
    <s v="Maplewood Mercantile 319 :  1818 E BASELINE RD, TEMPE, AZ"/>
    <n v="83682.2"/>
    <x v="2"/>
    <n v="33.37856713"/>
    <n v="-111.9072467"/>
    <x v="46"/>
    <s v="AZ"/>
  </r>
  <r>
    <s v="Pebble &amp; Pine Pharmacy 11610 :  2000 S MILL AVE, TEMPE, AZ"/>
    <n v="22287.97"/>
    <x v="2"/>
    <n v="33.407266739999997"/>
    <n v="-111.94001419999999"/>
    <x v="46"/>
    <s v="AZ"/>
  </r>
  <r>
    <s v="Pebble &amp; Pine Pharmacy 1197 :  1745 E SOUTHERN AVE, TEMPE, AZ"/>
    <n v="28450.31"/>
    <x v="2"/>
    <n v="33.39281287"/>
    <n v="-111.91039000000001"/>
    <x v="46"/>
    <s v="AZ"/>
  </r>
  <r>
    <s v="Pebble &amp; Pine Pharmacy 2398 :  925 W BASELINE RD, TEMPE, AZ"/>
    <n v="17711.28"/>
    <x v="2"/>
    <n v="33.378082880000001"/>
    <n v="-111.9532122"/>
    <x v="46"/>
    <s v="AZ"/>
  </r>
  <r>
    <s v="Pebble &amp; Pine Pharmacy 3768 :  6404 S MCCLINTOCK DR, TEMPE, AZ"/>
    <n v="14485.37"/>
    <x v="2"/>
    <n v="33.363030000000002"/>
    <n v="-111.91136419999999"/>
    <x v="46"/>
    <s v="AZ"/>
  </r>
  <r>
    <s v="Pebble &amp; Pine Pharmacy 4376 :  1825 E WARNER RD, TEMPE, AZ"/>
    <n v="6583.07"/>
    <x v="2"/>
    <n v="33.334498089999997"/>
    <n v="-111.9099346"/>
    <x v="46"/>
    <s v="AZ"/>
  </r>
  <r>
    <s v="Bluebell Bazaar 2701130 :  11450 W SOUTHERN, TOLLESON, AZ"/>
    <n v="54753.27"/>
    <x v="2"/>
    <n v="33.391878779999999"/>
    <n v="-112.3060042"/>
    <x v="47"/>
    <s v="AZ"/>
  </r>
  <r>
    <s v="Bluebell Bazaar 2705189 :  298 N 83RD AVE, TOLLESON, AZ"/>
    <n v="62943.32"/>
    <x v="2"/>
    <n v="33.451790000000003"/>
    <n v="-112.23817560000001"/>
    <x v="47"/>
    <s v="AZ"/>
  </r>
  <r>
    <s v="Bluebell Bazaar 2708558 :  8303 W MCDOWELL RD, TOLLESON, AZ"/>
    <n v="47185.279999999999"/>
    <x v="2"/>
    <n v="33.465187890000003"/>
    <n v="-112.2385618"/>
    <x v="47"/>
    <s v="AZ"/>
  </r>
  <r>
    <s v="Bluebell Bazaar 2708872 :  9110 W VAN BUREN, TOLLESON, AZ"/>
    <n v="34735.800000000003"/>
    <x v="2"/>
    <n v="33.450517130000001"/>
    <n v="-112.2555873"/>
    <x v="47"/>
    <s v="AZ"/>
  </r>
  <r>
    <s v="Bluebell Bazaar 2741675 :  1025 N 99TH, TOLLESON, AZ"/>
    <n v="61102.62"/>
    <x v="2"/>
    <n v="33.459022079999997"/>
    <n v="-112.2723206"/>
    <x v="47"/>
    <s v="AZ"/>
  </r>
  <r>
    <s v="Crimson Ridge Depot 659 :  8313 ROOSEVELT ST, TOLLESON, AZ"/>
    <n v="85233.84"/>
    <x v="2"/>
    <n v="33.458972869999997"/>
    <n v="-112.23852429999999"/>
    <x v="47"/>
    <s v="AZ"/>
  </r>
  <r>
    <s v="Maplewood Mercantile 2149 :  9830 W LOWER BUCKEYE RD, TOLLESON, AZ"/>
    <n v="76261.570000000007"/>
    <x v="2"/>
    <n v="33.421381119999999"/>
    <n v="-112.2698221"/>
    <x v="47"/>
    <s v="AZ"/>
  </r>
  <r>
    <s v="Timberline Market 1180 :  41112 W INDIAN SCHOOL RD, TONOPAH, AZ"/>
    <n v="103648.4736"/>
    <x v="2"/>
    <n v="33.493827539999998"/>
    <n v="-112.937152"/>
    <x v="48"/>
    <s v="AZ"/>
  </r>
  <r>
    <s v="Iron Pine Outpost 55 :  275 N TEGNER # 17, WICKENBURG, AZ"/>
    <n v="17681.93"/>
    <x v="2"/>
    <n v="33.970965929999998"/>
    <n v="-112.7326255"/>
    <x v="49"/>
    <s v="AZ"/>
  </r>
  <r>
    <s v="Bluebell Bazaar 2701286 :  104 E WICKENBURG WAY, WICKENBURG, AZ"/>
    <n v="29322.42"/>
    <x v="2"/>
    <n v="33.969038599999998"/>
    <n v="-112.73009"/>
    <x v="49"/>
    <s v="AZ"/>
  </r>
  <r>
    <s v="Haven Hearth Goods 1584 :  1999 W WICKENBURG WAY, WICKENBURG, AZ"/>
    <n v="51960.88"/>
    <x v="2"/>
    <n v="33.96209288"/>
    <n v="-112.7717519"/>
    <x v="49"/>
    <s v="AZ"/>
  </r>
  <r>
    <s v="Mr Fantastic's Emporium 17596 :  10722 E ALAMEDA, AURORA, CO"/>
    <n v="66206.05"/>
    <x v="3"/>
    <n v="39.710858209999998"/>
    <n v="-104.8633918"/>
    <x v="50"/>
    <s v="CO"/>
  </r>
  <r>
    <s v="Mr Fantastic's Emporium 21494 :  3005 S PEORIA, AURORA, CO"/>
    <n v="43672.83"/>
    <x v="3"/>
    <n v="39.658467129999998"/>
    <n v="-104.8485592"/>
    <x v="50"/>
    <s v="CO"/>
  </r>
  <r>
    <s v="Mr Fantastic's Emporium 23154 :  13790 E QUINCY, AURORA, CO"/>
    <n v="44009.82"/>
    <x v="3"/>
    <n v="39.638352869999999"/>
    <n v="-104.8274409"/>
    <x v="50"/>
    <s v="CO"/>
  </r>
  <r>
    <s v="Mr Fantastic's Emporium 25718 :  2220 S PEORIA, AURORA, CO"/>
    <n v="55296.71"/>
    <x v="3"/>
    <n v="39.65818033"/>
    <n v="-104.84819330000001"/>
    <x v="50"/>
    <s v="CO"/>
  </r>
  <r>
    <s v="Mr Fantastic's Emporium 25740 :  18883 E HAMPDEN, AURORA, CO"/>
    <n v="57235.83"/>
    <x v="3"/>
    <n v="39.653217130000002"/>
    <n v="-104.767015"/>
    <x v="50"/>
    <s v="CO"/>
  </r>
  <r>
    <s v="Mr Fantastic's Emporium 26574 :  13190 E MISSISSIPPI AVE, AURORA, CO"/>
    <n v="44014.46"/>
    <x v="3"/>
    <n v="39.696386910000001"/>
    <n v="-104.83589980000001"/>
    <x v="50"/>
    <s v="CO"/>
  </r>
  <r>
    <s v="Mr Fantastic's Emporium 26682 :  14593 E MISSISSIPPI, AURORA, CO"/>
    <n v="60348.68"/>
    <x v="3"/>
    <n v="39.696807130000003"/>
    <n v="-104.817984"/>
    <x v="50"/>
    <s v="CO"/>
  </r>
  <r>
    <s v="Mr Fantastic's Emporium 27213 :  16601 E SMOKEY HL, AURORA, CO"/>
    <n v="56081.79"/>
    <x v="3"/>
    <n v="39.623420000000003"/>
    <n v="-104.77104"/>
    <x v="50"/>
    <s v="CO"/>
  </r>
  <r>
    <s v="Mr Fantastic's Emporium 33044 :  14250 E ILIFF AVE, AURORA, CO"/>
    <n v="96677.16"/>
    <x v="3"/>
    <n v="39.67462287"/>
    <n v="-104.8212"/>
    <x v="50"/>
    <s v="CO"/>
  </r>
  <r>
    <s v="Mr Fantastic's Emporium 34131 :  19390 E QUINCY AVE, AURORA, CO"/>
    <n v="83203.34"/>
    <x v="3"/>
    <n v="39.638422050000003"/>
    <n v="-104.7600207"/>
    <x v="50"/>
    <s v="CO"/>
  </r>
  <r>
    <s v="Mr Fantastic's Emporium 34181 :  21405 E QUINCY, AURORA, CO"/>
    <n v="60739.79"/>
    <x v="3"/>
    <n v="39.638637129999999"/>
    <n v="-104.7373"/>
    <x v="50"/>
    <s v="CO"/>
  </r>
  <r>
    <s v="Mr Fantastic's Emporium 34441 :  13697 E ILIFF AVE, AURORA, CO"/>
    <m/>
    <x v="3"/>
    <n v="39.675106980000002"/>
    <n v="-104.8308315"/>
    <x v="50"/>
    <s v="CO"/>
  </r>
  <r>
    <s v="Mr Fantastic's Emporium 34675 :  1910 S HAVANA ST, AURORA, CO"/>
    <n v="11056.75"/>
    <x v="3"/>
    <n v="39.681828879999998"/>
    <n v="-104.8657353"/>
    <x v="50"/>
    <s v="CO"/>
  </r>
  <r>
    <s v="Mr Fantastic's Emporium 36956 :  18351 E COLFAX AVE, AURORA, CO"/>
    <n v="75553.7"/>
    <x v="3"/>
    <n v="39.74038899"/>
    <n v="-104.77480300000001"/>
    <x v="50"/>
    <s v="CO"/>
  </r>
  <r>
    <s v="Mr Fantastic's Emporium 37198 :  2093 S CATHAY WAY, AURORA, CO"/>
    <n v="76832.160000000003"/>
    <x v="3"/>
    <n v="39.678812469999997"/>
    <n v="-104.7672682"/>
    <x v="50"/>
    <s v="CO"/>
  </r>
  <r>
    <s v="Mr Fantastic's Emporium 39528 :  16310 E QUINCY AVE, AURORA, CO"/>
    <n v="57651.65"/>
    <x v="3"/>
    <n v="39.638279259999997"/>
    <n v="-104.7990681"/>
    <x v="50"/>
    <s v="CO"/>
  </r>
  <r>
    <s v="Mr Fantastic's Emporium 39622 :  15296 E HAMPDEN AVE, AURORA, CO"/>
    <n v="61332.17"/>
    <x v="3"/>
    <n v="39.65286287"/>
    <n v="-104.810097"/>
    <x v="50"/>
    <s v="CO"/>
  </r>
  <r>
    <s v="Mr Fantastic's Emporium 39729 :  2299 S HAVANA ST, AURORA, CO"/>
    <n v="54528.78"/>
    <x v="3"/>
    <n v="39.674979999999998"/>
    <n v="-104.86612820000001"/>
    <x v="50"/>
    <s v="CO"/>
  </r>
  <r>
    <s v="Mr Fantastic's Emporium 39732 :  13690 E ALAMEDA, AURORA, CO"/>
    <n v="98242.17"/>
    <x v="3"/>
    <n v="39.71095287"/>
    <n v="-104.8283788"/>
    <x v="50"/>
    <s v="CO"/>
  </r>
  <r>
    <s v="Mr Fantastic's Emporium 39768 :  12085 E COLFAX AVE, AURORA, CO"/>
    <n v="79882.399999999994"/>
    <x v="3"/>
    <n v="39.740344999999998"/>
    <n v="-104.8472519"/>
    <x v="50"/>
    <s v="CO"/>
  </r>
  <r>
    <s v="Mr Fantastic's Emporium 42018 :  200 N GUN CLUB RD, AURORA, CO"/>
    <n v="137932.44"/>
    <x v="3"/>
    <n v="39.720019999999998"/>
    <n v="-104.7157917"/>
    <x v="50"/>
    <s v="CO"/>
  </r>
  <r>
    <s v="Bluebell Bazaar 2709852 :  15291 E HAMPDEN AVE, AURORA, CO"/>
    <n v="64250.49"/>
    <x v="3"/>
    <n v="39.653287130000002"/>
    <n v="-104.8101289"/>
    <x v="50"/>
    <s v="CO"/>
  </r>
  <r>
    <s v="Bluebell Bazaar 2709853 :  15593 E ILIFF AVE, AURORA, CO"/>
    <n v="42289.15"/>
    <x v="3"/>
    <n v="39.674755930000003"/>
    <n v="-104.8063815"/>
    <x v="50"/>
    <s v="CO"/>
  </r>
  <r>
    <s v="Bluebell Bazaar 2709864 :  298 S POTOMAC ST, AURORA, CO"/>
    <n v="39879.839999999997"/>
    <x v="3"/>
    <n v="39.711669999999998"/>
    <n v="-104.8281217"/>
    <x v="50"/>
    <s v="CO"/>
  </r>
  <r>
    <s v="Bluebell Bazaar 2709872 :  4200 S PARKER RD, AURORA, CO"/>
    <n v="77614.17"/>
    <x v="3"/>
    <n v="39.639847510000003"/>
    <n v="-104.828582"/>
    <x v="50"/>
    <s v="CO"/>
  </r>
  <r>
    <s v="Bluebell Bazaar 2740696 :  2190 S PEORIA ST, AURORA, CO"/>
    <n v="18921.62"/>
    <x v="3"/>
    <n v="39.676744620000001"/>
    <n v="-104.84697180000001"/>
    <x v="50"/>
    <s v="CO"/>
  </r>
  <r>
    <s v="Bluebell Bazaar 2741128 :  2601 S TOWER RD, AURORA, CO"/>
    <n v="35825.68"/>
    <x v="3"/>
    <n v="39.66900674"/>
    <n v="-104.77272809999999"/>
    <x v="50"/>
    <s v="CO"/>
  </r>
  <r>
    <s v="Bluebell Bazaar 2741136 :  2121 S CHAMBERS RD, AURORA, CO"/>
    <n v="46531.82"/>
    <x v="3"/>
    <n v="39.677715560000003"/>
    <n v="-104.8101882"/>
    <x v="50"/>
    <s v="CO"/>
  </r>
  <r>
    <s v="Bluebell Bazaar 2741140 :  291 S SABLE BLVD, AURORA, CO"/>
    <n v="58625.2"/>
    <x v="3"/>
    <n v="39.71161343"/>
    <n v="-104.8195182"/>
    <x v="50"/>
    <s v="CO"/>
  </r>
  <r>
    <s v="Bluebell Bazaar 2744052 :  3504 S TOWER RD, AURORA, CO"/>
    <n v="48778.92"/>
    <x v="3"/>
    <n v="39.65243736"/>
    <n v="-104.7721719"/>
    <x v="50"/>
    <s v="CO"/>
  </r>
  <r>
    <s v="Wildroot Foods 10 :  15250 E MISSISSIPPI, AURORA, CO"/>
    <n v="111621.61"/>
    <x v="3"/>
    <n v="39.696392869999997"/>
    <n v="-104.8107725"/>
    <x v="50"/>
    <s v="CO"/>
  </r>
  <r>
    <s v="Wildroot Foods 128 :  18211 E HAMPDEN AVE, AURORA, CO"/>
    <n v="115319.98"/>
    <x v="3"/>
    <n v="39.65325713"/>
    <n v="-104.77646"/>
    <x v="50"/>
    <s v="CO"/>
  </r>
  <r>
    <s v="Wildroot Foods 139 :  3050 S PEORIA ST, AURORA, CO"/>
    <n v="122633.19"/>
    <x v="3"/>
    <n v="39.66088165"/>
    <n v="-104.84697629999999"/>
    <x v="50"/>
    <s v="CO"/>
  </r>
  <r>
    <s v="Wildroot Foods 30 :  1155 S HAVANA, AURORA, CO"/>
    <n v="81245.87"/>
    <x v="3"/>
    <n v="39.695517019999997"/>
    <n v="-104.86612820000001"/>
    <x v="50"/>
    <s v="CO"/>
  </r>
  <r>
    <s v="Wildroot Foods 49 :  17000 E ILIFF, AURORA, CO"/>
    <n v="121253.79"/>
    <x v="3"/>
    <n v="39.673433289999998"/>
    <n v="-104.790481"/>
    <x v="50"/>
    <s v="CO"/>
  </r>
  <r>
    <s v="Wildroot Foods 69 :  4271 S BUCKLEY RD, AURORA, CO"/>
    <n v="115450.32"/>
    <x v="3"/>
    <n v="39.638864740000002"/>
    <n v="-104.7917333"/>
    <x v="50"/>
    <s v="CO"/>
  </r>
  <r>
    <s v="Rocket Barrel 8923 :  21500 E QUINCY AVE, AURORA, CO"/>
    <n v="32594.79"/>
    <x v="3"/>
    <n v="39.638252870000002"/>
    <n v="-104.7400909"/>
    <x v="50"/>
    <s v="CO"/>
  </r>
  <r>
    <s v="Haven Hearth Goods 137 :  12200 E MISSISSIPPI AVE, AURORA, CO"/>
    <n v="38226.15"/>
    <x v="3"/>
    <n v="39.69640467"/>
    <n v="-104.8459399"/>
    <x v="50"/>
    <s v="CO"/>
  </r>
  <r>
    <s v="Haven Hearth Goods 1928 :  18730 E HAMPDEN AVE, AURORA, CO"/>
    <n v="59368.85"/>
    <x v="3"/>
    <n v="39.652812869999998"/>
    <n v="-104.77005250000001"/>
    <x v="50"/>
    <s v="CO"/>
  </r>
  <r>
    <s v="Haven Hearth Goods 2612 :  1677 S HAVANA, AURORA, CO"/>
    <n v="65004.47"/>
    <x v="3"/>
    <n v="39.685992079999998"/>
    <n v="-104.86610930000001"/>
    <x v="50"/>
    <s v="CO"/>
  </r>
  <r>
    <s v="Jellybean Junction 1471 :  14200 E ELLSWORTH AVE, AURORA, CO"/>
    <n v="122407.94"/>
    <x v="3"/>
    <n v="39.716442870000002"/>
    <n v="-104.8222882"/>
    <x v="50"/>
    <s v="CO"/>
  </r>
  <r>
    <s v="Maplewood Mercantile 1413 :  1400 S HAVANA ST, AURORA, CO"/>
    <n v="63959.41"/>
    <x v="3"/>
    <n v="39.69190511"/>
    <n v="-104.86571189999999"/>
    <x v="50"/>
    <s v="CO"/>
  </r>
  <r>
    <s v="Maplewood Mercantile 256 :  16910 E QUINCY AVE, AURORA, CO"/>
    <n v="58314.39"/>
    <x v="3"/>
    <n v="39.638272870000002"/>
    <n v="-104.7911362"/>
    <x v="50"/>
    <s v="CO"/>
  </r>
  <r>
    <s v="Pebble &amp; Pine Pharmacy 10175 :  12011 E ILIFF AVE, AURORA, CO"/>
    <n v="12060.21"/>
    <x v="3"/>
    <n v="39.674977130000002"/>
    <n v="-104.8479687"/>
    <x v="50"/>
    <s v="CO"/>
  </r>
  <r>
    <s v="Pebble &amp; Pine Pharmacy 12024 :  15320 E HAMPDEN AVE, AURORA, CO"/>
    <m/>
    <x v="3"/>
    <n v="39.652872870000003"/>
    <n v="-104.8097436"/>
    <x v="50"/>
    <s v="CO"/>
  </r>
  <r>
    <s v="Pebble &amp; Pine Pharmacy 4307 :  12051 E MISSISSIPPI AVE, AURORA, CO"/>
    <n v="718.05"/>
    <x v="3"/>
    <n v="39.69680554"/>
    <n v="-104.8478779"/>
    <x v="50"/>
    <s v="CO"/>
  </r>
  <r>
    <s v="Pebble &amp; Pine Pharmacy 4470 :  20051 E SMOKY HILL RD, AURORA, CO"/>
    <n v="9489.24"/>
    <x v="3"/>
    <n v="39.61187864"/>
    <n v="-104.7547577"/>
    <x v="50"/>
    <s v="CO"/>
  </r>
  <r>
    <s v="Pebble &amp; Pine Pharmacy 4610 :  18461 E HAMPDEN AVE, AURORA, CO"/>
    <n v="10081.08"/>
    <x v="3"/>
    <n v="39.653247100000002"/>
    <n v="-104.7729561"/>
    <x v="50"/>
    <s v="CO"/>
  </r>
  <r>
    <s v="Pebble &amp; Pine Pharmacy 6513 :  15301 E ILIFF AVE, AURORA, CO"/>
    <n v="1778.21"/>
    <x v="3"/>
    <n v="39.675017130000001"/>
    <n v="-104.80982"/>
    <x v="50"/>
    <s v="CO"/>
  </r>
  <r>
    <s v="Pebble &amp; Pine Pharmacy 6986 :  10601 E ALAMEDA AVE, AURORA, CO"/>
    <n v="11533.4"/>
    <x v="3"/>
    <n v="39.711262820000002"/>
    <n v="-104.8648736"/>
    <x v="50"/>
    <s v="CO"/>
  </r>
  <r>
    <s v="Pebble &amp; Pine Pharmacy 7021 :  18620 E ILIFF AVE, AURORA, CO"/>
    <n v="9940.0300000000007"/>
    <x v="3"/>
    <n v="39.677044070000001"/>
    <n v="-104.7714265"/>
    <x v="50"/>
    <s v="CO"/>
  </r>
  <r>
    <s v="Mr Fantastic's Emporium 39591 :  9355 E DRY CREEK RD, CENTENNIAL, CO"/>
    <n v="98717.19"/>
    <x v="3"/>
    <n v="39.580737130000003"/>
    <n v="-104.880375"/>
    <x v="51"/>
    <s v="CO"/>
  </r>
  <r>
    <s v="Bluebell Bazaar 2709845 :  10553 E BRIARWOOD AVE, CENTENNIAL, CO"/>
    <n v="56065.56"/>
    <x v="3"/>
    <n v="39.593307129999999"/>
    <n v="-104.86615140000001"/>
    <x v="51"/>
    <s v="CO"/>
  </r>
  <r>
    <s v="Bluebell Bazaar 2709878 :  7425 E ARAPAHOE RD, CENTENNIAL, CO"/>
    <n v="18851.87"/>
    <x v="3"/>
    <n v="39.595243879999998"/>
    <n v="-104.9022544"/>
    <x v="51"/>
    <s v="CO"/>
  </r>
  <r>
    <s v="Bluebell Bazaar 2709879 :  7550 S UNIVERSITY BLVD, CENTENNIAL, CO"/>
    <n v="35093.620000000003"/>
    <x v="3"/>
    <n v="39.57894125"/>
    <n v="-104.96012210000001"/>
    <x v="51"/>
    <s v="CO"/>
  </r>
  <r>
    <s v="Bluebell Bazaar 2741109 :  6857 S BROADWAY, CENTENNIAL, CO"/>
    <n v="42028.27"/>
    <x v="3"/>
    <n v="39.592372689999998"/>
    <n v="-104.9884746"/>
    <x v="51"/>
    <s v="CO"/>
  </r>
  <r>
    <s v="Bluebell Bazaar 2741166 :  18565 E SMOKY HILL RD, CENTENNIAL, CO"/>
    <n v="42729.18"/>
    <x v="3"/>
    <n v="39.617978280000003"/>
    <n v="-104.7705771"/>
    <x v="51"/>
    <s v="CO"/>
  </r>
  <r>
    <s v="Bluebell Bazaar 2744127 :  5171 E ARAPAHOE RD, CENTENNIAL, CO"/>
    <n v="34126.44"/>
    <x v="3"/>
    <n v="39.59530221"/>
    <n v="-104.9274927"/>
    <x v="51"/>
    <s v="CO"/>
  </r>
  <r>
    <s v="Wildroot Foods 16 :  19711 E SMOKY HILL RD, CENTENNIAL, CO"/>
    <n v="115793.15"/>
    <x v="3"/>
    <n v="39.614219579999997"/>
    <n v="-104.75900009999999"/>
    <x v="51"/>
    <s v="CO"/>
  </r>
  <r>
    <s v="Wildroot Foods 38 :  5050 E ARAPAHOE RD, CENTENNIAL, CO"/>
    <n v="43024.106099999997"/>
    <x v="3"/>
    <n v="39.594965160000001"/>
    <n v="-104.9291836"/>
    <x v="51"/>
    <s v="CO"/>
  </r>
  <r>
    <s v="Wildroot Foods 47 :  7575 S UNIVERSITY, CENTENNIAL, CO"/>
    <n v="88923.1"/>
    <x v="3"/>
    <n v="39.57908647"/>
    <n v="-104.96063789999999"/>
    <x v="51"/>
    <s v="CO"/>
  </r>
  <r>
    <s v="Wildroot Foods 63 :  8200 S HOLLY, CENTENNIAL, CO"/>
    <n v="60348.86"/>
    <x v="3"/>
    <n v="39.56776"/>
    <n v="-104.9228521"/>
    <x v="51"/>
    <s v="CO"/>
  </r>
  <r>
    <s v="Rocket Barrel 8769 :  11005 E BRIARWOOD AVE, CENTENNIAL, CO"/>
    <n v="33401.519999999997"/>
    <x v="3"/>
    <n v="39.593018559999997"/>
    <n v="-104.85898640000001"/>
    <x v="51"/>
    <s v="CO"/>
  </r>
  <r>
    <s v="Haven Hearth Goods 8 :  7375 ARAPAHOE RD, CENTENNIAL, CO"/>
    <n v="52416.58"/>
    <x v="3"/>
    <n v="39.595247129999997"/>
    <n v="-104.90312950000001"/>
    <x v="51"/>
    <s v="CO"/>
  </r>
  <r>
    <s v="Pebble &amp; Pine Pharmacy 10455 :  2281 E ARAPAHOE RD, CENTENNIAL, CO"/>
    <n v="10148.75"/>
    <x v="3"/>
    <n v="39.595317129999998"/>
    <n v="-104.9617303"/>
    <x v="51"/>
    <s v="CO"/>
  </r>
  <r>
    <s v="Pebble &amp; Pine Pharmacy 10704 :  8959 E DRY CREEK RD, CENTENNIAL, CO"/>
    <n v="16969.64"/>
    <x v="3"/>
    <n v="39.580747129999999"/>
    <n v="-104.88481"/>
    <x v="51"/>
    <s v="CO"/>
  </r>
  <r>
    <s v="Pebble &amp; Pine Pharmacy 13148 :  16950 E SMOKY HILL RD, CENTENNIAL, CO"/>
    <n v="8807.9599999999991"/>
    <x v="3"/>
    <n v="39.625489819999999"/>
    <n v="-104.79052900000001"/>
    <x v="51"/>
    <s v="CO"/>
  </r>
  <r>
    <s v="Mr Fantastic's Emporium 13196 :  1277 E HAMPDEN, ENGLEWOOD, CO"/>
    <n v="59847.9"/>
    <x v="3"/>
    <n v="39.65326271"/>
    <n v="-104.97263700000001"/>
    <x v="52"/>
    <s v="CO"/>
  </r>
  <r>
    <s v="Mr Fantastic's Emporium 13206 :  3900 S BROADWAY, ENGLEWOOD, CO"/>
    <n v="62174.59"/>
    <x v="3"/>
    <n v="39.645820000000001"/>
    <n v="-104.9874619"/>
    <x v="52"/>
    <s v="CO"/>
  </r>
  <r>
    <s v="Mr Fantastic's Emporium 22533 :  4601 S BROADWAY, ENGLEWOOD, CO"/>
    <n v="51952.39"/>
    <x v="3"/>
    <n v="39.633121109999998"/>
    <n v="-104.98811809999999"/>
    <x v="52"/>
    <s v="CO"/>
  </r>
  <r>
    <s v="Mr Fantastic's Emporium 29508 :  3131 S BROADWAY, ENGLEWOOD, CO"/>
    <n v="88024.39"/>
    <x v="3"/>
    <n v="39.659897100000002"/>
    <n v="-104.9878533"/>
    <x v="52"/>
    <s v="CO"/>
  </r>
  <r>
    <s v="Mr Fantastic's Emporium 34057 :  11802 E OSWEGO ST, ENGLEWOOD, CO"/>
    <n v="89686.11"/>
    <x v="3"/>
    <n v="39.537777390000002"/>
    <n v="-104.8522383"/>
    <x v="52"/>
    <s v="CO"/>
  </r>
  <r>
    <s v="Mr Fantastic's Emporium 35604 :  3391 W HAMPDEN AVE, ENGLEWOOD, CO"/>
    <n v="82790.67"/>
    <x v="3"/>
    <n v="39.653459239999997"/>
    <n v="-105.0320701"/>
    <x v="52"/>
    <s v="CO"/>
  </r>
  <r>
    <s v="Mr Fantastic's Emporium 39034 :  4601 S SANTA FE, ENGLEWOOD, CO"/>
    <n v="78954.289999999994"/>
    <x v="3"/>
    <n v="39.632325020000003"/>
    <n v="-105.0088622"/>
    <x v="52"/>
    <s v="CO"/>
  </r>
  <r>
    <s v="Mr Fantastic's Emporium 39532 :  15550 E BRONCOS PKWY, ENGLEWOOD, CO"/>
    <n v="78312.399999999994"/>
    <x v="3"/>
    <n v="39.575475879999999"/>
    <n v="-104.80889999999999"/>
    <x v="52"/>
    <s v="CO"/>
  </r>
  <r>
    <s v="Bluebell Bazaar 2709876 :  5095 S FEDERAL BLVD, ENGLEWOOD, CO"/>
    <n v="26597.19"/>
    <x v="3"/>
    <n v="39.624534189999999"/>
    <n v="-105.02559050000001"/>
    <x v="52"/>
    <s v="CO"/>
  </r>
  <r>
    <s v="Bluebell Bazaar 2709898 :  2200 W EVANS, ENGLEWOOD, CO"/>
    <n v="30360.06"/>
    <x v="3"/>
    <n v="39.678532869999998"/>
    <n v="-105.0133616"/>
    <x v="52"/>
    <s v="CO"/>
  </r>
  <r>
    <s v="Bluebell Bazaar 2740691 :  2010 W EVANS AVE, ENGLEWOOD, CO"/>
    <n v="48708.91"/>
    <x v="3"/>
    <n v="39.678512900000001"/>
    <n v="-105.0115237"/>
    <x v="52"/>
    <s v="CO"/>
  </r>
  <r>
    <s v="Bluebell Bazaar 2744098 :  4596 S BROADWAY, ENGLEWOOD, CO"/>
    <n v="39018.910000000003"/>
    <x v="3"/>
    <n v="39.63315016"/>
    <n v="-104.98762139999999"/>
    <x v="52"/>
    <s v="CO"/>
  </r>
  <r>
    <s v="Bluebell Bazaar 2744100 :  8263 S QUEBEC ST, ENGLEWOOD, CO"/>
    <n v="34765.760000000002"/>
    <x v="3"/>
    <n v="39.566554770000003"/>
    <n v="-104.9046249"/>
    <x v="52"/>
    <s v="CO"/>
  </r>
  <r>
    <s v="Penny’s Pantry 750803 :  490 W HAMPDEN AVE, ENGLEWOOD, CO"/>
    <n v="46544.82"/>
    <x v="3"/>
    <n v="39.653032869999997"/>
    <n v="-104.99348259999999"/>
    <x v="52"/>
    <s v="CO"/>
  </r>
  <r>
    <s v="Wildroot Foods 109 :  5050 S FEDERAL BLVD, ENGLEWOOD, CO"/>
    <n v="123614.58"/>
    <x v="3"/>
    <n v="39.62639085"/>
    <n v="-105.025257"/>
    <x v="52"/>
    <s v="CO"/>
  </r>
  <r>
    <s v="Wildroot Foods 111 :  3495 S UNIVERSITY BLVD, ENGLEWOOD, CO"/>
    <n v="57021.21"/>
    <x v="3"/>
    <n v="39.653571139999997"/>
    <n v="-104.9596774"/>
    <x v="52"/>
    <s v="CO"/>
  </r>
  <r>
    <s v="Wildroot Foods 65 :  101 ENGLEWOOD PKWY, ENGLEWOOD, CO"/>
    <n v="76025.83"/>
    <x v="3"/>
    <n v="39.655127059999998"/>
    <n v="-104.9888559"/>
    <x v="52"/>
    <s v="CO"/>
  </r>
  <r>
    <s v="Haven Hearth Goods 17 :  201 E JEFFERSON AVE, ENGLEWOOD, CO"/>
    <n v="43438.44"/>
    <x v="3"/>
    <n v="39.65137713"/>
    <n v="-104.98478"/>
    <x v="52"/>
    <s v="CO"/>
  </r>
  <r>
    <s v="Pebble &amp; Pine Pharmacy 12423 :  123 E BELLEVIEW AVE, ENGLEWOOD, CO"/>
    <n v="10747.21"/>
    <x v="3"/>
    <n v="39.62426713"/>
    <n v="-104.98646669999999"/>
    <x v="52"/>
    <s v="CO"/>
  </r>
  <r>
    <s v="Pebble &amp; Pine Pharmacy 3091 :  8151 S QUEBEC ST, ENGLEWOOD, CO"/>
    <n v="16599.79"/>
    <x v="3"/>
    <n v="39.568416360000001"/>
    <n v="-104.90457790000001"/>
    <x v="52"/>
    <s v="CO"/>
  </r>
  <r>
    <s v="Pebble &amp; Pine Pharmacy 3298 :  3080 S BROADWAY, ENGLEWOOD, CO"/>
    <m/>
    <x v="3"/>
    <n v="39.661096059999998"/>
    <n v="-104.98735189999999"/>
    <x v="52"/>
    <s v="CO"/>
  </r>
  <r>
    <s v="Mr Fantastic's Emporium 21242 :  6515 S DAYTON, GREENWOOD VILLAGE, CO"/>
    <n v="57481"/>
    <x v="3"/>
    <n v="39.59843326"/>
    <n v="-104.8763129"/>
    <x v="53"/>
    <s v="CO"/>
  </r>
  <r>
    <s v="Mr Fantastic's Emporium 35622 :  6630 S YOSEMITE ST, GREENWOOD VILLAGE, CO"/>
    <n v="47905.8"/>
    <x v="3"/>
    <n v="39.596130000000002"/>
    <n v="-104.88865199999999"/>
    <x v="53"/>
    <s v="CO"/>
  </r>
  <r>
    <s v="Mr Fantastic's Emporium 39847 :  9171 E ARAPAHOE RD, GREENWOOD VILLAGE, CO"/>
    <n v="40609.94"/>
    <x v="3"/>
    <n v="39.595287130000003"/>
    <n v="-104.8811274"/>
    <x v="53"/>
    <s v="CO"/>
  </r>
  <r>
    <s v="Bluebell Bazaar 2709880 :  7701 E ORCHARD RD, GREENWOOD VILLAGE, CO"/>
    <n v="77313.399999999994"/>
    <x v="3"/>
    <n v="39.609787130000001"/>
    <n v="-104.89873"/>
    <x v="53"/>
    <s v="CO"/>
  </r>
  <r>
    <s v="Bluebell Bazaar 2744099 :  7296 E BELLEVIEW AVE, GREENWOOD VILLAGE, CO"/>
    <n v="75627.5"/>
    <x v="3"/>
    <n v="39.623697139999997"/>
    <n v="-104.9041264"/>
    <x v="53"/>
    <s v="CO"/>
  </r>
  <r>
    <s v="Wildroot Foods 100 :  4910 S YOSEMITE, GREENWOOD VILLAGE, CO"/>
    <n v="118251.72"/>
    <x v="3"/>
    <n v="39.626109999999997"/>
    <n v="-104.885012"/>
    <x v="53"/>
    <s v="CO"/>
  </r>
  <r>
    <s v="Wildroot Foods 96 :  6000 S HOLLY, GREENWOOD VILLAGE, CO"/>
    <n v="75264.02"/>
    <x v="3"/>
    <n v="39.607936670000001"/>
    <n v="-104.92258200000001"/>
    <x v="53"/>
    <s v="CO"/>
  </r>
  <r>
    <s v="Maplewood Mercantile 147 :  6767 S CLINTON ST, GREENWOOD VILLAGE, CO"/>
    <n v="58077.83"/>
    <x v="3"/>
    <n v="39.593575829999999"/>
    <n v="-104.88093600000001"/>
    <x v="53"/>
    <s v="CO"/>
  </r>
  <r>
    <s v="Mr Fantastic's Emporium 39317 :  3520 TOWN CENTER DR, HIGHLANDS RANCH, CO"/>
    <n v="105160.89"/>
    <x v="3"/>
    <n v="39.547552969999998"/>
    <n v="-105.0360567"/>
    <x v="54"/>
    <s v="CO"/>
  </r>
  <r>
    <s v="Bluebell Bazaar 2709886 :  9275 S BROADWAY, HIGHLANDS RANCH, CO"/>
    <n v="81965.820000000007"/>
    <x v="3"/>
    <n v="39.546909640000003"/>
    <n v="-104.99234389999999"/>
    <x v="54"/>
    <s v="CO"/>
  </r>
  <r>
    <s v="Bluebell Bazaar 2741159 :  34 CENTENNIAL BLVD, HIGHLANDS RANCH, CO"/>
    <n v="73572.45"/>
    <x v="3"/>
    <n v="39.56210239"/>
    <n v="-104.9877063"/>
    <x v="54"/>
    <s v="CO"/>
  </r>
  <r>
    <s v="Wildroot Foods 8 :  2205 W WILDCAT RESERVE PARK, HIGHLANDS RANCH, CO"/>
    <n v="123004.49"/>
    <x v="3"/>
    <n v="39.534996640000003"/>
    <n v="-105.0143765"/>
    <x v="54"/>
    <s v="CO"/>
  </r>
  <r>
    <s v="Haven Hearth Goods 1480 :  9255 S BROADWAY, HIGHLANDS RANCH, CO"/>
    <n v="61066.57"/>
    <x v="3"/>
    <n v="39.547558510000002"/>
    <n v="-104.9923029"/>
    <x v="54"/>
    <s v="CO"/>
  </r>
  <r>
    <s v="Jellybean Junction 2716 :  1265 SGT JON STILES DR, HIGHLANDS RANCH, CO"/>
    <n v="111872.87"/>
    <x v="3"/>
    <n v="39.54837697"/>
    <n v="-105.0057442"/>
    <x v="54"/>
    <s v="CO"/>
  </r>
  <r>
    <s v="Pebble &amp; Pine Pharmacy 4952 :  9141 S BROADWAY, HIGHLANDS RANCH, CO"/>
    <n v="8894.1299999999992"/>
    <x v="3"/>
    <n v="39.550528929999999"/>
    <n v="-104.9918052"/>
    <x v="54"/>
    <s v="CO"/>
  </r>
  <r>
    <s v="Mr Fantastic's Emporium 20182 :  1499 W LITTLETON BLVD, LITTLETON, CO"/>
    <n v="36053.82"/>
    <x v="3"/>
    <n v="39.613427129999998"/>
    <n v="-105.00552999999999"/>
    <x v="55"/>
    <s v="CO"/>
  </r>
  <r>
    <s v="Mr Fantastic's Emporium 27033 :  5595 S BROADWAY, LITTLETON, CO"/>
    <n v="49410.06"/>
    <x v="3"/>
    <n v="39.615104440000003"/>
    <n v="-104.988308"/>
    <x v="55"/>
    <s v="CO"/>
  </r>
  <r>
    <s v="Mr Fantastic's Emporium 34486 :  3099 W MINERAL AVE, LITTLETON, CO"/>
    <n v="68401.960000000006"/>
    <x v="3"/>
    <n v="39.580240770000003"/>
    <n v="-105.0284564"/>
    <x v="55"/>
    <s v="CO"/>
  </r>
  <r>
    <s v="Mr Fantastic's Emporium 37560 :  5898 S BROADWAY, LITTLETON, CO"/>
    <n v="59877.68"/>
    <x v="3"/>
    <n v="39.609608510000001"/>
    <n v="-104.98781200000001"/>
    <x v="55"/>
    <s v="CO"/>
  </r>
  <r>
    <s v="Mr Fantastic's Emporium 39733 :  9010 PARK MEADOWS DR, LITTLETON, CO"/>
    <n v="46466.86"/>
    <x v="3"/>
    <n v="39.556133039999999"/>
    <n v="-104.8839189"/>
    <x v="55"/>
    <s v="CO"/>
  </r>
  <r>
    <s v="Mr Fantastic's Emporium 39834 :  7505 E PARKWAY DR, LITTLETON, CO"/>
    <n v="67443.12"/>
    <x v="3"/>
    <n v="39.565466890000003"/>
    <n v="-104.9019656"/>
    <x v="55"/>
    <s v="CO"/>
  </r>
  <r>
    <s v="Bluebell Bazaar 2744123 :  1599 W LITTLETON BLVD, LITTLETON, CO"/>
    <n v="36104.36"/>
    <x v="3"/>
    <n v="39.613427129999998"/>
    <n v="-105.00641"/>
    <x v="55"/>
    <s v="CO"/>
  </r>
  <r>
    <s v="Wildroot Foods 122 :  7901 S BRDWAY ST, LITTLETON, CO"/>
    <n v="108205.84"/>
    <x v="3"/>
    <n v="39.580590000000001"/>
    <n v="-104.95573"/>
    <x v="55"/>
    <s v="CO"/>
  </r>
  <r>
    <s v="Wildroot Foods 131 :  100 LITTLETON BLVD, LITTLETON, CO"/>
    <n v="101927.59"/>
    <x v="3"/>
    <n v="39.613032869999998"/>
    <n v="-104.98984"/>
    <x v="55"/>
    <s v="CO"/>
  </r>
  <r>
    <s v="Rocket Barrel 8922 :  181 W LITTLETON BLVD, LITTLETON, CO"/>
    <n v="29297.16"/>
    <x v="3"/>
    <n v="39.613407129999999"/>
    <n v="-104.98995619999999"/>
    <x v="55"/>
    <s v="CO"/>
  </r>
  <r>
    <s v="Haven Hearth Goods 2791 :  181 W MINERAL AVE, LITTLETON, CO"/>
    <n v="53763.75"/>
    <x v="3"/>
    <n v="39.573687130000003"/>
    <n v="-104.99194869999999"/>
    <x v="55"/>
    <s v="CO"/>
  </r>
  <r>
    <s v="Pebble &amp; Pine Pharmacy 17807 :  100 E MINERAL DR, LITTLETON, CO"/>
    <m/>
    <x v="3"/>
    <n v="39.573262489999998"/>
    <n v="-104.9880272"/>
    <x v="55"/>
    <s v="CO"/>
  </r>
  <r>
    <s v="Mr Fantastic's Emporium 33042 :  8750 S YOSEMITE ST, LONE TREE, CO"/>
    <n v="76547.88"/>
    <x v="3"/>
    <n v="39.557389610000001"/>
    <n v="-104.8816776"/>
    <x v="56"/>
    <s v="CO"/>
  </r>
  <r>
    <s v="Haven Hearth Goods 1548 :  9229 E LINCOLN AVE, LONE TREE, CO"/>
    <n v="64080.54"/>
    <x v="3"/>
    <n v="39.53651713"/>
    <n v="-104.8823218"/>
    <x v="56"/>
    <s v="CO"/>
  </r>
  <r>
    <s v="Jellybean Junction 2023 :  10001 COMMONS ST, LONE TREE, CO"/>
    <n v="81838.61"/>
    <x v="3"/>
    <n v="39.5351979"/>
    <n v="-104.8822413"/>
    <x v="56"/>
    <s v="CO"/>
  </r>
  <r>
    <s v="Mr Fantastic's Emporium 19015 :  4096 S FEDERAL BLVD, SHERIDAN, CO"/>
    <n v="61606.52"/>
    <x v="3"/>
    <n v="39.642375999999999"/>
    <n v="-105.0251619"/>
    <x v="57"/>
    <s v="CO"/>
  </r>
  <r>
    <s v="Mr Fantastic's Emporium 35598 :  3495 S FEDERAL BLVD, SHERIDAN, CO"/>
    <n v="85325.52"/>
    <x v="3"/>
    <n v="39.653390000000002"/>
    <n v="-105.0254381"/>
    <x v="57"/>
    <s v="CO"/>
  </r>
  <r>
    <s v="Jellybean Junction 2261 :  3650 RIVERPOINT PKWY, SHERIDAN, CO"/>
    <n v="91112.34"/>
    <x v="3"/>
    <n v="39.649484639999997"/>
    <n v="-105.00871290000001"/>
    <x v="57"/>
    <s v="C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9">
  <r>
    <s v="Cloudline Provisions 83056 :  7969 WALERGA RD, ANTELOPE, CA"/>
    <x v="0"/>
    <x v="0"/>
    <n v="50588.018746491216"/>
    <n v="38.714034730000002"/>
    <n v="-121.3647156"/>
    <x v="0"/>
    <x v="0"/>
    <n v="1"/>
  </r>
  <r>
    <s v="Cloudline Provisions 83906 :  7670 WATT AVE, ANTELOPE, CA"/>
    <x v="1"/>
    <x v="0"/>
    <n v="50588.018746491216"/>
    <n v="38.706619850000003"/>
    <n v="-121.3827888"/>
    <x v="0"/>
    <x v="0"/>
    <n v="1"/>
  </r>
  <r>
    <s v="Cactus &amp; Clover 519 :  7901 WALERGA RD, ANTELOPE, CA"/>
    <x v="2"/>
    <x v="0"/>
    <n v="50588.018746491216"/>
    <n v="38.71203311"/>
    <n v="-121.3645223"/>
    <x v="0"/>
    <x v="0"/>
    <n v="1"/>
  </r>
  <r>
    <s v="Willow &amp; Wren Apothecary 6086 :  4300 ELEVERTA RD, ANTELOPE, CA"/>
    <x v="3"/>
    <x v="0"/>
    <n v="50588.018746491216"/>
    <n v="38.713129029999997"/>
    <n v="-121.3631465"/>
    <x v="0"/>
    <x v="0"/>
    <n v="0"/>
  </r>
  <r>
    <s v="Mr Fantastic's Emporium 23010 :  5101 MARCONI AVE, CARMICHAEL, CA"/>
    <x v="4"/>
    <x v="0"/>
    <n v="50588.018746491216"/>
    <n v="38.617530909999999"/>
    <n v="-121.3451551"/>
    <x v="1"/>
    <x v="0"/>
    <n v="1"/>
  </r>
  <r>
    <s v="Cloudline Provisions 358 :  5150 MANZANITA AVE, CARMICHAEL, CA"/>
    <x v="5"/>
    <x v="0"/>
    <n v="50588.018746491216"/>
    <n v="38.6601"/>
    <n v="-121.3272144"/>
    <x v="1"/>
    <x v="0"/>
    <n v="0"/>
  </r>
  <r>
    <s v="Cloudline Provisions 5337 :  6337 FAIR OAKS BLVD, CARMICHAEL, CA"/>
    <x v="6"/>
    <x v="0"/>
    <n v="50588.018746491216"/>
    <n v="38.61598772"/>
    <n v="-121.3287804"/>
    <x v="1"/>
    <x v="0"/>
    <n v="0"/>
  </r>
  <r>
    <s v="Cloudline Provisions 82688 :  4101 MANZANITA AVE, CARMICHAEL, CA"/>
    <x v="7"/>
    <x v="0"/>
    <n v="50588.018746491216"/>
    <n v="38.639195710000003"/>
    <n v="-121.3282104"/>
    <x v="1"/>
    <x v="0"/>
    <n v="0"/>
  </r>
  <r>
    <s v="Cactus &amp; Clover 511 :  4005 MANZANITA AVE, CARMICHAEL, CA"/>
    <x v="8"/>
    <x v="0"/>
    <n v="50588.018746491216"/>
    <n v="38.63798276"/>
    <n v="-121.32824340000001"/>
    <x v="1"/>
    <x v="0"/>
    <n v="0"/>
  </r>
  <r>
    <s v="Gusty Grove 485 :  4708 MANZANITA AVE, CARMICHAEL, CA"/>
    <x v="9"/>
    <x v="0"/>
    <n v="50588.018746491216"/>
    <n v="38.650142279999997"/>
    <n v="-121.32755950000001"/>
    <x v="1"/>
    <x v="0"/>
    <n v="1"/>
  </r>
  <r>
    <s v="Flicker’s Finds 431 :  5159 FAIR OAKS BLVD, CARMICHAEL, CA"/>
    <x v="10"/>
    <x v="0"/>
    <n v="50588.018746491216"/>
    <n v="38.597314789999999"/>
    <n v="-121.3443094"/>
    <x v="1"/>
    <x v="0"/>
    <n v="0"/>
  </r>
  <r>
    <s v="Willow &amp; Wren Apothecary 6044 :  4010 MANZANITA AVE, CARMICHAEL, CA"/>
    <x v="11"/>
    <x v="0"/>
    <n v="50588.018746491216"/>
    <n v="38.637231800000002"/>
    <n v="-121.3277444"/>
    <x v="1"/>
    <x v="0"/>
    <n v="0"/>
  </r>
  <r>
    <s v="Haven Hearth Goods 1560 :  4040 MANZANITA AVE, CARMICHAEL, CA"/>
    <x v="12"/>
    <x v="0"/>
    <n v="50588.018746491216"/>
    <n v="38.638042640000002"/>
    <n v="-121.3277197"/>
    <x v="1"/>
    <x v="0"/>
    <n v="1"/>
  </r>
  <r>
    <s v="Pebble &amp; Pine Pharmacy 6658 :  6325 FAIR OAKS BLVD, CARMICHAEL, CA"/>
    <x v="13"/>
    <x v="0"/>
    <n v="50588.018746491216"/>
    <n v="38.615941800000002"/>
    <n v="-121.328819"/>
    <x v="1"/>
    <x v="0"/>
    <n v="0"/>
  </r>
  <r>
    <s v="Mr Fantastic's Emporium 14060 :  6401 ANTELOPE RD, CITRUS HEIGHTS, CA"/>
    <x v="14"/>
    <x v="0"/>
    <n v="50588.018746491216"/>
    <n v="38.70756471"/>
    <n v="-121.31474660000001"/>
    <x v="2"/>
    <x v="0"/>
    <n v="1"/>
  </r>
  <r>
    <s v="Mr Fantastic's Emporium 19156 :  6882 SUNRISE BLVD, CITRUS HEIGHTS, CA"/>
    <x v="15"/>
    <x v="0"/>
    <n v="50588.018746491216"/>
    <n v="38.691407650000002"/>
    <n v="-121.2713543"/>
    <x v="2"/>
    <x v="0"/>
    <n v="0"/>
  </r>
  <r>
    <s v="Mr Fantastic's Emporium 22979 :  6701 AUBURN BLVD, CITRUS HEIGHTS, CA"/>
    <x v="16"/>
    <x v="0"/>
    <n v="50588.018746491216"/>
    <n v="38.687832999999998"/>
    <n v="-121.30772949999999"/>
    <x v="2"/>
    <x v="0"/>
    <n v="1"/>
  </r>
  <r>
    <s v="Mr Fantastic's Emporium 24815 :  6180 AUBURN BLVD, CITRUS HEIGHTS, CA"/>
    <x v="17"/>
    <x v="0"/>
    <n v="50588.018746491216"/>
    <n v="38.678498329999996"/>
    <n v="-121.3211115"/>
    <x v="2"/>
    <x v="0"/>
    <n v="0"/>
  </r>
  <r>
    <s v="Mr Fantastic's Emporium 34575 :  7598 GREENBACK, CITRUS HEIGHTS, CA"/>
    <x v="18"/>
    <x v="0"/>
    <n v="50588.018746491216"/>
    <n v="38.678062869999998"/>
    <n v="-121.2847385"/>
    <x v="2"/>
    <x v="0"/>
    <n v="0"/>
  </r>
  <r>
    <s v="Mr Fantastic's Emporium 34677 :  6035 SAN JUAN, CITRUS HEIGHTS, CA"/>
    <x v="19"/>
    <x v="0"/>
    <n v="50588.018746491216"/>
    <n v="38.675997070000001"/>
    <n v="-121.29264619999999"/>
    <x v="2"/>
    <x v="0"/>
    <n v="0"/>
  </r>
  <r>
    <s v="Cloudline Provisions 6159 :  6140 GREENBACK LN, CITRUS HEIGHTS, CA"/>
    <x v="20"/>
    <x v="0"/>
    <n v="50588.018746491216"/>
    <n v="38.679059270000003"/>
    <n v="-121.3211105"/>
    <x v="2"/>
    <x v="0"/>
    <n v="0"/>
  </r>
  <r>
    <s v="Cloudline Provisions 83402 :  5440 SAN JUAN AVE, CITRUS HEIGHTS, CA"/>
    <x v="21"/>
    <x v="0"/>
    <n v="50588.018746491216"/>
    <n v="38.664865540000001"/>
    <n v="-121.2921149"/>
    <x v="2"/>
    <x v="0"/>
    <n v="1"/>
  </r>
  <r>
    <s v="Penny’s Pantry 550167 :  7901 MADISON AVE, CITRUS HEIGHTS, CA"/>
    <x v="22"/>
    <x v="0"/>
    <n v="50588.018746491216"/>
    <n v="38.664147100000001"/>
    <n v="-121.2719936"/>
    <x v="2"/>
    <x v="0"/>
    <n v="0"/>
  </r>
  <r>
    <s v="Gusty Grove 420 :  6982 SUNRISE BLVD, CITRUS HEIGHTS, CA"/>
    <x v="23"/>
    <x v="0"/>
    <n v="50588.018746491216"/>
    <n v="38.692966509999998"/>
    <n v="-121.27137500000001"/>
    <x v="2"/>
    <x v="0"/>
    <n v="0"/>
  </r>
  <r>
    <s v="Flicker’s Finds 239 :  7847 LICHEN DR, CITRUS HEIGHTS, CA"/>
    <x v="24"/>
    <x v="0"/>
    <n v="50588.018746491216"/>
    <n v="38.708533039999999"/>
    <n v="-121.3126326"/>
    <x v="2"/>
    <x v="0"/>
    <n v="1"/>
  </r>
  <r>
    <s v="Haven Hearth Goods 1531 :  7301 GREENBACK LN, CITRUS HEIGHTS, CA"/>
    <x v="25"/>
    <x v="0"/>
    <n v="50588.018746491216"/>
    <n v="38.678477110000003"/>
    <n v="-121.2944428"/>
    <x v="2"/>
    <x v="0"/>
    <n v="1"/>
  </r>
  <r>
    <s v="Maplewood Mercantile 1121 :  5837 SUNRISE BLVD, CITRUS HEIGHTS, CA"/>
    <x v="26"/>
    <x v="0"/>
    <n v="50588.018746491216"/>
    <n v="38.671858810000003"/>
    <n v="-121.2717596"/>
    <x v="2"/>
    <x v="0"/>
    <n v="1"/>
  </r>
  <r>
    <s v="Pebble &amp; Pine Pharmacy 5152 :  6144 DEWEY DR, CITRUS HEIGHTS, CA"/>
    <x v="27"/>
    <x v="0"/>
    <n v="50588.018746491216"/>
    <n v="38.677500000000002"/>
    <n v="-121.3101443"/>
    <x v="2"/>
    <x v="0"/>
    <n v="0"/>
  </r>
  <r>
    <s v="Pebble &amp; Pine Pharmacy 5774 :  7787 SUNRISE BLVD, CITRUS HEIGHTS, CA"/>
    <x v="28"/>
    <x v="0"/>
    <n v="50588.018746491216"/>
    <n v="38.706910000000001"/>
    <n v="-121.2720157"/>
    <x v="2"/>
    <x v="0"/>
    <n v="0"/>
  </r>
  <r>
    <s v="Pebble &amp; Pine Pharmacy 7191 :  6199 SUNRISE BLVD, CITRUS HEIGHTS, CA"/>
    <x v="29"/>
    <x v="0"/>
    <n v="50588.018746491216"/>
    <n v="38.677340000000001"/>
    <n v="-121.2718057"/>
    <x v="2"/>
    <x v="0"/>
    <n v="0"/>
  </r>
  <r>
    <s v="Mr Fantastic's Emporium 38399 :  9146 HARBOUR POINT DR, ELK GROVE, CA"/>
    <x v="30"/>
    <x v="0"/>
    <n v="50588.018746491216"/>
    <n v="38.425863870000001"/>
    <n v="-121.48081809999999"/>
    <x v="3"/>
    <x v="0"/>
    <n v="0"/>
  </r>
  <r>
    <s v="Mr Fantastic's Emporium 39573 :  8475 ELK GROVE BLVD, ELK GROVE, CA"/>
    <x v="31"/>
    <x v="0"/>
    <n v="50588.018746491216"/>
    <n v="38.409238989999999"/>
    <n v="-121.390356"/>
    <x v="3"/>
    <x v="0"/>
    <n v="0"/>
  </r>
  <r>
    <s v="Mr Fantastic's Emporium 41227 :  8100 SHELDON RD, ELK GROVE, CA"/>
    <x v="32"/>
    <x v="0"/>
    <n v="50588.018746491216"/>
    <n v="38.437862869999996"/>
    <n v="-121.408338"/>
    <x v="3"/>
    <x v="0"/>
    <n v="1"/>
  </r>
  <r>
    <s v="Mr Fantastic's Emporium 41228 :  8344 POWER INN RD, ELK GROVE, CA"/>
    <x v="33"/>
    <x v="0"/>
    <n v="50588.018746491216"/>
    <n v="38.45452942"/>
    <n v="-121.4057723"/>
    <x v="3"/>
    <x v="0"/>
    <n v="1"/>
  </r>
  <r>
    <s v="Cloudline Provisions 7192 :  8798 CALVINE RD, ELK GROVE, CA"/>
    <x v="34"/>
    <x v="0"/>
    <n v="50588.018746491216"/>
    <s v="N/A"/>
    <s v="N/A"/>
    <x v="3"/>
    <x v="0"/>
    <n v="0"/>
  </r>
  <r>
    <s v="Cloudline Provisions 82356 :  9590 HARBOR PT, ELK GROVE, CA"/>
    <x v="35"/>
    <x v="0"/>
    <n v="50588.018746491216"/>
    <n v="38.428660000000001"/>
    <n v="-121.44399"/>
    <x v="3"/>
    <x v="0"/>
    <n v="1"/>
  </r>
  <r>
    <s v="Cloudline Provisions 82959 :  9215 ELK GRV, ELK GROVE, CA"/>
    <x v="36"/>
    <x v="0"/>
    <n v="50588.018746491216"/>
    <n v="38.43779"/>
    <n v="-121.29986"/>
    <x v="3"/>
    <x v="0"/>
    <n v="0"/>
  </r>
  <r>
    <s v="Cloudline Provisions 83008 :  10421 GRANTLINE RD, ELK GROVE, CA"/>
    <x v="37"/>
    <x v="0"/>
    <n v="50588.018746491216"/>
    <n v="38.380915369999997"/>
    <n v="-121.35420000000001"/>
    <x v="3"/>
    <x v="0"/>
    <n v="1"/>
  </r>
  <r>
    <s v="Cloudline Provisions 83451 :  8361 SHELDON RD, ELK GROVE, CA"/>
    <x v="38"/>
    <x v="0"/>
    <n v="50588.018746491216"/>
    <n v="38.43823098"/>
    <n v="-121.3964849"/>
    <x v="3"/>
    <x v="0"/>
    <n v="1"/>
  </r>
  <r>
    <s v="Cloudline Provisions 83829 :  10057 BRUCEVILLLE RD, ELK GROVE, CA"/>
    <x v="39"/>
    <x v="0"/>
    <n v="50588.018746491216"/>
    <n v="38.390783839999997"/>
    <n v="-121.4173246"/>
    <x v="3"/>
    <x v="0"/>
    <n v="1"/>
  </r>
  <r>
    <s v="Cloudline Provisions 83830 :  8500 ELK GROVE BLVD, ELK GROVE, CA"/>
    <x v="40"/>
    <x v="0"/>
    <n v="50588.018746491216"/>
    <n v="38.408842919999998"/>
    <n v="-121.3894653"/>
    <x v="3"/>
    <x v="0"/>
    <n v="0"/>
  </r>
  <r>
    <s v="Cactus &amp; Clover 516 :  5100 LAGUNA BLVD, ELK GROVE, CA"/>
    <x v="41"/>
    <x v="0"/>
    <n v="50588.018746491216"/>
    <n v="38.422992270000002"/>
    <n v="-121.44614489999999"/>
    <x v="3"/>
    <x v="0"/>
    <n v="0"/>
  </r>
  <r>
    <s v="Cactus &amp; Clover 523 :  8425 ELK GROVE FLORIN RD, ELK GROVE, CA"/>
    <x v="42"/>
    <x v="0"/>
    <n v="50588.018746491216"/>
    <n v="38.450649239999997"/>
    <n v="-121.37144410000001"/>
    <x v="3"/>
    <x v="0"/>
    <n v="0"/>
  </r>
  <r>
    <s v="Cactus &amp; Clover 525 :  9435 ELK GROVE BLVD, ELK GROVE, CA"/>
    <x v="43"/>
    <x v="0"/>
    <n v="50588.018746491216"/>
    <n v="38.409227129999998"/>
    <n v="-121.35177"/>
    <x v="3"/>
    <x v="0"/>
    <n v="1"/>
  </r>
  <r>
    <s v="Flicker’s Finds 443 :  4900 ELK GROVE BLVD, ELK GROVE, CA"/>
    <x v="44"/>
    <x v="0"/>
    <n v="50588.018746491216"/>
    <n v="38.408472869999997"/>
    <n v="-121.44862000000001"/>
    <x v="3"/>
    <x v="0"/>
    <n v="0"/>
  </r>
  <r>
    <s v="Haven Hearth Goods 1647 :  5021 LAGUNA BLVD, ELK GROVE, CA"/>
    <x v="45"/>
    <x v="0"/>
    <n v="50588.018746491216"/>
    <n v="38.42341425"/>
    <n v="-121.4474731"/>
    <x v="3"/>
    <x v="0"/>
    <n v="0"/>
  </r>
  <r>
    <s v="Haven Hearth Goods 94 :  10050 BRUCEVILLE RD, ELK GROVE, CA"/>
    <x v="46"/>
    <x v="0"/>
    <n v="50588.018746491216"/>
    <s v="N/A"/>
    <s v="N/A"/>
    <x v="3"/>
    <x v="0"/>
    <n v="0"/>
  </r>
  <r>
    <s v="Dune &amp; Drift Market 605 :  9160 ELK GROVE FLORIN RD, ELK GROVE, CA"/>
    <x v="47"/>
    <x v="0"/>
    <n v="50588.018746491216"/>
    <n v="38.42501"/>
    <n v="-121.37184499999999"/>
    <x v="3"/>
    <x v="0"/>
    <n v="0"/>
  </r>
  <r>
    <s v="Maplewood Mercantile 1025 :  7505 LAGUNA BLVD, ELK GROVE, CA"/>
    <x v="48"/>
    <x v="0"/>
    <n v="50588.018746491216"/>
    <n v="38.423673360000002"/>
    <n v="-121.4160347"/>
    <x v="3"/>
    <x v="0"/>
    <n v="1"/>
  </r>
  <r>
    <s v="Pebble &amp; Pine Pharmacy 5499 :  7299 LAGUNA BLVD, ELK GROVE, CA"/>
    <x v="49"/>
    <x v="0"/>
    <n v="50588.018746491216"/>
    <n v="38.42366123"/>
    <n v="-121.41862570000001"/>
    <x v="3"/>
    <x v="0"/>
    <n v="0"/>
  </r>
  <r>
    <s v="Pebble &amp; Pine Pharmacy 6142 :  9200 ELK GROVE FLORIN RD, ELK GROVE, CA"/>
    <x v="50"/>
    <x v="0"/>
    <n v="50588.018746491216"/>
    <n v="38.423400229999999"/>
    <n v="-121.37185460000001"/>
    <x v="3"/>
    <x v="0"/>
    <n v="0"/>
  </r>
  <r>
    <s v="Pebble &amp; Pine Pharmacy 6419 :  9180 FRANKLIN BLVD, ELK GROVE, CA"/>
    <x v="51"/>
    <x v="0"/>
    <n v="50588.018746491216"/>
    <n v="38.423280099999999"/>
    <n v="-121.44822310000001"/>
    <x v="3"/>
    <x v="0"/>
    <n v="0"/>
  </r>
  <r>
    <s v="Pebble &amp; Pine Pharmacy 6612 :  8400 ELK GROVE FLORIN RD, ELK GROVE, CA"/>
    <x v="52"/>
    <x v="0"/>
    <n v="50588.018746491216"/>
    <n v="38.452518980000001"/>
    <n v="-121.3719451"/>
    <x v="3"/>
    <x v="0"/>
    <n v="0"/>
  </r>
  <r>
    <s v="Mr Fantastic's Emporium 18328 :  8500 MADISON AVE, FAIR OAKS, CA"/>
    <x v="53"/>
    <x v="0"/>
    <n v="50588.018746491216"/>
    <n v="38.664092869999998"/>
    <n v="-121.24388999999999"/>
    <x v="4"/>
    <x v="0"/>
    <n v="1"/>
  </r>
  <r>
    <s v="Cloudline Provisions 2126 :  4400 SUNRISE BLVD, FAIR OAKS, CA"/>
    <x v="54"/>
    <x v="0"/>
    <n v="50588.018746491216"/>
    <n v="38.645088610000002"/>
    <n v="-121.271725"/>
    <x v="4"/>
    <x v="0"/>
    <n v="0"/>
  </r>
  <r>
    <s v="Flicker’s Finds 417 :  4840 SAN JUAN AVE, FAIR OAKS, CA"/>
    <x v="55"/>
    <x v="0"/>
    <n v="50588.018746491216"/>
    <n v="38.654029999999999"/>
    <n v="-121.2919144"/>
    <x v="4"/>
    <x v="0"/>
    <n v="0"/>
  </r>
  <r>
    <s v="Flicker’s Finds 421 :  8870 MADISON AVE, FAIR OAKS, CA"/>
    <x v="56"/>
    <x v="0"/>
    <n v="50588.018746491216"/>
    <n v="38.66374287"/>
    <n v="-121.22684"/>
    <x v="4"/>
    <x v="0"/>
    <n v="0"/>
  </r>
  <r>
    <s v="Haven Hearth Goods 1846 :  8925 MADISON AVE, FAIR OAKS, CA"/>
    <x v="57"/>
    <x v="0"/>
    <n v="50588.018746491216"/>
    <n v="38.664233950000003"/>
    <n v="-121.2233925"/>
    <x v="4"/>
    <x v="0"/>
    <n v="1"/>
  </r>
  <r>
    <s v="Haven Hearth Goods 1895 :  5450 DEWEY DR, FAIR OAKS, CA"/>
    <x v="58"/>
    <x v="0"/>
    <n v="50588.018746491216"/>
    <n v="38.665099259999998"/>
    <n v="-121.30839229999999"/>
    <x v="4"/>
    <x v="0"/>
    <n v="1"/>
  </r>
  <r>
    <s v="Cloudline Provisions 82173 :  13401 FOLSOM BLVD, FOLSOM, CA"/>
    <x v="59"/>
    <x v="0"/>
    <n v="50588.018746491216"/>
    <n v="38.65687483"/>
    <n v="-121.1826097"/>
    <x v="5"/>
    <x v="0"/>
    <n v="0"/>
  </r>
  <r>
    <s v="Cloudline Provisions 83962 :  301 E BIDWELL ST, FOLSOM, CA"/>
    <x v="60"/>
    <x v="0"/>
    <n v="50588.018746491216"/>
    <n v="38.674182870000003"/>
    <n v="-121.16909"/>
    <x v="5"/>
    <x v="0"/>
    <n v="0"/>
  </r>
  <r>
    <s v="Cactus &amp; Clover 524 :  2760 E BIDWELL ST, FOLSOM, CA"/>
    <x v="61"/>
    <x v="0"/>
    <n v="50588.018746491216"/>
    <n v="38.654675730000001"/>
    <n v="-121.122927"/>
    <x v="5"/>
    <x v="0"/>
    <n v="0"/>
  </r>
  <r>
    <s v="Flicker’s Finds 409 :  715 E BIDWELL ST, FOLSOM, CA"/>
    <x v="62"/>
    <x v="0"/>
    <n v="50588.018746491216"/>
    <n v="38.670999479999999"/>
    <n v="-121.1591195"/>
    <x v="5"/>
    <x v="0"/>
    <n v="0"/>
  </r>
  <r>
    <s v="Flicker’s Finds 410 :  25025 BLUE RAVINE RD, FOLSOM, CA"/>
    <x v="63"/>
    <x v="0"/>
    <n v="50588.018746491216"/>
    <n v="38.689776770000002"/>
    <n v="-121.1236239"/>
    <x v="5"/>
    <x v="0"/>
    <n v="0"/>
  </r>
  <r>
    <s v="Willow &amp; Wren Apothecary 6266 :  526 E BIDWELL ST, FOLSOM, CA"/>
    <x v="64"/>
    <x v="0"/>
    <n v="50588.018746491216"/>
    <n v="38.673445299999997"/>
    <n v="-121.1651146"/>
    <x v="5"/>
    <x v="0"/>
    <n v="0"/>
  </r>
  <r>
    <s v="Haven Hearth Goods 1794 :  1850 PRAIRIE CITY RD, FOLSOM, CA"/>
    <x v="65"/>
    <x v="0"/>
    <n v="50588.018746491216"/>
    <n v="38.650968749999997"/>
    <n v="-121.1646999"/>
    <x v="5"/>
    <x v="0"/>
    <n v="1"/>
  </r>
  <r>
    <s v="Maplewood Mercantile 1098 :  430 BLUE RAVINE RD, FOLSOM, CA"/>
    <x v="66"/>
    <x v="0"/>
    <n v="50588.018746491216"/>
    <n v="38.670947320000003"/>
    <n v="-121.1519902"/>
    <x v="5"/>
    <x v="0"/>
    <n v="1"/>
  </r>
  <r>
    <s v="Pebble &amp; Pine Pharmacy 6417 :  1100 RILEY ST, FOLSOM, CA"/>
    <x v="29"/>
    <x v="0"/>
    <n v="50588.018746491216"/>
    <n v="38.670631020000002"/>
    <n v="-121.16512969999999"/>
    <x v="5"/>
    <x v="0"/>
    <n v="0"/>
  </r>
  <r>
    <s v="Pebble &amp; Pine Pharmacy 9048 :  2595 E BIDWELL ST, FOLSOM, CA"/>
    <x v="67"/>
    <x v="0"/>
    <n v="50588.018746491216"/>
    <n v="38.65874797"/>
    <n v="-121.12943129999999"/>
    <x v="5"/>
    <x v="0"/>
    <n v="0"/>
  </r>
  <r>
    <s v="Mr Fantastic's Emporium 39576 :  301 PINE ST, GALT, CA"/>
    <x v="68"/>
    <x v="0"/>
    <n v="50588.018746491216"/>
    <n v="38.253288830000002"/>
    <n v="-121.2950408"/>
    <x v="6"/>
    <x v="0"/>
    <n v="0"/>
  </r>
  <r>
    <s v="Cloudline Provisions 83815 :  12821 E STOCKTON BLVD, GALT, CA"/>
    <x v="69"/>
    <x v="0"/>
    <n v="50588.018746491216"/>
    <n v="38.289918540000002"/>
    <n v="-121.3104361"/>
    <x v="6"/>
    <x v="0"/>
    <n v="1"/>
  </r>
  <r>
    <s v="Penny’s Pantry 550117 :  602 4TH ST, GALT, CA"/>
    <x v="70"/>
    <x v="0"/>
    <n v="50588.018746491216"/>
    <n v="38.24907529"/>
    <n v="-121.3045705"/>
    <x v="6"/>
    <x v="0"/>
    <n v="0"/>
  </r>
  <r>
    <s v="Flicker’s Finds 302 :  10430 TWIN CITIES RD, GALT, CA"/>
    <x v="71"/>
    <x v="0"/>
    <n v="50588.018746491216"/>
    <n v="38.29094216"/>
    <n v="-121.3070163"/>
    <x v="6"/>
    <x v="0"/>
    <n v="0"/>
  </r>
  <r>
    <s v="Dune &amp; Drift Market 72 :  1059 C ST, GALT, CA"/>
    <x v="72"/>
    <x v="0"/>
    <n v="50588.018746491216"/>
    <n v="38.253267119999997"/>
    <n v="-121.2971019"/>
    <x v="6"/>
    <x v="0"/>
    <n v="1"/>
  </r>
  <r>
    <s v="Mr Fantastic's Emporium 39207 :  2401 SUNRISE BLVD, GOLD RIVER, CA"/>
    <x v="73"/>
    <x v="0"/>
    <n v="50588.018746491216"/>
    <n v="38.615452329999997"/>
    <n v="-121.2688112"/>
    <x v="7"/>
    <x v="0"/>
    <n v="0"/>
  </r>
  <r>
    <s v="Cloudline Provisions 83041 :  2295 SUNRISE BLVD, GOLD RIVER, CA"/>
    <x v="74"/>
    <x v="0"/>
    <n v="50588.018746491216"/>
    <n v="38.618716710000001"/>
    <n v="-121.26776529999999"/>
    <x v="7"/>
    <x v="0"/>
    <n v="1"/>
  </r>
  <r>
    <s v="Cactus &amp; Clover 522 :  2155 GOLDEN CENTRE LN, GOLD RIVER, CA"/>
    <x v="75"/>
    <x v="0"/>
    <n v="50588.018746491216"/>
    <n v="38.625669139999999"/>
    <n v="-121.2625843"/>
    <x v="7"/>
    <x v="0"/>
    <n v="0"/>
  </r>
  <r>
    <s v="Zippy’s Corner 1069401 :  MCCLELLAN AFB MAIN/CL6, MCCLELLAN AFB, CA"/>
    <x v="29"/>
    <x v="0"/>
    <n v="50588.018746491216"/>
    <n v="38.662469999999999"/>
    <n v="-121.40212"/>
    <x v="8"/>
    <x v="0"/>
    <n v="0"/>
  </r>
  <r>
    <s v="Bright Barrel Market 32 :  (KL1) MCCLELLAN AFB CA, MCCLELLAN AFB, CA"/>
    <x v="76"/>
    <x v="0"/>
    <n v="50588.018746491216"/>
    <n v="38.662469999999999"/>
    <n v="-121.40212"/>
    <x v="8"/>
    <x v="0"/>
    <n v="0"/>
  </r>
  <r>
    <s v="Mr Fantastic's Emporium 16081 :  4900 WATT AVE, NORTH HIGHLANDS, CA"/>
    <x v="77"/>
    <x v="0"/>
    <n v="50588.018746491216"/>
    <n v="38.654130000000002"/>
    <n v="-121.3826744"/>
    <x v="9"/>
    <x v="0"/>
    <n v="0"/>
  </r>
  <r>
    <s v="Mr Fantastic's Emporium 23015 :  3601 ELKHORN BLVD, NORTH HIGHLANDS, CA"/>
    <x v="78"/>
    <x v="0"/>
    <n v="50588.018746491216"/>
    <n v="38.69052713"/>
    <n v="-121.38279"/>
    <x v="9"/>
    <x v="0"/>
    <n v="1"/>
  </r>
  <r>
    <s v="Cloudline Provisions 7122 :  3140 ELKHORN BLVD, NORTH HIGHLANDS, CA"/>
    <x v="79"/>
    <x v="0"/>
    <n v="50588.018746491216"/>
    <n v="38.690102869999997"/>
    <n v="-121.39346999999999"/>
    <x v="9"/>
    <x v="0"/>
    <n v="1"/>
  </r>
  <r>
    <s v="Cloudline Provisions 83233 :  4745 WATT AVE, NORTH HIGHLANDS, CA"/>
    <x v="80"/>
    <x v="0"/>
    <n v="50588.018746491216"/>
    <n v="38.651260000000001"/>
    <n v="-121.38319559999999"/>
    <x v="9"/>
    <x v="0"/>
    <n v="1"/>
  </r>
  <r>
    <s v="Cloudline Provisions 83953 :  4261 ELKHORN BLVD, NORTH HIGHLANDS, CA"/>
    <x v="81"/>
    <x v="0"/>
    <n v="50588.018746491216"/>
    <n v="38.694687129999998"/>
    <n v="-121.3648"/>
    <x v="9"/>
    <x v="0"/>
    <n v="0"/>
  </r>
  <r>
    <s v="Gusty Grove 497 :  7477 WATT AVE, NORTH HIGHLANDS, CA"/>
    <x v="82"/>
    <x v="0"/>
    <n v="50588.018746491216"/>
    <n v="38.702751540000001"/>
    <n v="-121.3830857"/>
    <x v="9"/>
    <x v="0"/>
    <n v="1"/>
  </r>
  <r>
    <s v="Willow &amp; Wren Apothecary 6054 :  6639 WATT AVE, NORTH HIGHLANDS, CA"/>
    <x v="83"/>
    <x v="0"/>
    <n v="50588.018746491216"/>
    <n v="38.687989999999999"/>
    <n v="-121.3831357"/>
    <x v="9"/>
    <x v="0"/>
    <n v="0"/>
  </r>
  <r>
    <s v="Glowstone Supplies 43087 :  4250 MADISON AVE, NORTH HIGHLANDS, CA"/>
    <x v="84"/>
    <x v="0"/>
    <n v="50588.018746491216"/>
    <n v="38.660893350000002"/>
    <n v="-121.3646962"/>
    <x v="9"/>
    <x v="0"/>
    <n v="0"/>
  </r>
  <r>
    <s v="Glowstone Supplies 46318 :  7550 WATT AVE, NORTH HIGHLANDS, CA"/>
    <x v="85"/>
    <x v="0"/>
    <n v="50588.018746491216"/>
    <n v="38.703189999999999"/>
    <n v="-121.38259429999999"/>
    <x v="9"/>
    <x v="0"/>
    <n v="0"/>
  </r>
  <r>
    <s v="Pebble &amp; Pine Pharmacy 10693 :  6819 WATT AVE, NORTH HIGHLANDS, CA"/>
    <x v="29"/>
    <x v="0"/>
    <n v="50588.018746491216"/>
    <n v="38.691310000000001"/>
    <n v="-121.38312569999999"/>
    <x v="9"/>
    <x v="0"/>
    <n v="0"/>
  </r>
  <r>
    <s v="Mr Fantastic's Emporium 14068 :  6840 WOODMORE OAKS, ORANGEVALE, CA"/>
    <x v="86"/>
    <x v="0"/>
    <n v="50588.018746491216"/>
    <n v="38.691400629999997"/>
    <n v="-121.2552597"/>
    <x v="10"/>
    <x v="0"/>
    <n v="1"/>
  </r>
  <r>
    <s v="Mr Fantastic's Emporium 38703 :  9396 GREENBACK LN, ORANGEVALE, CA"/>
    <x v="87"/>
    <x v="0"/>
    <n v="50588.018746491216"/>
    <n v="38.677987340000001"/>
    <n v="-121.20310859999999"/>
    <x v="10"/>
    <x v="0"/>
    <n v="1"/>
  </r>
  <r>
    <s v="Cloudline Provisions 82530 :  9401 MADISON AVE, ORANGEVALE, CA"/>
    <x v="88"/>
    <x v="0"/>
    <n v="50588.018746491216"/>
    <n v="38.672687400000001"/>
    <n v="-121.2018894"/>
    <x v="10"/>
    <x v="0"/>
    <n v="1"/>
  </r>
  <r>
    <s v="Penny’s Pantry 551126 :  8696 GREENBACK LN, ORANGEVALE, CA"/>
    <x v="89"/>
    <x v="0"/>
    <n v="50588.018746491216"/>
    <n v="38.678362870000001"/>
    <n v="-121.2351575"/>
    <x v="10"/>
    <x v="0"/>
    <n v="1"/>
  </r>
  <r>
    <s v="Mr Fantastic's Emporium 14098 :  10246 MILLS STATION RD, RANCHO CORDOVA, CA"/>
    <x v="90"/>
    <x v="0"/>
    <n v="50588.018746491216"/>
    <n v="38.583558709999998"/>
    <n v="-121.3087292"/>
    <x v="11"/>
    <x v="0"/>
    <n v="1"/>
  </r>
  <r>
    <s v="Mr Fantastic's Emporium 35347 :  11079 FOLSOM BLVD, RANCHO CORDOVA, CA"/>
    <x v="91"/>
    <x v="0"/>
    <n v="50588.018746491216"/>
    <n v="38.604497369999997"/>
    <n v="-121.2721477"/>
    <x v="11"/>
    <x v="0"/>
    <n v="0"/>
  </r>
  <r>
    <s v="Mr Fantastic's Emporium 42143 :  3251 SUNRISE BLVD, RANCHO CORDOVA, CA"/>
    <x v="92"/>
    <x v="0"/>
    <n v="50588.018746491216"/>
    <n v="38.585360520000002"/>
    <n v="-121.26503510000001"/>
    <x v="11"/>
    <x v="0"/>
    <n v="1"/>
  </r>
  <r>
    <s v="Cloudline Provisions 7029 :  4000 SUNRISE BLVD, RANCHO CORDOVA, CA"/>
    <x v="93"/>
    <x v="0"/>
    <n v="50588.018746491216"/>
    <n v="38.55796522"/>
    <n v="-121.2431838"/>
    <x v="11"/>
    <x v="0"/>
    <n v="1"/>
  </r>
  <r>
    <s v="Cloudline Provisions 82803 :  3099 SUNRISE BLVD, RANCHO CORDOVA, CA"/>
    <x v="94"/>
    <x v="0"/>
    <n v="50588.018746491216"/>
    <n v="38.590055139999997"/>
    <n v="-121.2652047"/>
    <x v="11"/>
    <x v="0"/>
    <n v="1"/>
  </r>
  <r>
    <s v="Cloudline Provisions 82949 :  2896 ZINFANDEL DR, RANCHO CORDOVA, CA"/>
    <x v="95"/>
    <x v="0"/>
    <n v="50588.018746491216"/>
    <n v="38.593646739999997"/>
    <n v="-121.2881402"/>
    <x v="11"/>
    <x v="0"/>
    <n v="0"/>
  </r>
  <r>
    <s v="Cloudline Provisions 83262 :  12210 TRIBUTARY POINTE, RANCHO CORDOVA, CA"/>
    <x v="96"/>
    <x v="0"/>
    <n v="50588.018746491216"/>
    <n v="38.632067499999998"/>
    <n v="-121.21928339999999"/>
    <x v="11"/>
    <x v="0"/>
    <n v="0"/>
  </r>
  <r>
    <s v="Flicker’s Finds 440 :  4030 SUNRISE BLVD, RANCHO CORDOVA, CA"/>
    <x v="97"/>
    <x v="0"/>
    <n v="50588.018746491216"/>
    <n v="38.556929619999998"/>
    <n v="-121.2431273"/>
    <x v="11"/>
    <x v="0"/>
    <n v="1"/>
  </r>
  <r>
    <s v="Willow &amp; Wren Apothecary 6059 :  2111 GOLDEN CENTRE LN, RANCHO CORDOVA, CA"/>
    <x v="98"/>
    <x v="0"/>
    <n v="50588.018746491216"/>
    <n v="38.625880389999999"/>
    <n v="-121.2626029"/>
    <x v="11"/>
    <x v="0"/>
    <n v="0"/>
  </r>
  <r>
    <s v="Haven Hearth Goods 1746 :  10635 FOLSOM BLVD, RANCHO CORDOVA, CA"/>
    <x v="99"/>
    <x v="0"/>
    <n v="50588.018746491216"/>
    <n v="38.594642870000001"/>
    <n v="-121.2921645"/>
    <x v="11"/>
    <x v="0"/>
    <n v="1"/>
  </r>
  <r>
    <s v="Maplewood Mercantile 2463 :  10881 OLSON DR, RANCHO CORDOVA, CA"/>
    <x v="100"/>
    <x v="0"/>
    <n v="50588.018746491216"/>
    <n v="38.594545359999998"/>
    <n v="-121.2842335"/>
    <x v="11"/>
    <x v="0"/>
    <n v="1"/>
  </r>
  <r>
    <s v="Pebble &amp; Pine Pharmacy 15195 :  10701 FOLSOM BLVD, RANCHO CORDOVA, CA"/>
    <x v="29"/>
    <x v="0"/>
    <n v="50588.018746491216"/>
    <n v="38.596242660000001"/>
    <n v="-121.2889285"/>
    <x v="11"/>
    <x v="0"/>
    <n v="0"/>
  </r>
  <r>
    <s v="Pebble &amp; Pine Pharmacy 9532 :  4050 SUNRISE BLVD, RANCHO CORDOVA, CA"/>
    <x v="101"/>
    <x v="0"/>
    <n v="50588.018746491216"/>
    <n v="38.55582854"/>
    <n v="-121.2431254"/>
    <x v="11"/>
    <x v="0"/>
    <n v="0"/>
  </r>
  <r>
    <s v="Flicker’s Finds 530 :  7315 MURIETA DR, RANCHO MURIETA, CA"/>
    <x v="102"/>
    <x v="0"/>
    <n v="50588.018746491216"/>
    <n v="38.492138240000003"/>
    <n v="-121.0995242"/>
    <x v="12"/>
    <x v="0"/>
    <n v="0"/>
  </r>
  <r>
    <s v="Mr Fantastic's Emporium 23615 :  348 ELKHORN BLVD, RIO LINDA, CA"/>
    <x v="103"/>
    <x v="0"/>
    <n v="50588.018746491216"/>
    <n v="38.683720270000002"/>
    <n v="-121.45741200000001"/>
    <x v="13"/>
    <x v="0"/>
    <n v="1"/>
  </r>
  <r>
    <s v="Willow &amp; Wren Apothecary 6788 :  4620 RIO LINDA BLVD, RIO LINDA, CA"/>
    <x v="104"/>
    <x v="0"/>
    <n v="50588.018746491216"/>
    <n v="38.689579999999999"/>
    <n v="-121.45581"/>
    <x v="13"/>
    <x v="0"/>
    <n v="0"/>
  </r>
  <r>
    <s v="Mr Fantastic's Emporium 14107 :  1199 43RD AVE, SACRAMENTO, CA"/>
    <x v="105"/>
    <x v="0"/>
    <n v="50588.018746491216"/>
    <n v="38.516048400000003"/>
    <n v="-121.5144485"/>
    <x v="14"/>
    <x v="0"/>
    <n v="1"/>
  </r>
  <r>
    <s v="Mr Fantastic's Emporium 14119 :  6591 WYNDHAM DR, SACRAMENTO, CA"/>
    <x v="106"/>
    <x v="0"/>
    <n v="50588.018746491216"/>
    <n v="38.468642869999996"/>
    <n v="-121.4261869"/>
    <x v="14"/>
    <x v="0"/>
    <n v="0"/>
  </r>
  <r>
    <s v="Mr Fantastic's Emporium 16350 :  7700 LA RIVIERA DR, SACRAMENTO, CA"/>
    <x v="107"/>
    <x v="0"/>
    <n v="50588.018746491216"/>
    <n v="38.556351569999997"/>
    <n v="-121.4103951"/>
    <x v="14"/>
    <x v="0"/>
    <n v="0"/>
  </r>
  <r>
    <s v="Mr Fantastic's Emporium 18185 :  5791 BROADWAY, SACRAMENTO, CA"/>
    <x v="108"/>
    <x v="0"/>
    <n v="50588.018746491216"/>
    <n v="38.546887130000002"/>
    <n v="-121.43805500000001"/>
    <x v="14"/>
    <x v="0"/>
    <n v="1"/>
  </r>
  <r>
    <s v="Mr Fantastic's Emporium 23040 :  2544 ARDEN WAY, SACRAMENTO, CA"/>
    <x v="109"/>
    <x v="0"/>
    <n v="50588.018746491216"/>
    <n v="38.595832870000002"/>
    <n v="-121.40233000000001"/>
    <x v="14"/>
    <x v="0"/>
    <n v="0"/>
  </r>
  <r>
    <s v="Mr Fantastic's Emporium 23226 :  3405 BRADSHAW RD, SACRAMENTO, CA"/>
    <x v="110"/>
    <x v="0"/>
    <n v="50588.018746491216"/>
    <n v="38.561852500000001"/>
    <n v="-121.3358546"/>
    <x v="14"/>
    <x v="0"/>
    <n v="1"/>
  </r>
  <r>
    <s v="Mr Fantastic's Emporium 23233 :  8499 GERBER RD, SACRAMENTO, CA"/>
    <x v="111"/>
    <x v="0"/>
    <n v="50588.018746491216"/>
    <n v="38.481907130000003"/>
    <n v="-121.39024000000001"/>
    <x v="14"/>
    <x v="0"/>
    <n v="0"/>
  </r>
  <r>
    <s v="Mr Fantastic's Emporium 23265 :  2450 NGATE BLVD, SACRAMENTO, CA"/>
    <x v="112"/>
    <x v="0"/>
    <n v="50588.018746491216"/>
    <n v="38.614879999999999"/>
    <n v="-121.51416"/>
    <x v="14"/>
    <x v="0"/>
    <n v="0"/>
  </r>
  <r>
    <s v="Mr Fantastic's Emporium 24147 :  5080 AUBURN BLVD, SACRAMENTO, CA"/>
    <x v="113"/>
    <x v="0"/>
    <n v="50588.018746491216"/>
    <n v="38.661245440000002"/>
    <n v="-121.3461069"/>
    <x v="14"/>
    <x v="0"/>
    <n v="1"/>
  </r>
  <r>
    <s v="Mr Fantastic's Emporium 24276 :  3448 WATT AVE, SACRAMENTO, CA"/>
    <x v="114"/>
    <x v="0"/>
    <n v="50588.018746491216"/>
    <n v="38.627629310000003"/>
    <n v="-121.38269699999999"/>
    <x v="14"/>
    <x v="0"/>
    <n v="0"/>
  </r>
  <r>
    <s v="Mr Fantastic's Emporium 24604 :  9210 KIEFER BLVD, SACRAMENTO, CA"/>
    <x v="115"/>
    <x v="0"/>
    <n v="50588.018746491216"/>
    <n v="38.547113590000002"/>
    <n v="-121.35777299999999"/>
    <x v="14"/>
    <x v="0"/>
    <n v="1"/>
  </r>
  <r>
    <s v="Mr Fantastic's Emporium 26598 :  5579 MACK RD, SACRAMENTO, CA"/>
    <x v="116"/>
    <x v="0"/>
    <n v="50588.018746491216"/>
    <n v="38.474447130000001"/>
    <n v="-121.43603400000001"/>
    <x v="14"/>
    <x v="0"/>
    <n v="0"/>
  </r>
  <r>
    <s v="Mr Fantastic's Emporium 29253 :  5581 HILLSDALE, SACRAMENTO, CA"/>
    <x v="117"/>
    <x v="0"/>
    <n v="50588.018746491216"/>
    <n v="38.66974708"/>
    <n v="-121.36132360000001"/>
    <x v="14"/>
    <x v="0"/>
    <n v="1"/>
  </r>
  <r>
    <s v="Mr Fantastic's Emporium 32836 :  5500 FLORIN PERKINS RD, SACRAMENTO, CA"/>
    <x v="118"/>
    <x v="0"/>
    <n v="50588.018746491216"/>
    <n v="38.525592949999997"/>
    <n v="-121.3909903"/>
    <x v="14"/>
    <x v="0"/>
    <n v="1"/>
  </r>
  <r>
    <s v="Mr Fantastic's Emporium 33315 :  5501 AUBURN BLVD, SACRAMENTO, CA"/>
    <x v="119"/>
    <x v="0"/>
    <n v="50588.018746491216"/>
    <n v="38.668637990000001"/>
    <n v="-121.3362731"/>
    <x v="14"/>
    <x v="0"/>
    <n v="1"/>
  </r>
  <r>
    <s v="Mr Fantastic's Emporium 34492 :  2005 MARCONI AVE, SACRAMENTO, CA"/>
    <x v="120"/>
    <x v="0"/>
    <n v="50588.018746491216"/>
    <n v="38.620002659999997"/>
    <n v="-121.4189715"/>
    <x v="14"/>
    <x v="0"/>
    <n v="1"/>
  </r>
  <r>
    <s v="Mr Fantastic's Emporium 34629 :  5820 ANTELOPE RD, SACRAMENTO, CA"/>
    <x v="121"/>
    <x v="0"/>
    <n v="50588.018746491216"/>
    <n v="38.704243499999997"/>
    <n v="-121.3285097"/>
    <x v="14"/>
    <x v="0"/>
    <n v="0"/>
  </r>
  <r>
    <s v="Mr Fantastic's Emporium 35351 :  6955 WALERGA RD, SACRAMENTO, CA"/>
    <x v="122"/>
    <x v="0"/>
    <n v="50588.018746491216"/>
    <n v="38.693420000000003"/>
    <n v="-121.3639257"/>
    <x v="14"/>
    <x v="0"/>
    <n v="1"/>
  </r>
  <r>
    <s v="Mr Fantastic's Emporium 35481 :  1341 J ST, SACRAMENTO, CA"/>
    <x v="123"/>
    <x v="0"/>
    <n v="50588.018746491216"/>
    <n v="38.578970060000003"/>
    <n v="-121.4879365"/>
    <x v="14"/>
    <x v="0"/>
    <n v="0"/>
  </r>
  <r>
    <s v="Mr Fantastic's Emporium 35491 :  2160 EL CAMINO AVE, SACRAMENTO, CA"/>
    <x v="124"/>
    <x v="0"/>
    <n v="50588.018746491216"/>
    <n v="38.625410000000002"/>
    <n v="-121.38473999999999"/>
    <x v="14"/>
    <x v="0"/>
    <n v="0"/>
  </r>
  <r>
    <s v="Mr Fantastic's Emporium 36868 :  6500 FOLSOM BLVD, SACRAMENTO, CA"/>
    <x v="125"/>
    <x v="0"/>
    <n v="50588.018746491216"/>
    <n v="38.554121000000002"/>
    <n v="-121.42748949999999"/>
    <x v="14"/>
    <x v="0"/>
    <n v="0"/>
  </r>
  <r>
    <s v="Mr Fantastic's Emporium 37217 :  1301 HOWE AVE, SACRAMENTO, CA"/>
    <x v="126"/>
    <x v="0"/>
    <n v="50588.018746491216"/>
    <n v="38.589260000000003"/>
    <n v="-121.4156354"/>
    <x v="14"/>
    <x v="0"/>
    <n v="1"/>
  </r>
  <r>
    <s v="Mr Fantastic's Emporium 37620 :  2401 FRUITRIDGE RD, SACRAMENTO, CA"/>
    <x v="127"/>
    <x v="0"/>
    <n v="50588.018746491216"/>
    <n v="38.524967119999999"/>
    <n v="-121.4831125"/>
    <x v="14"/>
    <x v="0"/>
    <n v="1"/>
  </r>
  <r>
    <s v="Mr Fantastic's Emporium 38424 :  802 J ST, SACRAMENTO, CA"/>
    <x v="128"/>
    <x v="0"/>
    <n v="50588.018746491216"/>
    <n v="38.580850230000003"/>
    <n v="-121.4961356"/>
    <x v="14"/>
    <x v="0"/>
    <n v="1"/>
  </r>
  <r>
    <s v="Mr Fantastic's Emporium 38788 :  7171 STOCKTON BLVD, SACRAMENTO, CA"/>
    <x v="129"/>
    <x v="0"/>
    <n v="50588.018746491216"/>
    <n v="38.496588699999997"/>
    <n v="-121.42905159999999"/>
    <x v="14"/>
    <x v="0"/>
    <n v="0"/>
  </r>
  <r>
    <s v="Mr Fantastic's Emporium 39155 :  5550 S WATT AVE, SACRAMENTO, CA"/>
    <x v="130"/>
    <x v="0"/>
    <n v="50588.018746491216"/>
    <n v="38.526433259999997"/>
    <n v="-121.37050600000001"/>
    <x v="14"/>
    <x v="0"/>
    <n v="1"/>
  </r>
  <r>
    <s v="Mr Fantastic's Emporium 39425 :  9199 FOLSOM BLVD, SACRAMENTO, CA"/>
    <x v="131"/>
    <x v="0"/>
    <n v="50588.018746491216"/>
    <n v="38.561592220000001"/>
    <n v="-121.35867949999999"/>
    <x v="14"/>
    <x v="0"/>
    <n v="1"/>
  </r>
  <r>
    <s v="Mr Fantastic's Emporium 39572 :  1300 FULTON AVE, SACRAMENTO, CA"/>
    <x v="132"/>
    <x v="0"/>
    <n v="50588.018746491216"/>
    <n v="38.588740000000001"/>
    <n v="-121.4012546"/>
    <x v="14"/>
    <x v="0"/>
    <n v="0"/>
  </r>
  <r>
    <s v="Mr Fantastic's Emporium 39887 :  3449 EL CAMINO AVE, SACRAMENTO, CA"/>
    <x v="133"/>
    <x v="0"/>
    <n v="50588.018746491216"/>
    <n v="38.625410000000002"/>
    <n v="-121.38473999999999"/>
    <x v="14"/>
    <x v="0"/>
    <n v="1"/>
  </r>
  <r>
    <s v="Mr Fantastic's Emporium 41251 :  8498 FLORIN RD, SACRAMENTO, CA"/>
    <x v="134"/>
    <x v="0"/>
    <n v="50588.018746491216"/>
    <n v="38.495952870000004"/>
    <n v="-121.39064"/>
    <x v="14"/>
    <x v="0"/>
    <n v="1"/>
  </r>
  <r>
    <s v="Mr Fantastic's Emporium 41288 :  4140 NORTHGATE BLVD, SACRAMENTO, CA"/>
    <x v="135"/>
    <x v="0"/>
    <n v="50588.018746491216"/>
    <n v="38.64489425"/>
    <n v="-121.4755704"/>
    <x v="14"/>
    <x v="0"/>
    <n v="1"/>
  </r>
  <r>
    <s v="Mr Fantastic's Emporium 42011 :  3311 W EL CAMINO AVE, SACRAMENTO, CA"/>
    <x v="136"/>
    <x v="0"/>
    <n v="50588.018746491216"/>
    <n v="38.614237129999999"/>
    <n v="-121.5290557"/>
    <x v="14"/>
    <x v="0"/>
    <n v="1"/>
  </r>
  <r>
    <s v="Mr Fantastic's Emporium 42175 :  1911 COSUMNES RIVER BLVD, SACRAMENTO, CA"/>
    <x v="137"/>
    <x v="0"/>
    <n v="50588.018746491216"/>
    <n v="38.448039999999999"/>
    <n v="-121.49518999999999"/>
    <x v="14"/>
    <x v="0"/>
    <n v="1"/>
  </r>
  <r>
    <s v="Cloudline Provisions 2068 :  2100 BROADWAY, SACRAMENTO, CA"/>
    <x v="138"/>
    <x v="0"/>
    <n v="50588.018746491216"/>
    <n v="38.559566840000002"/>
    <n v="-121.48542689999999"/>
    <x v="14"/>
    <x v="0"/>
    <n v="0"/>
  </r>
  <r>
    <s v="Cloudline Provisions 2166 :  1855 WATT AVE, SACRAMENTO, CA"/>
    <x v="139"/>
    <x v="0"/>
    <n v="50588.018746491216"/>
    <n v="38.598806670000002"/>
    <n v="-121.3832755"/>
    <x v="14"/>
    <x v="0"/>
    <n v="0"/>
  </r>
  <r>
    <s v="Cloudline Provisions 4398 :  3921 WATT AVE, SACRAMENTO, CA"/>
    <x v="140"/>
    <x v="0"/>
    <n v="50588.018746491216"/>
    <n v="38.636275599999998"/>
    <n v="-121.3832226"/>
    <x v="14"/>
    <x v="0"/>
    <n v="0"/>
  </r>
  <r>
    <s v="Cloudline Provisions 442 :  4224 MARCONI AVE, SACRAMENTO, CA"/>
    <x v="141"/>
    <x v="0"/>
    <n v="50588.018746491216"/>
    <n v="38.617494690000001"/>
    <n v="-121.36568130000001"/>
    <x v="14"/>
    <x v="0"/>
    <n v="0"/>
  </r>
  <r>
    <s v="Cloudline Provisions 5424 :  8024 ELDER CREEK RD, SACRAMENTO, CA"/>
    <x v="142"/>
    <x v="0"/>
    <n v="50588.018746491216"/>
    <n v="38.510332869999999"/>
    <n v="-121.40944500000001"/>
    <x v="14"/>
    <x v="0"/>
    <n v="1"/>
  </r>
  <r>
    <s v="Cloudline Provisions 5503 :  8121 FLORIN RD, SACRAMENTO, CA"/>
    <x v="143"/>
    <x v="0"/>
    <n v="50588.018746491216"/>
    <n v="38.496216580000002"/>
    <n v="-121.4080026"/>
    <x v="14"/>
    <x v="0"/>
    <n v="0"/>
  </r>
  <r>
    <s v="Cloudline Provisions 7062 :  6240 FREEPORT BLVD, SACRAMENTO, CA"/>
    <x v="144"/>
    <x v="0"/>
    <n v="50588.018746491216"/>
    <n v="38.51396321"/>
    <n v="-121.5009443"/>
    <x v="14"/>
    <x v="0"/>
    <n v="0"/>
  </r>
  <r>
    <s v="Cloudline Provisions 7099 :  4420 MACK RD, SACRAMENTO, CA"/>
    <x v="145"/>
    <x v="0"/>
    <n v="50588.018746491216"/>
    <s v="N/A"/>
    <s v="N/A"/>
    <x v="14"/>
    <x v="0"/>
    <n v="0"/>
  </r>
  <r>
    <s v="Cloudline Provisions 7131 :  9670 KIEFER BLVD, SACRAMENTO, CA"/>
    <x v="146"/>
    <x v="0"/>
    <n v="50588.018746491216"/>
    <n v="38.543689479999998"/>
    <n v="-121.3345118"/>
    <x v="14"/>
    <x v="0"/>
    <n v="1"/>
  </r>
  <r>
    <s v="Cloudline Provisions 7173 :  8105 DELTA SHORES CIR S, SACRAMENTO, CA"/>
    <x v="147"/>
    <x v="0"/>
    <n v="50588.018746491216"/>
    <n v="38.46615843"/>
    <n v="-121.49042559999999"/>
    <x v="14"/>
    <x v="0"/>
    <n v="1"/>
  </r>
  <r>
    <s v="Cloudline Provisions 82335 :  4421 FLORIN RD, SACRAMENTO, CA"/>
    <x v="148"/>
    <x v="0"/>
    <n v="50588.018746491216"/>
    <n v="38.496277130000003"/>
    <n v="-121.45445770000001"/>
    <x v="14"/>
    <x v="0"/>
    <n v="0"/>
  </r>
  <r>
    <s v="Cloudline Provisions 82362 :  5399 FRUITRIDGE RD, SACRAMENTO, CA"/>
    <x v="149"/>
    <x v="0"/>
    <n v="50588.018746491216"/>
    <n v="38.52516713"/>
    <n v="-121.44304889999999"/>
    <x v="14"/>
    <x v="0"/>
    <n v="0"/>
  </r>
  <r>
    <s v="Cloudline Provisions 82450 :  2701 ORCHARD LN, SACRAMENTO, CA"/>
    <x v="150"/>
    <x v="0"/>
    <n v="50588.018746491216"/>
    <n v="38.613510159999997"/>
    <n v="-121.5302946"/>
    <x v="14"/>
    <x v="0"/>
    <n v="0"/>
  </r>
  <r>
    <s v="Cloudline Provisions 82538 :  3800 47TH AVE, SACRAMENTO, CA"/>
    <x v="151"/>
    <x v="0"/>
    <n v="50588.018746491216"/>
    <n v="38.510172869999998"/>
    <n v="-121.46405"/>
    <x v="14"/>
    <x v="0"/>
    <n v="1"/>
  </r>
  <r>
    <s v="Cloudline Provisions 82675 :  4000 NORWOOD AVE, SACRAMENTO, CA"/>
    <x v="152"/>
    <x v="0"/>
    <n v="50588.018746491216"/>
    <n v="38.640502499999997"/>
    <n v="-121.4567344"/>
    <x v="14"/>
    <x v="0"/>
    <n v="1"/>
  </r>
  <r>
    <s v="Cloudline Provisions 82749 :  8880 FRUITRIDGE RD, SACRAMENTO, CA"/>
    <x v="153"/>
    <x v="0"/>
    <n v="50588.018746491216"/>
    <n v="38.525072870000002"/>
    <n v="-121.37132"/>
    <x v="14"/>
    <x v="0"/>
    <n v="0"/>
  </r>
  <r>
    <s v="Cloudline Provisions 82812 :  2200 EL CAMINO AVE, SACRAMENTO, CA"/>
    <x v="154"/>
    <x v="0"/>
    <n v="50588.018746491216"/>
    <n v="38.625410000000002"/>
    <n v="-121.38473999999999"/>
    <x v="14"/>
    <x v="0"/>
    <n v="1"/>
  </r>
  <r>
    <s v="Cloudline Provisions 82821 :  2225 W 16ST ST, SACRAMENTO, CA"/>
    <x v="155"/>
    <x v="0"/>
    <n v="50588.018746491216"/>
    <n v="38.56409515"/>
    <n v="-121.4911065"/>
    <x v="14"/>
    <x v="0"/>
    <n v="1"/>
  </r>
  <r>
    <s v="Cloudline Provisions 82973 :  3501 NORTHGATE BLVD, SACRAMENTO, CA"/>
    <x v="156"/>
    <x v="0"/>
    <n v="50588.018746491216"/>
    <n v="38.629640000000002"/>
    <n v="-121.4758255"/>
    <x v="14"/>
    <x v="0"/>
    <n v="1"/>
  </r>
  <r>
    <s v="Cloudline Provisions 82975 :  4747 NORTHGATE BLVD, SACRAMENTO, CA"/>
    <x v="157"/>
    <x v="0"/>
    <n v="50588.018746491216"/>
    <n v="38.654727010000002"/>
    <n v="-121.4782742"/>
    <x v="14"/>
    <x v="0"/>
    <n v="1"/>
  </r>
  <r>
    <s v="Cloudline Provisions 83059 :  6100 AIRPORT BLVD, SACRAMENTO, CA"/>
    <x v="158"/>
    <x v="0"/>
    <n v="50588.018746491216"/>
    <n v="38.676893659999998"/>
    <n v="-121.59066559999999"/>
    <x v="14"/>
    <x v="0"/>
    <n v="1"/>
  </r>
  <r>
    <s v="Cloudline Provisions 83080 :  6698 MACK RD, SACRAMENTO, CA"/>
    <x v="159"/>
    <x v="0"/>
    <n v="50588.018746491216"/>
    <n v="38.474042879999999"/>
    <n v="-121.4260476"/>
    <x v="14"/>
    <x v="0"/>
    <n v="1"/>
  </r>
  <r>
    <s v="Cloudline Provisions 83191 :  2838 J ST, SACRAMENTO, CA"/>
    <x v="160"/>
    <x v="0"/>
    <n v="50588.018746491216"/>
    <n v="38.573357870000002"/>
    <n v="-121.46796689999999"/>
    <x v="14"/>
    <x v="0"/>
    <n v="1"/>
  </r>
  <r>
    <s v="Cloudline Provisions 83193 :  8100 GERBER RD, SACRAMENTO, CA"/>
    <x v="161"/>
    <x v="0"/>
    <n v="50588.018746491216"/>
    <n v="38.481482870000001"/>
    <n v="-121.40868"/>
    <x v="14"/>
    <x v="0"/>
    <n v="0"/>
  </r>
  <r>
    <s v="Cloudline Provisions 83238 :  1949 ARDEN WAY, SACRAMENTO, CA"/>
    <x v="162"/>
    <x v="0"/>
    <n v="50588.018746491216"/>
    <n v="38.597123199999999"/>
    <n v="-121.42122449999999"/>
    <x v="14"/>
    <x v="0"/>
    <n v="0"/>
  </r>
  <r>
    <s v="Cloudline Provisions 83438 :  3501 FAIR OAKS BLVD, SACRAMENTO, CA"/>
    <x v="163"/>
    <x v="0"/>
    <n v="50588.018746491216"/>
    <n v="38.574302869999997"/>
    <n v="-121.3829934"/>
    <x v="14"/>
    <x v="0"/>
    <n v="0"/>
  </r>
  <r>
    <s v="Cloudline Provisions 83555 :  2933 65TH ST, SACRAMENTO, CA"/>
    <x v="164"/>
    <x v="0"/>
    <n v="50588.018746491216"/>
    <n v="38.547904389999999"/>
    <n v="-121.4276515"/>
    <x v="14"/>
    <x v="0"/>
    <n v="1"/>
  </r>
  <r>
    <s v="Cloudline Provisions 83666 :  1391 FLORIN RD, SACRAMENTO, CA"/>
    <x v="165"/>
    <x v="0"/>
    <n v="50588.018746491216"/>
    <n v="38.495877129999997"/>
    <n v="-121.50373999999999"/>
    <x v="14"/>
    <x v="0"/>
    <n v="0"/>
  </r>
  <r>
    <s v="Cloudline Provisions 83689 :  4700 MADISON AVE, SACRAMENTO, CA"/>
    <x v="166"/>
    <x v="0"/>
    <n v="50588.018746491216"/>
    <n v="38.660772899999998"/>
    <n v="-121.3551538"/>
    <x v="14"/>
    <x v="0"/>
    <n v="0"/>
  </r>
  <r>
    <s v="Cloudline Provisions 83939 :  5625 FLORION RD, SACRAMENTO, CA"/>
    <x v="167"/>
    <x v="0"/>
    <n v="50588.018746491216"/>
    <n v="38.496342980000001"/>
    <n v="-121.4403047"/>
    <x v="14"/>
    <x v="0"/>
    <n v="1"/>
  </r>
  <r>
    <s v="Cloudline Provisions 83940 :  300 EL CAMINO AVE, SACRAMENTO, CA"/>
    <x v="168"/>
    <x v="0"/>
    <n v="50588.018746491216"/>
    <n v="38.605699999999999"/>
    <n v="-121.44364"/>
    <x v="14"/>
    <x v="0"/>
    <n v="0"/>
  </r>
  <r>
    <s v="Cactus &amp; Clover 501 :  6231 FRUITRIDGE RD, SACRAMENTO, CA"/>
    <x v="169"/>
    <x v="0"/>
    <n v="50588.018746491216"/>
    <n v="38.525203189999999"/>
    <n v="-121.4320653"/>
    <x v="14"/>
    <x v="0"/>
    <n v="1"/>
  </r>
  <r>
    <s v="Cactus &amp; Clover 502 :  4320 ARDEN WAY, SACRAMENTO, CA"/>
    <x v="170"/>
    <x v="0"/>
    <n v="50588.018746491216"/>
    <n v="38.595382870000002"/>
    <n v="-121.36366"/>
    <x v="14"/>
    <x v="0"/>
    <n v="0"/>
  </r>
  <r>
    <s v="Cactus &amp; Clover 506 :  1301 FLORIN RD, SACRAMENTO, CA"/>
    <x v="171"/>
    <x v="0"/>
    <n v="50588.018746491216"/>
    <n v="38.495791230000002"/>
    <n v="-121.509114"/>
    <x v="14"/>
    <x v="0"/>
    <n v="0"/>
  </r>
  <r>
    <s v="Cactus &amp; Clover 510 :  1540 W EL CAMINO AVE, SACRAMENTO, CA"/>
    <x v="172"/>
    <x v="0"/>
    <n v="50588.018746491216"/>
    <n v="38.614879999999999"/>
    <n v="-121.51416"/>
    <x v="14"/>
    <x v="0"/>
    <n v="1"/>
  </r>
  <r>
    <s v="Cactus &amp; Clover 514 :  7465 RUSH RIVER DR, SACRAMENTO, CA"/>
    <x v="173"/>
    <x v="0"/>
    <n v="50588.018746491216"/>
    <n v="38.48652225"/>
    <n v="-121.53654040000001"/>
    <x v="14"/>
    <x v="0"/>
    <n v="1"/>
  </r>
  <r>
    <s v="Cactus &amp; Clover 528 :  3250 ARENA BLVD, SACRAMENTO, CA"/>
    <x v="174"/>
    <x v="0"/>
    <n v="50588.018746491216"/>
    <n v="38.642822870000003"/>
    <n v="-121.53292519999999"/>
    <x v="14"/>
    <x v="0"/>
    <n v="1"/>
  </r>
  <r>
    <s v="Penny’s Pantry 550111 :  3920 FRUITRIDGE RD, SACRAMENTO, CA"/>
    <x v="175"/>
    <x v="0"/>
    <n v="50588.018746491216"/>
    <n v="38.524799870000002"/>
    <n v="-121.4624104"/>
    <x v="14"/>
    <x v="0"/>
    <n v="0"/>
  </r>
  <r>
    <s v="Penny’s Pantry 550135 :  5764 ANTELOPE RD, SACRAMENTO, CA"/>
    <x v="176"/>
    <x v="0"/>
    <n v="50588.018746491216"/>
    <n v="38.704593029999998"/>
    <n v="-121.3274457"/>
    <x v="14"/>
    <x v="0"/>
    <n v="0"/>
  </r>
  <r>
    <s v="Penny’s Pantry 550139 :  1290 FULTON AVE, SACRAMENTO, CA"/>
    <x v="177"/>
    <x v="0"/>
    <n v="50588.018746491216"/>
    <n v="38.588611999999998"/>
    <n v="-121.4012546"/>
    <x v="14"/>
    <x v="0"/>
    <n v="0"/>
  </r>
  <r>
    <s v="Penny’s Pantry 550162 :  8500 FLORIN RD, SACRAMENTO, CA"/>
    <x v="178"/>
    <x v="0"/>
    <n v="50588.018746491216"/>
    <n v="38.495942890000002"/>
    <n v="-121.39049319999999"/>
    <x v="14"/>
    <x v="0"/>
    <n v="0"/>
  </r>
  <r>
    <s v="Penny’s Pantry 551096 :  3296 MARYSVILLE BLVD, SACRAMENTO, CA"/>
    <x v="179"/>
    <x v="0"/>
    <n v="50588.018746491216"/>
    <n v="38.628700690000002"/>
    <n v="-121.4315423"/>
    <x v="14"/>
    <x v="0"/>
    <n v="0"/>
  </r>
  <r>
    <s v="Gusty Grove 464 :  3860 FLORIN RD, SACRAMENTO, CA"/>
    <x v="180"/>
    <x v="0"/>
    <n v="50588.018746491216"/>
    <n v="38.49585287"/>
    <n v="-121.4619416"/>
    <x v="14"/>
    <x v="0"/>
    <n v="1"/>
  </r>
  <r>
    <s v="Gusty Grove 488 :  3291 TRUXEL RD, SACRAMENTO, CA"/>
    <x v="181"/>
    <x v="0"/>
    <n v="50588.018746491216"/>
    <n v="38.627212569999998"/>
    <n v="-121.4981635"/>
    <x v="14"/>
    <x v="0"/>
    <n v="1"/>
  </r>
  <r>
    <s v="Hatch &amp; Harvest 355 :  3625 NGATE BLVD, SACRAMENTO, CA"/>
    <x v="182"/>
    <x v="0"/>
    <n v="50588.018746491216"/>
    <n v="38.643329999999999"/>
    <n v="-121.52281000000001"/>
    <x v="14"/>
    <x v="0"/>
    <n v="1"/>
  </r>
  <r>
    <s v="Hatch &amp; Harvest 371 :  8122 GERBER RD, SACRAMENTO, CA"/>
    <x v="183"/>
    <x v="0"/>
    <n v="50588.018746491216"/>
    <n v="38.481482870000001"/>
    <n v="-121.40745"/>
    <x v="14"/>
    <x v="0"/>
    <n v="0"/>
  </r>
  <r>
    <s v="Hatch &amp; Harvest 501 :  5330 STOCKTON BLVD, SACRAMENTO, CA"/>
    <x v="184"/>
    <x v="0"/>
    <n v="50588.018746491216"/>
    <n v="38.527221009999998"/>
    <n v="-121.44380580000001"/>
    <x v="14"/>
    <x v="0"/>
    <n v="0"/>
  </r>
  <r>
    <s v="Hatch &amp; Harvest 532 :  7421 W STOCKTON BLVD, SACRAMENTO, CA"/>
    <x v="185"/>
    <x v="0"/>
    <n v="50588.018746491216"/>
    <n v="38.455533619999997"/>
    <n v="-121.4159081"/>
    <x v="14"/>
    <x v="0"/>
    <n v="1"/>
  </r>
  <r>
    <s v="Flicker’s Finds 415 :  4690 FREEPORT BLVD, SACRAMENTO, CA"/>
    <x v="186"/>
    <x v="0"/>
    <n v="50588.018746491216"/>
    <n v="38.53253093"/>
    <n v="-121.4948509"/>
    <x v="14"/>
    <x v="0"/>
    <n v="0"/>
  </r>
  <r>
    <s v="Flicker’s Finds 416 :  3518 MARCONI AVE, SACRAMENTO, CA"/>
    <x v="187"/>
    <x v="0"/>
    <n v="50588.018746491216"/>
    <n v="38.61760005"/>
    <n v="-121.3819032"/>
    <x v="14"/>
    <x v="0"/>
    <n v="0"/>
  </r>
  <r>
    <s v="Flicker’s Finds 420 :  8391 FOLSOM BLVD, SACRAMENTO, CA"/>
    <x v="188"/>
    <x v="0"/>
    <n v="50588.018746491216"/>
    <n v="38.547295179999999"/>
    <n v="-121.39421230000001"/>
    <x v="14"/>
    <x v="0"/>
    <n v="1"/>
  </r>
  <r>
    <s v="Flicker’s Finds 435 :  2075 FAIR OAKS BLVD, SACRAMENTO, CA"/>
    <x v="189"/>
    <x v="0"/>
    <n v="50588.018746491216"/>
    <n v="38.5737971"/>
    <n v="-121.4165089"/>
    <x v="14"/>
    <x v="0"/>
    <n v="0"/>
  </r>
  <r>
    <s v="Flicker’s Finds 447 :  4650 NATOMAS BLVD, SACRAMENTO, CA"/>
    <x v="190"/>
    <x v="0"/>
    <n v="50588.018746491216"/>
    <n v="38.657340920000003"/>
    <n v="-121.51179260000001"/>
    <x v="14"/>
    <x v="0"/>
    <n v="1"/>
  </r>
  <r>
    <s v="Willow &amp; Wren Apothecary 6081 :  9133 KIEFER BLVD, SACRAMENTO, CA"/>
    <x v="191"/>
    <x v="0"/>
    <n v="50588.018746491216"/>
    <n v="38.547397099999998"/>
    <n v="-121.3608838"/>
    <x v="14"/>
    <x v="0"/>
    <n v="0"/>
  </r>
  <r>
    <s v="Willow &amp; Wren Apothecary 6083 :  7860 GERBER RD, SACRAMENTO, CA"/>
    <x v="192"/>
    <x v="0"/>
    <n v="50588.018746491216"/>
    <n v="38.481482870000001"/>
    <n v="-121.4111338"/>
    <x v="14"/>
    <x v="0"/>
    <n v="0"/>
  </r>
  <r>
    <s v="Willow &amp; Wren Apothecary 6084 :  980 FLORIN RD, SACRAMENTO, CA"/>
    <x v="193"/>
    <x v="0"/>
    <n v="50588.018746491216"/>
    <n v="38.495554749999997"/>
    <n v="-121.522854"/>
    <x v="14"/>
    <x v="0"/>
    <n v="0"/>
  </r>
  <r>
    <s v="Willow &amp; Wren Apothecary 6228 :  4221 NORWOOD AVE, SACRAMENTO, CA"/>
    <x v="194"/>
    <x v="0"/>
    <n v="50588.018746491216"/>
    <n v="38.644642560000001"/>
    <n v="-121.4570726"/>
    <x v="14"/>
    <x v="0"/>
    <n v="0"/>
  </r>
  <r>
    <s v="Willow &amp; Wren Apothecary 6403 :  4241 MARCONI AVE, SACRAMENTO, CA"/>
    <x v="195"/>
    <x v="0"/>
    <n v="50588.018746491216"/>
    <n v="38.61774484"/>
    <n v="-121.3656826"/>
    <x v="14"/>
    <x v="0"/>
    <n v="0"/>
  </r>
  <r>
    <s v="Willow &amp; Wren Apothecary 6448 :  2751 DEL PASO RD, SACRAMENTO, CA"/>
    <x v="196"/>
    <x v="0"/>
    <n v="50588.018746491216"/>
    <n v="38.656127130000002"/>
    <n v="-121.52325"/>
    <x v="14"/>
    <x v="0"/>
    <n v="0"/>
  </r>
  <r>
    <s v="Willow &amp; Wren Apothecary 6520 :  4830 J ST, SACRAMENTO, CA"/>
    <x v="197"/>
    <x v="0"/>
    <n v="50588.018746491216"/>
    <n v="38.566815839999997"/>
    <n v="-121.4434712"/>
    <x v="14"/>
    <x v="0"/>
    <n v="0"/>
  </r>
  <r>
    <s v="Haven Hearth Goods 1289 :  8377 ELK GROVE FLORIN RD, SACRAMENTO, CA"/>
    <x v="198"/>
    <x v="0"/>
    <n v="50588.018746491216"/>
    <n v="38.45349401"/>
    <n v="-121.3714524"/>
    <x v="14"/>
    <x v="0"/>
    <n v="1"/>
  </r>
  <r>
    <s v="Haven Hearth Goods 1530 :  3320 ARDEN WAY, SACRAMENTO, CA"/>
    <x v="199"/>
    <x v="0"/>
    <n v="50588.018746491216"/>
    <n v="38.595634279999999"/>
    <n v="-121.3862136"/>
    <x v="14"/>
    <x v="0"/>
    <n v="1"/>
  </r>
  <r>
    <s v="Haven Hearth Goods 190 :  424 HOWE AVE, SACRAMENTO, CA"/>
    <x v="200"/>
    <x v="0"/>
    <n v="50588.018746491216"/>
    <n v="38.572594209999998"/>
    <n v="-121.4138375"/>
    <x v="14"/>
    <x v="0"/>
    <n v="1"/>
  </r>
  <r>
    <s v="Haven Hearth Goods 2242 :  1025 ALHAMBRA BLVD, SACRAMENTO, CA"/>
    <x v="201"/>
    <x v="0"/>
    <n v="50588.018746491216"/>
    <n v="38.572213699999999"/>
    <n v="-121.4653014"/>
    <x v="14"/>
    <x v="0"/>
    <n v="1"/>
  </r>
  <r>
    <s v="Haven Hearth Goods 2263 :  5345 ELKHORN BLVD, SACRAMENTO, CA"/>
    <x v="202"/>
    <x v="0"/>
    <n v="50588.018746491216"/>
    <n v="38.685657329999998"/>
    <n v="-121.340234"/>
    <x v="14"/>
    <x v="0"/>
    <n v="1"/>
  </r>
  <r>
    <s v="Haven Hearth Goods 2684 :  1814 19TH ST, SACRAMENTO, CA"/>
    <x v="203"/>
    <x v="0"/>
    <n v="50588.018746491216"/>
    <n v="38.567735499999998"/>
    <n v="-121.4854504"/>
    <x v="14"/>
    <x v="0"/>
    <n v="1"/>
  </r>
  <r>
    <s v="Haven Hearth Goods 2697 :  2851 DEL PASO RD, SACRAMENTO, CA"/>
    <x v="204"/>
    <x v="0"/>
    <n v="50588.018746491216"/>
    <n v="38.656117119999998"/>
    <n v="-121.5243426"/>
    <x v="14"/>
    <x v="0"/>
    <n v="1"/>
  </r>
  <r>
    <s v="Haven Hearth Goods 3013 :  3680 CROCKER DR, SACRAMENTO, CA"/>
    <x v="205"/>
    <x v="0"/>
    <n v="50588.018746491216"/>
    <n v="38.54097582"/>
    <n v="-121.4822911"/>
    <x v="14"/>
    <x v="0"/>
    <n v="1"/>
  </r>
  <r>
    <s v="Dune &amp; Drift Market 619 :  7960 GERBER RD, SACRAMENTO, CA"/>
    <x v="206"/>
    <x v="0"/>
    <n v="50588.018746491216"/>
    <n v="38.481482870000001"/>
    <n v="-121.4104313"/>
    <x v="14"/>
    <x v="0"/>
    <n v="0"/>
  </r>
  <r>
    <s v="Dune &amp; Drift Market 622 :  5600 FOLSOM BLVD, SACRAMENTO, CA"/>
    <x v="207"/>
    <x v="0"/>
    <n v="50588.018746491216"/>
    <n v="38.558313200000001"/>
    <n v="-121.4381368"/>
    <x v="14"/>
    <x v="0"/>
    <n v="1"/>
  </r>
  <r>
    <s v="Dune &amp; Drift Market 623 :  9137 KIEFER BLVD, SACRAMENTO, CA"/>
    <x v="208"/>
    <x v="0"/>
    <n v="50588.018746491216"/>
    <n v="38.547403099999997"/>
    <n v="-121.3606078"/>
    <x v="14"/>
    <x v="0"/>
    <n v="1"/>
  </r>
  <r>
    <s v="Dune &amp; Drift Market 625 :  2501 FAIROAKS BLVD, SACRAMENTO, CA"/>
    <x v="209"/>
    <x v="0"/>
    <n v="50588.018746491216"/>
    <n v="38.574467759999997"/>
    <n v="-121.4039054"/>
    <x v="14"/>
    <x v="0"/>
    <n v="1"/>
  </r>
  <r>
    <s v="Glowstone Supplies 43061 :  2281 EL CAMINO AVE, SACRAMENTO, CA"/>
    <x v="210"/>
    <x v="0"/>
    <n v="50588.018746491216"/>
    <n v="38.625410000000002"/>
    <n v="-121.38473999999999"/>
    <x v="14"/>
    <x v="0"/>
    <n v="0"/>
  </r>
  <r>
    <s v="Glowstone Supplies 43092 :  2650 GATEWAY OAKS DR, SACRAMENTO, CA"/>
    <x v="211"/>
    <x v="0"/>
    <n v="50588.018746491216"/>
    <n v="38.613108150000002"/>
    <n v="-121.51671090000001"/>
    <x v="14"/>
    <x v="0"/>
    <n v="0"/>
  </r>
  <r>
    <s v="Glowstone Supplies 46790 :  2600 ARDEN WAY, SACRAMENTO, CA"/>
    <x v="212"/>
    <x v="0"/>
    <n v="50588.018746491216"/>
    <n v="38.595822869999999"/>
    <n v="-121.40142"/>
    <x v="14"/>
    <x v="0"/>
    <n v="0"/>
  </r>
  <r>
    <s v="Bramble &amp; Co. 3384 :  1707 J ST, SACRAMENTO, CA"/>
    <x v="213"/>
    <x v="0"/>
    <n v="50588.018746491216"/>
    <n v="38.577752879999998"/>
    <n v="-121.4833467"/>
    <x v="14"/>
    <x v="0"/>
    <n v="0"/>
  </r>
  <r>
    <s v="Maplewood Mercantile 1527 :  8101 COSUMNES RIVER BLVD, SACRAMENTO, CA"/>
    <x v="214"/>
    <x v="0"/>
    <n v="50588.018746491216"/>
    <n v="38.457446779999998"/>
    <n v="-121.4142775"/>
    <x v="14"/>
    <x v="0"/>
    <n v="1"/>
  </r>
  <r>
    <s v="Maplewood Mercantile 2115 :  3601 N FREEWAY BLVD, SACRAMENTO, CA"/>
    <x v="215"/>
    <x v="0"/>
    <n v="50588.018746491216"/>
    <n v="38.639957129999999"/>
    <n v="-121.49963"/>
    <x v="14"/>
    <x v="0"/>
    <n v="1"/>
  </r>
  <r>
    <s v="Maplewood Mercantile 2492 :  6507 4TH AVE, SACRAMENTO, CA"/>
    <x v="216"/>
    <x v="0"/>
    <n v="50588.018746491216"/>
    <n v="38.548497130000001"/>
    <n v="-121.4265072"/>
    <x v="14"/>
    <x v="0"/>
    <n v="1"/>
  </r>
  <r>
    <s v="Maplewood Mercantile 310 :  2505 RIVERSIDE BLVD, SACRAMENTO, CA"/>
    <x v="217"/>
    <x v="0"/>
    <n v="50588.018746491216"/>
    <n v="38.563022789999998"/>
    <n v="-121.4983428"/>
    <x v="14"/>
    <x v="0"/>
    <n v="1"/>
  </r>
  <r>
    <s v="Maplewood Mercantile 311 :  5001 MADISON AVE, SACRAMENTO, CA"/>
    <x v="218"/>
    <x v="0"/>
    <n v="50588.018746491216"/>
    <n v="38.661107129999998"/>
    <n v="-121.34919840000001"/>
    <x v="14"/>
    <x v="0"/>
    <n v="1"/>
  </r>
  <r>
    <s v="Maplewood Mercantile 312 :  1919 FULTON AVE, SACRAMENTO, CA"/>
    <x v="219"/>
    <x v="0"/>
    <n v="50588.018746491216"/>
    <n v="38.600403999999997"/>
    <n v="-121.40171549999999"/>
    <x v="14"/>
    <x v="0"/>
    <n v="1"/>
  </r>
  <r>
    <s v="Pebble &amp; Pine Pharmacy 10114 :  3521 DEL PASO RD, SACRAMENTO, CA"/>
    <x v="220"/>
    <x v="0"/>
    <n v="50588.018746491216"/>
    <n v="38.655917119999998"/>
    <n v="-121.5414127"/>
    <x v="14"/>
    <x v="0"/>
    <n v="0"/>
  </r>
  <r>
    <s v="Pebble &amp; Pine Pharmacy 10716 :  250 FLORIN RD, SACRAMENTO, CA"/>
    <x v="221"/>
    <x v="0"/>
    <n v="50588.018746491216"/>
    <n v="38.509352560000004"/>
    <n v="-121.5426842"/>
    <x v="14"/>
    <x v="0"/>
    <n v="0"/>
  </r>
  <r>
    <s v="Pebble &amp; Pine Pharmacy 11262 :  840 EL CAMINO AVE, SACRAMENTO, CA"/>
    <x v="29"/>
    <x v="0"/>
    <n v="50588.018746491216"/>
    <n v="38.605699999999999"/>
    <n v="-121.44364"/>
    <x v="14"/>
    <x v="0"/>
    <n v="0"/>
  </r>
  <r>
    <s v="Pebble &amp; Pine Pharmacy 4136 :  1919 FRUITRIDGE RD, SACRAMENTO, CA"/>
    <x v="222"/>
    <x v="0"/>
    <n v="50588.018746491216"/>
    <n v="38.524907130000003"/>
    <n v="-121.495825"/>
    <x v="14"/>
    <x v="0"/>
    <n v="0"/>
  </r>
  <r>
    <s v="Pebble &amp; Pine Pharmacy 4170 :  4200 ARDEN WAY, SACRAMENTO, CA"/>
    <x v="223"/>
    <x v="0"/>
    <n v="50588.018746491216"/>
    <n v="38.595412899999999"/>
    <n v="-121.3659038"/>
    <x v="14"/>
    <x v="0"/>
    <n v="0"/>
  </r>
  <r>
    <s v="Pebble &amp; Pine Pharmacy 5036 :  4495 MACK RD, SACRAMENTO, CA"/>
    <x v="224"/>
    <x v="0"/>
    <n v="50588.018746491216"/>
    <n v="38.47453608"/>
    <n v="-121.4508709"/>
    <x v="14"/>
    <x v="0"/>
    <n v="0"/>
  </r>
  <r>
    <s v="Pebble &amp; Pine Pharmacy 5374 :  2900 STOCKTON BLVD, SACRAMENTO, CA"/>
    <x v="225"/>
    <x v="0"/>
    <n v="50588.018746491216"/>
    <n v="38.548052689999999"/>
    <n v="-121.4545068"/>
    <x v="14"/>
    <x v="0"/>
    <n v="0"/>
  </r>
  <r>
    <s v="Pebble &amp; Pine Pharmacy 5500 :  4331 ANTELOPE RD, SACRAMENTO, CA"/>
    <x v="226"/>
    <x v="0"/>
    <n v="50588.018746491216"/>
    <n v="38.704067129999999"/>
    <n v="-121.3630433"/>
    <x v="14"/>
    <x v="0"/>
    <n v="0"/>
  </r>
  <r>
    <s v="Pebble &amp; Pine Pharmacy 6193 :  2201 ARDEN WAY, SACRAMENTO, CA"/>
    <x v="29"/>
    <x v="0"/>
    <n v="50588.018746491216"/>
    <n v="38.596357130000001"/>
    <n v="-121.41522999999999"/>
    <x v="14"/>
    <x v="0"/>
    <n v="0"/>
  </r>
  <r>
    <s v="Pebble &amp; Pine Pharmacy 6613 :  1401 BROADWAY, SACRAMENTO, CA"/>
    <x v="227"/>
    <x v="0"/>
    <n v="50588.018746491216"/>
    <n v="38.562482490000001"/>
    <n v="-121.49495469999999"/>
    <x v="14"/>
    <x v="0"/>
    <n v="0"/>
  </r>
  <r>
    <s v="Pebble &amp; Pine Pharmacy 6706 :  7155 24TH ST, SACRAMENTO, CA"/>
    <x v="228"/>
    <x v="0"/>
    <n v="50588.018746491216"/>
    <n v="38.496462860000001"/>
    <n v="-121.4825048"/>
    <x v="14"/>
    <x v="0"/>
    <n v="0"/>
  </r>
  <r>
    <s v="Mr Fantastic's Emporium 32267 :  10998 STATE HIGHWAY 9, BRECKENRIDGE, CO"/>
    <x v="229"/>
    <x v="1"/>
    <n v="65711.239166666681"/>
    <n v="39.494226849999997"/>
    <n v="-106.0454625"/>
    <x v="15"/>
    <x v="1"/>
    <n v="1"/>
  </r>
  <r>
    <s v="Echo Stop Supplies 430 :  400 N PKWY, BRECKENRIDGE, CO"/>
    <x v="230"/>
    <x v="1"/>
    <n v="65711.239166666681"/>
    <n v="39.470930000000003"/>
    <n v="-106.01689"/>
    <x v="15"/>
    <x v="1"/>
    <n v="1"/>
  </r>
  <r>
    <s v="Echo Stop Supplies 420 :  300 DILLON RIDGE RD, DILLON, CO"/>
    <x v="231"/>
    <x v="1"/>
    <n v="65711.239166666681"/>
    <n v="39.630274810000003"/>
    <n v="-106.0565874"/>
    <x v="16"/>
    <x v="1"/>
    <n v="1"/>
  </r>
  <r>
    <s v="Pebble &amp; Pine Pharmacy 11326 :  269 DILLON RIDGE RD, DILLON, CO"/>
    <x v="232"/>
    <x v="1"/>
    <n v="65711.239166666681"/>
    <n v="39.630003590000001"/>
    <n v="-106.05772109999999"/>
    <x v="16"/>
    <x v="1"/>
    <n v="0"/>
  </r>
  <r>
    <s v="Mr Fantastic's Emporium 17284 :  741 N SMT, FRISCO, CO"/>
    <x v="233"/>
    <x v="1"/>
    <n v="65711.239166666681"/>
    <n v="39.498649999999998"/>
    <n v="-106.16679000000001"/>
    <x v="17"/>
    <x v="1"/>
    <n v="0"/>
  </r>
  <r>
    <s v="Bluebell Bazaar 2740633 :  1012 SUMMIT RD, FRISCO, CO"/>
    <x v="234"/>
    <x v="1"/>
    <n v="65711.239166666681"/>
    <n v="39.589377900000002"/>
    <n v="-106.095412"/>
    <x v="17"/>
    <x v="1"/>
    <n v="0"/>
  </r>
  <r>
    <s v="Penny’s Pantry 750048 :  201 W MAIN ST, FRISCO, CO"/>
    <x v="235"/>
    <x v="1"/>
    <n v="65711.239166666681"/>
    <n v="39.57537859"/>
    <n v="-106.106754"/>
    <x v="17"/>
    <x v="1"/>
    <n v="0"/>
  </r>
  <r>
    <s v="Haven Hearth Goods 836 :  1008 N SUMMIT BLVD, FRISCO, CO"/>
    <x v="236"/>
    <x v="1"/>
    <n v="65711.239166666681"/>
    <n v="39.589341900000001"/>
    <n v="-106.0954067"/>
    <x v="17"/>
    <x v="1"/>
    <n v="1"/>
  </r>
  <r>
    <s v="Mr Fantastic's Emporium 23963 :  201 BLUE RIVER PKWY, SILVERTHORNE, CO"/>
    <x v="237"/>
    <x v="1"/>
    <n v="65711.239166666681"/>
    <n v="39.628949900000002"/>
    <n v="-106.0712363"/>
    <x v="18"/>
    <x v="1"/>
    <n v="0"/>
  </r>
  <r>
    <s v="Mr Fantastic's Emporium 39033 :  120 BLUE RIVER PKWY, SILVERTHORNE, CO"/>
    <x v="238"/>
    <x v="1"/>
    <n v="65711.239166666681"/>
    <n v="39.629022210000002"/>
    <n v="-106.0691815"/>
    <x v="18"/>
    <x v="1"/>
    <n v="1"/>
  </r>
  <r>
    <s v="Mr Fantastic's Emporium 39853 :  180 STEPHENS WAY, SILVERTHORNE, CO"/>
    <x v="239"/>
    <x v="1"/>
    <n v="65711.239166666681"/>
    <n v="39.627207370000001"/>
    <n v="-106.0710155"/>
    <x v="18"/>
    <x v="1"/>
    <n v="0"/>
  </r>
  <r>
    <s v="Maplewood Mercantile 1525 :  715 BLUE RIVER PKWY, SILVERTHORNE, CO"/>
    <x v="240"/>
    <x v="1"/>
    <n v="65711.239166666681"/>
    <n v="39.636927909999997"/>
    <n v="-106.0765165"/>
    <x v="18"/>
    <x v="1"/>
    <n v="0"/>
  </r>
  <r>
    <s v="Bluebell Bazaar 2706671 :  39414 N DAISY MOUNTAIN DR, ANTHEM, AZ"/>
    <x v="241"/>
    <x v="2"/>
    <n v="55993.991594411818"/>
    <n v="33.842823709999998"/>
    <n v="-112.13825540000001"/>
    <x v="19"/>
    <x v="2"/>
    <n v="1"/>
  </r>
  <r>
    <s v="Bluebell Bazaar 2709189 :  3502 W ANTHEM WAY, ANTHEM, AZ"/>
    <x v="242"/>
    <x v="2"/>
    <n v="55993.991594411818"/>
    <n v="33.865234460000003"/>
    <n v="-112.1352919"/>
    <x v="19"/>
    <x v="2"/>
    <n v="1"/>
  </r>
  <r>
    <s v="Bluebell Bazaar 2709192 :  4135 W ANTHEM WAY, ANTHEM, AZ"/>
    <x v="243"/>
    <x v="2"/>
    <n v="55993.991594411818"/>
    <n v="33.87088619"/>
    <n v="-112.14929739999999"/>
    <x v="19"/>
    <x v="2"/>
    <n v="1"/>
  </r>
  <r>
    <s v="Haven Hearth Goods 3334 :  3655 W ANTHEM WAY, ANTHEM, AZ"/>
    <x v="244"/>
    <x v="2"/>
    <n v="55993.991594411818"/>
    <n v="33.866203939999998"/>
    <n v="-112.13784769999999"/>
    <x v="19"/>
    <x v="2"/>
    <n v="0"/>
  </r>
  <r>
    <s v="Pebble &amp; Pine Pharmacy 7516 :  2411 W ANTHEM WAY, ANTHEM, AZ"/>
    <x v="245"/>
    <x v="2"/>
    <n v="55993.991594411818"/>
    <n v="33.859399779999997"/>
    <n v="-112.1115203"/>
    <x v="19"/>
    <x v="2"/>
    <n v="0"/>
  </r>
  <r>
    <s v="Rusty Cart Grocers 83 :  323 E MAIN ST, AVONDALE, AZ"/>
    <x v="246"/>
    <x v="2"/>
    <n v="55993.991594411818"/>
    <n v="33.431132329999997"/>
    <n v="-112.34574259999999"/>
    <x v="20"/>
    <x v="2"/>
    <n v="0"/>
  </r>
  <r>
    <s v="Rusty Cart Grocers 93 :  1450 N DYSART RD, AVONDALE, AZ"/>
    <x v="247"/>
    <x v="2"/>
    <n v="55993.991594411818"/>
    <n v="33.449143329999998"/>
    <n v="-112.3412644"/>
    <x v="20"/>
    <x v="2"/>
    <n v="0"/>
  </r>
  <r>
    <s v="Bluebell Bazaar 2700243 :  11025 W BUCKEYE, AVONDALE, AZ"/>
    <x v="248"/>
    <x v="2"/>
    <n v="55993.991594411818"/>
    <n v="33.435342869999999"/>
    <n v="-112.29768"/>
    <x v="20"/>
    <x v="2"/>
    <n v="0"/>
  </r>
  <r>
    <s v="Bluebell Bazaar 2700822 :  3 E MAIN ST, AVONDALE, AZ"/>
    <x v="249"/>
    <x v="2"/>
    <n v="55993.991594411818"/>
    <n v="33.429109009999998"/>
    <n v="-112.3492852"/>
    <x v="20"/>
    <x v="2"/>
    <n v="0"/>
  </r>
  <r>
    <s v="Bluebell Bazaar 2701225 :  12301 W LOWER BUCKEYE RD, AVONDALE, AZ"/>
    <x v="250"/>
    <x v="2"/>
    <n v="55993.991594411818"/>
    <n v="33.420412880000001"/>
    <n v="-112.3242723"/>
    <x v="20"/>
    <x v="2"/>
    <n v="1"/>
  </r>
  <r>
    <s v="Bluebell Bazaar 2702893 :  51 E VAN BUREN, AVONDALE, AZ"/>
    <x v="251"/>
    <x v="2"/>
    <n v="55993.991594411818"/>
    <n v="33.449702870000003"/>
    <n v="-112.34923999999999"/>
    <x v="20"/>
    <x v="2"/>
    <n v="0"/>
  </r>
  <r>
    <s v="Bluebell Bazaar 2706645 :  1595 N DYSART RD, AVONDALE, AZ"/>
    <x v="252"/>
    <x v="2"/>
    <n v="55993.991594411818"/>
    <n v="33.46416833"/>
    <n v="-112.3406856"/>
    <x v="20"/>
    <x v="2"/>
    <n v="0"/>
  </r>
  <r>
    <s v="Bluebell Bazaar 2709186 :  1595 N 115TH AVE BLVD, AVONDALE, AZ"/>
    <x v="253"/>
    <x v="2"/>
    <n v="55993.991594411818"/>
    <n v="33.463254999999997"/>
    <n v="-112.3063456"/>
    <x v="20"/>
    <x v="2"/>
    <n v="1"/>
  </r>
  <r>
    <s v="Mossy Hollow Market 112 :  1575 N DYSART RD, AVONDALE, AZ"/>
    <x v="254"/>
    <x v="2"/>
    <n v="55993.991594411818"/>
    <n v="33.46396"/>
    <n v="-112.3406856"/>
    <x v="20"/>
    <x v="2"/>
    <n v="1"/>
  </r>
  <r>
    <s v="Mossy Hollow Market 66 :  10675 W INDIAN SCHOOL RD, AVONDALE, AZ"/>
    <x v="255"/>
    <x v="2"/>
    <n v="55993.991594411818"/>
    <n v="33.493512870000004"/>
    <n v="-112.2883885"/>
    <x v="20"/>
    <x v="2"/>
    <n v="1"/>
  </r>
  <r>
    <s v="Mossy Hollow Market 89 :  11425 W BUCKEYE RD, AVONDALE, AZ"/>
    <x v="256"/>
    <x v="2"/>
    <n v="55993.991594411818"/>
    <n v="33.435292869999998"/>
    <n v="-112.30505530000001"/>
    <x v="20"/>
    <x v="2"/>
    <n v="1"/>
  </r>
  <r>
    <s v="Timberline Market 459 :  900 N 99TH AVE, AVONDALE, AZ"/>
    <x v="257"/>
    <x v="2"/>
    <n v="55993.991594411818"/>
    <n v="33.45646"/>
    <n v="-112.27278440000001"/>
    <x v="20"/>
    <x v="2"/>
    <n v="1"/>
  </r>
  <r>
    <s v="Pebble &amp; Pine Pharmacy 3387 :  10705 W INDIAN SCHOOL RD, AVONDALE, AZ"/>
    <x v="258"/>
    <x v="2"/>
    <n v="55993.991594411818"/>
    <n v="33.49345297"/>
    <n v="-112.29121859999999"/>
    <x v="20"/>
    <x v="2"/>
    <n v="0"/>
  </r>
  <r>
    <s v="Pebble &amp; Pine Pharmacy 5776 :  1451 N DYSART RD, AVONDALE, AZ"/>
    <x v="259"/>
    <x v="2"/>
    <n v="55993.991594411818"/>
    <n v="33.450293090000002"/>
    <n v="-112.3408538"/>
    <x v="20"/>
    <x v="2"/>
    <n v="0"/>
  </r>
  <r>
    <s v="Pebble &amp; Pine Pharmacy 7387 :  10710 W MCDOWELL RD, AVONDALE, AZ"/>
    <x v="260"/>
    <x v="2"/>
    <n v="55993.991594411818"/>
    <n v="33.46460501"/>
    <n v="-112.2904714"/>
    <x v="20"/>
    <x v="2"/>
    <n v="0"/>
  </r>
  <r>
    <s v="Iron Pine Outpost 56 :  21064 W MAIN ST, BUCKEYE, AZ"/>
    <x v="261"/>
    <x v="2"/>
    <n v="55993.991594411818"/>
    <n v="33.496037129999998"/>
    <n v="-112.51260910000001"/>
    <x v="21"/>
    <x v="2"/>
    <n v="0"/>
  </r>
  <r>
    <s v="Bluebell Bazaar 2700820 :  307 US HIGHWAY 85, BUCKEYE, AZ"/>
    <x v="262"/>
    <x v="2"/>
    <n v="55993.991594411818"/>
    <n v="33.372046679999997"/>
    <n v="-112.5741103"/>
    <x v="21"/>
    <x v="2"/>
    <n v="1"/>
  </r>
  <r>
    <s v="Bluebell Bazaar 2701198 :  721 N 195TH AVE, BUCKEYE, AZ"/>
    <x v="263"/>
    <x v="2"/>
    <n v="55993.991594411818"/>
    <n v="33.455350000000003"/>
    <n v="-112.47864559999999"/>
    <x v="21"/>
    <x v="2"/>
    <n v="1"/>
  </r>
  <r>
    <s v="Bluebell Bazaar 2703397 :  537 S WATSON RD, BUCKEYE, AZ"/>
    <x v="264"/>
    <x v="2"/>
    <n v="55993.991594411818"/>
    <n v="33.442078299999999"/>
    <n v="-112.5561806"/>
    <x v="21"/>
    <x v="2"/>
    <n v="1"/>
  </r>
  <r>
    <s v="Mossy Hollow Market 675 :  1300 S WATSON RD, BUCKEYE, AZ"/>
    <x v="265"/>
    <x v="2"/>
    <n v="55993.991594411818"/>
    <n v="33.434909470000001"/>
    <n v="-112.55656430000001"/>
    <x v="21"/>
    <x v="2"/>
    <n v="1"/>
  </r>
  <r>
    <s v="Mossy Hollow Market 692 :  19600 W INDIAN SCHOOL RD, BUCKEYE, AZ"/>
    <x v="266"/>
    <x v="2"/>
    <n v="55993.991594411818"/>
    <n v="33.49381984"/>
    <n v="-112.48117240000001"/>
    <x v="21"/>
    <x v="2"/>
    <n v="1"/>
  </r>
  <r>
    <s v="Crimson Ridge Depot 280 :  1610 S MILLER RD, BUCKEYE, AZ"/>
    <x v="267"/>
    <x v="2"/>
    <n v="55993.991594411818"/>
    <n v="33.430144759999997"/>
    <n v="-112.5910643"/>
    <x v="21"/>
    <x v="2"/>
    <n v="1"/>
  </r>
  <r>
    <s v="Pebble &amp; Pine Pharmacy 11470 :  25073 W SOUTHERN AVE, BUCKEYE, AZ"/>
    <x v="268"/>
    <x v="2"/>
    <n v="55993.991594411818"/>
    <n v="33.391882870000003"/>
    <n v="-112.5904125"/>
    <x v="21"/>
    <x v="2"/>
    <n v="0"/>
  </r>
  <r>
    <s v="Pebble &amp; Pine Pharmacy 9175 :  23477 W YUMA RD, BUCKEYE, AZ"/>
    <x v="269"/>
    <x v="2"/>
    <n v="55993.991594411818"/>
    <n v="33.435422869999996"/>
    <n v="-112.55564099999999"/>
    <x v="21"/>
    <x v="2"/>
    <n v="0"/>
  </r>
  <r>
    <s v="Iron Pine Outpost 66 :  36889 TOM DARLINGTON, CAREFREE, AZ"/>
    <x v="270"/>
    <x v="2"/>
    <n v="55993.991594411818"/>
    <n v="33.821057009999997"/>
    <n v="-111.9239862"/>
    <x v="22"/>
    <x v="2"/>
    <n v="0"/>
  </r>
  <r>
    <s v="Bluebell Bazaar 2705281 :  6802 E CAVE CREEK RD, CAVE CREEK, AZ"/>
    <x v="271"/>
    <x v="2"/>
    <n v="55993.991594411818"/>
    <n v="33.831825879999997"/>
    <n v="-111.93444460000001"/>
    <x v="23"/>
    <x v="2"/>
    <n v="0"/>
  </r>
  <r>
    <s v="Bluebell Bazaar 2705598 :  6210 E CAVE CREEK RD, CAVE CREEK, AZ"/>
    <x v="272"/>
    <x v="2"/>
    <n v="55993.991594411818"/>
    <n v="33.83228261"/>
    <n v="-111.9470711"/>
    <x v="23"/>
    <x v="2"/>
    <n v="0"/>
  </r>
  <r>
    <s v="Mossy Hollow Market 474 :  29455 N CAVE CREEK RD, CAVE CREEK, AZ"/>
    <x v="273"/>
    <x v="2"/>
    <n v="55993.991594411818"/>
    <n v="33.752731050000001"/>
    <n v="-111.9921712"/>
    <x v="23"/>
    <x v="2"/>
    <n v="0"/>
  </r>
  <r>
    <s v="Mossy Hollow Market 67 :  4815 E CAREFREE HWY, CAVE CREEK, AZ"/>
    <x v="274"/>
    <x v="2"/>
    <n v="55993.991594411818"/>
    <n v="33.798992869999999"/>
    <n v="-111.97714000000001"/>
    <x v="23"/>
    <x v="2"/>
    <n v="0"/>
  </r>
  <r>
    <s v="Haven Hearth Goods 1543 :  29834 N CAVE CREEK RD, CAVE CREEK, AZ"/>
    <x v="275"/>
    <x v="2"/>
    <n v="55993.991594411818"/>
    <n v="33.756968039999997"/>
    <n v="-111.9901232"/>
    <x v="23"/>
    <x v="2"/>
    <n v="0"/>
  </r>
  <r>
    <s v="Pebble &amp; Pine Pharmacy 3912 :  29660 N TATUM BLVD, CAVE CREEK, AZ"/>
    <x v="276"/>
    <x v="2"/>
    <n v="55993.991594411818"/>
    <n v="33.754565550000002"/>
    <n v="-111.9880809"/>
    <x v="23"/>
    <x v="2"/>
    <n v="0"/>
  </r>
  <r>
    <s v="Mr Fantastic's Emporium 13011 :  774 N ARIZONA AVE, CHANDLER, AZ"/>
    <x v="277"/>
    <x v="2"/>
    <n v="55993.991594411818"/>
    <n v="33.316725759999997"/>
    <n v="-111.8417196"/>
    <x v="24"/>
    <x v="2"/>
    <n v="0"/>
  </r>
  <r>
    <s v="Mr Fantastic's Emporium 27215 :  2025 W WARNER RD, CHANDLER, AZ"/>
    <x v="278"/>
    <x v="2"/>
    <n v="55993.991594411818"/>
    <n v="33.334912869999997"/>
    <n v="-111.8769295"/>
    <x v="24"/>
    <x v="2"/>
    <n v="0"/>
  </r>
  <r>
    <s v="Snap &amp; Go 87 :  7131 W RAY RD STE 37, CHANDLER, AZ"/>
    <x v="279"/>
    <x v="2"/>
    <n v="55993.991594411818"/>
    <n v="33.319662899999997"/>
    <n v="-111.9655836"/>
    <x v="24"/>
    <x v="2"/>
    <n v="0"/>
  </r>
  <r>
    <s v="Driftwood Market 1221 :  2935 E RIGGS RD, CHANDLER, AZ"/>
    <x v="280"/>
    <x v="2"/>
    <n v="55993.991594411818"/>
    <n v="33.218992870000001"/>
    <n v="-111.79132"/>
    <x v="24"/>
    <x v="2"/>
    <n v="0"/>
  </r>
  <r>
    <s v="Driftwood Market 2997 :  4060 W RAY RD, CHANDLER, AZ"/>
    <x v="281"/>
    <x v="2"/>
    <n v="55993.991594411818"/>
    <n v="33.320227129999999"/>
    <n v="-111.91258670000001"/>
    <x v="24"/>
    <x v="2"/>
    <n v="0"/>
  </r>
  <r>
    <s v="Driftwood Market 981 :  3145 S ALMA SCHOOL RD, CHANDLER, AZ"/>
    <x v="282"/>
    <x v="2"/>
    <n v="55993.991594411818"/>
    <n v="33.261339999999997"/>
    <n v="-111.858296"/>
    <x v="24"/>
    <x v="2"/>
    <n v="0"/>
  </r>
  <r>
    <s v="Cloudline Provisions 82727 :  1735 S COOPER RD, CHANDLER, AZ"/>
    <x v="283"/>
    <x v="2"/>
    <n v="55993.991594411818"/>
    <n v="33.280688650000002"/>
    <n v="-111.80665"/>
    <x v="24"/>
    <x v="2"/>
    <n v="0"/>
  </r>
  <r>
    <s v="Cloudline Provisions 83216 :  5050 S ARIZONA AVE, CHANDLER, AZ"/>
    <x v="284"/>
    <x v="2"/>
    <n v="55993.991594411818"/>
    <n v="33.232678370000002"/>
    <n v="-111.8415139"/>
    <x v="24"/>
    <x v="2"/>
    <n v="0"/>
  </r>
  <r>
    <s v="Iron Pine Outpost 161 :  4940 S GILBERT RD, CHANDLER, AZ"/>
    <x v="285"/>
    <x v="2"/>
    <n v="55993.991594411818"/>
    <n v="33.234681029999997"/>
    <n v="-111.7896339"/>
    <x v="24"/>
    <x v="2"/>
    <n v="0"/>
  </r>
  <r>
    <s v="Rusty Cart Grocers 26 :  1005 N ARIZONA AVE, CHANDLER, AZ"/>
    <x v="286"/>
    <x v="2"/>
    <n v="55993.991594411818"/>
    <n v="33.320785000000001"/>
    <n v="-111.8414559"/>
    <x v="24"/>
    <x v="2"/>
    <n v="0"/>
  </r>
  <r>
    <s v="Bluebell Bazaar 2700905 :  498 S ARIZONA AVE, CHANDLER, AZ"/>
    <x v="287"/>
    <x v="2"/>
    <n v="55993.991594411818"/>
    <n v="33.295299999999997"/>
    <n v="-111.8417541"/>
    <x v="24"/>
    <x v="2"/>
    <n v="0"/>
  </r>
  <r>
    <s v="Bluebell Bazaar 2702854 :  1262 W CHANDLER BLVD, CHANDLER, AZ"/>
    <x v="288"/>
    <x v="2"/>
    <n v="55993.991594411818"/>
    <n v="33.306226219999999"/>
    <n v="-111.86587419999999"/>
    <x v="24"/>
    <x v="2"/>
    <n v="0"/>
  </r>
  <r>
    <s v="Bluebell Bazaar 2703377 :  3010 S GILBERT RD, CHANDLER, AZ"/>
    <x v="289"/>
    <x v="2"/>
    <n v="55993.991594411818"/>
    <n v="33.262610000000002"/>
    <n v="-111.789744"/>
    <x v="24"/>
    <x v="2"/>
    <n v="1"/>
  </r>
  <r>
    <s v="Bluebell Bazaar 2703445 :  2990 N ARIZONA AVE, CHANDLER, AZ"/>
    <x v="290"/>
    <x v="2"/>
    <n v="55993.991594411818"/>
    <n v="33.349518889999999"/>
    <n v="-111.8419042"/>
    <x v="24"/>
    <x v="2"/>
    <n v="1"/>
  </r>
  <r>
    <s v="Bluebell Bazaar 2703452 :  3033 N DOBSON RD, CHANDLER, AZ"/>
    <x v="291"/>
    <x v="2"/>
    <n v="55993.991594411818"/>
    <n v="33.350904249999999"/>
    <n v="-111.87623840000001"/>
    <x v="24"/>
    <x v="2"/>
    <n v="1"/>
  </r>
  <r>
    <s v="Bluebell Bazaar 2703490 :  3033 S MCQUEEN RD, CHANDLER, AZ"/>
    <x v="292"/>
    <x v="2"/>
    <n v="55993.991594411818"/>
    <n v="33.262532499999999"/>
    <n v="-111.8238479"/>
    <x v="24"/>
    <x v="2"/>
    <n v="1"/>
  </r>
  <r>
    <s v="Bluebell Bazaar 2705032 :  6950 W CHANDLER BLVD, CHANDLER, AZ"/>
    <x v="293"/>
    <x v="2"/>
    <n v="55993.991594411818"/>
    <n v="33.305467129999997"/>
    <n v="-111.96173"/>
    <x v="24"/>
    <x v="2"/>
    <n v="0"/>
  </r>
  <r>
    <s v="Bluebell Bazaar 2705291 :  1995 S ARIZONA AVE, CHANDLER, AZ"/>
    <x v="294"/>
    <x v="2"/>
    <n v="55993.991594411818"/>
    <n v="33.276809999999998"/>
    <n v="-111.841346"/>
    <x v="24"/>
    <x v="2"/>
    <n v="0"/>
  </r>
  <r>
    <s v="Bluebell Bazaar 2705301 :  6015 S ARIZONA AVE, CHANDLER, AZ"/>
    <x v="295"/>
    <x v="2"/>
    <n v="55993.991594411818"/>
    <n v="33.211469999999998"/>
    <n v="-111.86835000000001"/>
    <x v="24"/>
    <x v="2"/>
    <n v="1"/>
  </r>
  <r>
    <s v="Bluebell Bazaar 2705302 :  6969 W RAY RD, CHANDLER, AZ"/>
    <x v="296"/>
    <x v="2"/>
    <n v="55993.991594411818"/>
    <n v="33.319652869999999"/>
    <n v="-111.96241999999999"/>
    <x v="24"/>
    <x v="2"/>
    <n v="0"/>
  </r>
  <r>
    <s v="Bluebell Bazaar 2705400 :  7351 W CHANDLER BLVD, CHANDLER, AZ"/>
    <x v="297"/>
    <x v="2"/>
    <n v="55993.991594411818"/>
    <n v="33.305092870000003"/>
    <n v="-111.9684883"/>
    <x v="24"/>
    <x v="2"/>
    <n v="1"/>
  </r>
  <r>
    <s v="Bluebell Bazaar 2705973 :  1405 N ALMA SCHOOL RD, CHANDLER, AZ"/>
    <x v="298"/>
    <x v="2"/>
    <n v="55993.991594411818"/>
    <n v="33.328121179999997"/>
    <n v="-111.85893590000001"/>
    <x v="24"/>
    <x v="2"/>
    <n v="1"/>
  </r>
  <r>
    <s v="Bluebell Bazaar 2706651 :  1010 E CHANDLER BLVD, CHANDLER, AZ"/>
    <x v="299"/>
    <x v="2"/>
    <n v="55993.991594411818"/>
    <n v="33.306428889999999"/>
    <n v="-111.822531"/>
    <x v="24"/>
    <x v="2"/>
    <n v="0"/>
  </r>
  <r>
    <s v="Bluebell Bazaar 2708834 :  13549 E CHANDLER BLVD, CHANDLER, AZ"/>
    <x v="300"/>
    <x v="2"/>
    <n v="55993.991594411818"/>
    <n v="33.306222869999999"/>
    <n v="-111.7912094"/>
    <x v="24"/>
    <x v="2"/>
    <n v="0"/>
  </r>
  <r>
    <s v="Bluebell Bazaar 2709160 :  1015 N RURAL RD, CHANDLER, AZ"/>
    <x v="301"/>
    <x v="2"/>
    <n v="55993.991594411818"/>
    <n v="33.320105720000001"/>
    <n v="-111.92791889999999"/>
    <x v="24"/>
    <x v="2"/>
    <n v="0"/>
  </r>
  <r>
    <s v="Bluebell Bazaar 2709161 :  4040 W CHANDLER BLVD, CHANDLER, AZ"/>
    <x v="302"/>
    <x v="2"/>
    <n v="55993.991594411818"/>
    <n v="33.305587129999999"/>
    <n v="-111.912969"/>
    <x v="24"/>
    <x v="2"/>
    <n v="1"/>
  </r>
  <r>
    <s v="Bluebell Bazaar 2709162 :  1995 W CHANDLER BLVD, CHANDLER, AZ"/>
    <x v="303"/>
    <x v="2"/>
    <n v="55993.991594411818"/>
    <n v="33.305787100000003"/>
    <n v="-111.8762368"/>
    <x v="24"/>
    <x v="2"/>
    <n v="1"/>
  </r>
  <r>
    <s v="Bluebell Bazaar 2709163 :  2020 W WARNER RD, CHANDLER, AZ"/>
    <x v="304"/>
    <x v="2"/>
    <n v="55993.991594411818"/>
    <n v="33.335352329999999"/>
    <n v="-111.8768445"/>
    <x v="24"/>
    <x v="2"/>
    <n v="1"/>
  </r>
  <r>
    <s v="Bluebell Bazaar 2709182 :  3989 W RAY RD, CHANDLER, AZ"/>
    <x v="305"/>
    <x v="2"/>
    <n v="55993.991594411818"/>
    <n v="33.3198279"/>
    <n v="-111.9108366"/>
    <x v="24"/>
    <x v="2"/>
    <n v="1"/>
  </r>
  <r>
    <s v="Bluebell Bazaar 2709183 :  3033 W QUEEN CREEK RD, CHANDLER, AZ"/>
    <x v="306"/>
    <x v="2"/>
    <n v="55993.991594411818"/>
    <n v="33.261232870000001"/>
    <n v="-111.89054"/>
    <x v="24"/>
    <x v="2"/>
    <n v="1"/>
  </r>
  <r>
    <s v="Bluebell Bazaar 2709187 :  295 S ARIZONA AVE, CHANDLER, AZ"/>
    <x v="307"/>
    <x v="2"/>
    <n v="55993.991594411818"/>
    <n v="33.298957790000003"/>
    <n v="-111.84133439999999"/>
    <x v="24"/>
    <x v="2"/>
    <n v="1"/>
  </r>
  <r>
    <s v="Bluebell Bazaar 2741604 :  1015 S COOPER RD, CHANDLER, AZ"/>
    <x v="308"/>
    <x v="2"/>
    <n v="55993.991594411818"/>
    <n v="33.29150138"/>
    <n v="-111.8067301"/>
    <x v="24"/>
    <x v="2"/>
    <n v="1"/>
  </r>
  <r>
    <s v="Bluebell Bazaar 2741702 :  2955 E RIGGS RD, CHANDLER, AZ"/>
    <x v="309"/>
    <x v="2"/>
    <n v="55993.991594411818"/>
    <n v="33.219002889999999"/>
    <n v="-111.7907372"/>
    <x v="24"/>
    <x v="2"/>
    <n v="1"/>
  </r>
  <r>
    <s v="Mossy Hollow Market 37 :  981 W ELLIOT RD, CHANDLER, AZ"/>
    <x v="310"/>
    <x v="2"/>
    <n v="55993.991594411818"/>
    <n v="33.349519809999997"/>
    <n v="-111.858575"/>
    <x v="24"/>
    <x v="2"/>
    <n v="1"/>
  </r>
  <r>
    <s v="Mossy Hollow Market 51 :  1950 W RAY RD, CHANDLER, AZ"/>
    <x v="311"/>
    <x v="2"/>
    <n v="55993.991594411818"/>
    <n v="33.320794509999999"/>
    <n v="-111.8755982"/>
    <x v="24"/>
    <x v="2"/>
    <n v="1"/>
  </r>
  <r>
    <s v="Mossy Hollow Market 668 :  985 E RIGGS RD, CHANDLER, AZ"/>
    <x v="312"/>
    <x v="2"/>
    <n v="55993.991594411818"/>
    <n v="33.218532889999999"/>
    <n v="-111.8251673"/>
    <x v="24"/>
    <x v="2"/>
    <n v="1"/>
  </r>
  <r>
    <s v="Mossy Hollow Market 681 :  2929 E OCOTILLO RD, CHANDLER, AZ"/>
    <x v="313"/>
    <x v="2"/>
    <n v="55993.991594411818"/>
    <n v="33.226059999999997"/>
    <n v="-111.79922000000001"/>
    <x v="24"/>
    <x v="2"/>
    <n v="1"/>
  </r>
  <r>
    <s v="Mossy Hollow Market 69 :  2010 S ALMA SCHOOL RD, CHANDLER, AZ"/>
    <x v="314"/>
    <x v="2"/>
    <n v="55993.991594411818"/>
    <n v="33.275660000000002"/>
    <n v="-111.858904"/>
    <x v="24"/>
    <x v="2"/>
    <n v="1"/>
  </r>
  <r>
    <s v="Crimson Ridge Depot 328 :  7001 W SUNDUST RD, CHANDLER, AZ"/>
    <x v="315"/>
    <x v="2"/>
    <n v="55993.991594411818"/>
    <n v="33.28064002"/>
    <n v="-111.9626062"/>
    <x v="24"/>
    <x v="2"/>
    <n v="1"/>
  </r>
  <r>
    <s v="Haven Hearth Goods 1566 :  4970 S ALMA SCHOOL RD, CHANDLER, AZ"/>
    <x v="316"/>
    <x v="2"/>
    <n v="55993.991594411818"/>
    <n v="33.234349450000003"/>
    <n v="-111.8589643"/>
    <x v="24"/>
    <x v="2"/>
    <n v="0"/>
  </r>
  <r>
    <s v="Haven Hearth Goods 1604 :  1159 W CHANDLER BLVD, CHANDLER, AZ"/>
    <x v="317"/>
    <x v="2"/>
    <n v="55993.991594411818"/>
    <n v="33.305842869999999"/>
    <n v="-111.8617788"/>
    <x v="24"/>
    <x v="2"/>
    <n v="1"/>
  </r>
  <r>
    <s v="Haven Hearth Goods 1605 :  1060 E RAY RD, CHANDLER, AZ"/>
    <x v="318"/>
    <x v="2"/>
    <n v="55993.991594411818"/>
    <n v="33.32094712"/>
    <n v="-111.8226226"/>
    <x v="24"/>
    <x v="2"/>
    <n v="0"/>
  </r>
  <r>
    <s v="Maplewood Mercantile 1838 :  3425 W FRYE RD, CHANDLER, AZ"/>
    <x v="319"/>
    <x v="2"/>
    <n v="55993.991594411818"/>
    <n v="33.297526920000003"/>
    <n v="-111.89929909999999"/>
    <x v="24"/>
    <x v="2"/>
    <n v="1"/>
  </r>
  <r>
    <s v="Maplewood Mercantile 2747 :  3777 S ARIZONA AVE, CHANDLER, AZ"/>
    <x v="320"/>
    <x v="2"/>
    <n v="55993.991594411818"/>
    <n v="33.251049760000001"/>
    <n v="-111.840996"/>
    <x v="24"/>
    <x v="2"/>
    <n v="1"/>
  </r>
  <r>
    <s v="Pebble &amp; Pine Pharmacy 11181 :  5975 W RAY RD, CHANDLER, AZ"/>
    <x v="321"/>
    <x v="2"/>
    <n v="55993.991594411818"/>
    <n v="33.319660880000001"/>
    <n v="-111.9449575"/>
    <x v="24"/>
    <x v="2"/>
    <n v="0"/>
  </r>
  <r>
    <s v="Pebble &amp; Pine Pharmacy 2056 :  1925 W CHANDLER BLVD, CHANDLER, AZ"/>
    <x v="322"/>
    <x v="2"/>
    <n v="55993.991594411818"/>
    <n v="33.305782870000002"/>
    <n v="-111.8758875"/>
    <x v="24"/>
    <x v="2"/>
    <n v="0"/>
  </r>
  <r>
    <s v="Pebble &amp; Pine Pharmacy 3531 :  4949 W CHANDLER BLVD, CHANDLER, AZ"/>
    <x v="323"/>
    <x v="2"/>
    <n v="55993.991594411818"/>
    <n v="33.305232869999998"/>
    <n v="-111.92744949999999"/>
    <x v="24"/>
    <x v="2"/>
    <n v="0"/>
  </r>
  <r>
    <s v="Pebble &amp; Pine Pharmacy 3726 :  1985 E CHANDLER BLVD, CHANDLER, AZ"/>
    <x v="324"/>
    <x v="2"/>
    <n v="55993.991594411818"/>
    <n v="33.30620287"/>
    <n v="-111.8072258"/>
    <x v="24"/>
    <x v="2"/>
    <n v="0"/>
  </r>
  <r>
    <s v="Pebble &amp; Pine Pharmacy 3727 :  1919 N DOBSON RD, CHANDLER, AZ"/>
    <x v="325"/>
    <x v="2"/>
    <n v="55993.991594411818"/>
    <n v="33.334499999999998"/>
    <n v="-111.8761959"/>
    <x v="24"/>
    <x v="2"/>
    <n v="0"/>
  </r>
  <r>
    <s v="Pebble &amp; Pine Pharmacy 4077 :  3005 E RIGGS RD, CHANDLER, AZ"/>
    <x v="326"/>
    <x v="2"/>
    <n v="55993.991594411818"/>
    <n v="33.21901287"/>
    <n v="-111.7888425"/>
    <x v="24"/>
    <x v="2"/>
    <n v="0"/>
  </r>
  <r>
    <s v="Pebble &amp; Pine Pharmacy 4792 :  55 E RAY RD, CHANDLER, AZ"/>
    <x v="29"/>
    <x v="2"/>
    <n v="55993.991594411818"/>
    <n v="33.320432889999999"/>
    <n v="-111.84089729999999"/>
    <x v="24"/>
    <x v="2"/>
    <n v="0"/>
  </r>
  <r>
    <s v="Pebble &amp; Pine Pharmacy 4793 :  1975 S ALMA SCHOOL RD, CHANDLER, AZ"/>
    <x v="327"/>
    <x v="2"/>
    <n v="55993.991594411818"/>
    <n v="33.276954140000001"/>
    <n v="-111.8583802"/>
    <x v="24"/>
    <x v="2"/>
    <n v="0"/>
  </r>
  <r>
    <s v="Pebble &amp; Pine Pharmacy 7723 :  975 E OCOTILLO RD, CHANDLER, AZ"/>
    <x v="328"/>
    <x v="2"/>
    <n v="55993.991594411818"/>
    <n v="33.247632869999997"/>
    <n v="-111.82485939999999"/>
    <x v="24"/>
    <x v="2"/>
    <n v="0"/>
  </r>
  <r>
    <s v="Rusty Cart Grocers 89 :  12321 W GRAND AVE, EL MIRAGE, AZ"/>
    <x v="329"/>
    <x v="2"/>
    <n v="55993.991594411818"/>
    <n v="33.618708720000001"/>
    <n v="-112.3253832"/>
    <x v="25"/>
    <x v="2"/>
    <n v="0"/>
  </r>
  <r>
    <s v="Bluebell Bazaar 2741669 :  13777 N DYSART RD, EL MIRAGE, AZ"/>
    <x v="330"/>
    <x v="2"/>
    <n v="55993.991594411818"/>
    <n v="33.609205000000003"/>
    <n v="-112.3417053"/>
    <x v="25"/>
    <x v="2"/>
    <n v="1"/>
  </r>
  <r>
    <s v="Pebble &amp; Pine Pharmacy 6428 :  15385 N DYSART RD, EL MIRAGE, AZ"/>
    <x v="29"/>
    <x v="2"/>
    <n v="55993.991594411818"/>
    <n v="33.623017930000003"/>
    <n v="-112.34189569999999"/>
    <x v="25"/>
    <x v="2"/>
    <n v="0"/>
  </r>
  <r>
    <s v="Pebble &amp; Pine Pharmacy 7026 :  12244 W CACTUS RD, EL MIRAGE, AZ"/>
    <x v="331"/>
    <x v="2"/>
    <n v="55993.991594411818"/>
    <n v="33.594642120000003"/>
    <n v="-112.3238779"/>
    <x v="25"/>
    <x v="2"/>
    <n v="0"/>
  </r>
  <r>
    <s v="Iron Pine Outpost 47 :  16605 E PALISADES, FOUNTAIN HILLS, AZ"/>
    <x v="332"/>
    <x v="2"/>
    <n v="55993.991594411818"/>
    <n v="33.60845132"/>
    <n v="-111.7200369"/>
    <x v="26"/>
    <x v="2"/>
    <n v="0"/>
  </r>
  <r>
    <s v="Bluebell Bazaar 2705030 :  9618 SAGUARO BLVD, FOUNTAIN HILLS, AZ"/>
    <x v="333"/>
    <x v="2"/>
    <n v="55993.991594411818"/>
    <n v="33.57373252"/>
    <n v="-111.7138569"/>
    <x v="26"/>
    <x v="2"/>
    <n v="1"/>
  </r>
  <r>
    <s v="Bluebell Bazaar 2706664 :  17125 E SHEA BLVD, FOUNTAIN HILLS, AZ"/>
    <x v="334"/>
    <x v="2"/>
    <n v="55993.991594411818"/>
    <n v="33.570894619999997"/>
    <n v="-111.7120388"/>
    <x v="26"/>
    <x v="2"/>
    <n v="0"/>
  </r>
  <r>
    <s v="Mossy Hollow Market 70 :  14845 E SHEA BLVD, FOUNTAIN HILLS, AZ"/>
    <x v="335"/>
    <x v="2"/>
    <n v="55993.991594411818"/>
    <n v="33.579725660000001"/>
    <n v="-111.7603233"/>
    <x v="26"/>
    <x v="2"/>
    <n v="0"/>
  </r>
  <r>
    <s v="Haven Hearth Goods 1291 :  13733 FOUNTAIN HILLS BLVD, FOUNTAIN HILLS, AZ"/>
    <x v="336"/>
    <x v="2"/>
    <n v="55993.991594411818"/>
    <n v="33.609862010000001"/>
    <n v="-111.7293275"/>
    <x v="26"/>
    <x v="2"/>
    <n v="0"/>
  </r>
  <r>
    <s v="Maplewood Mercantile 1432 :  16825 E SHEA BLVD, FOUNTAIN HILLS, AZ"/>
    <x v="337"/>
    <x v="2"/>
    <n v="55993.991594411818"/>
    <n v="33.574844050000003"/>
    <n v="-111.7171218"/>
    <x v="26"/>
    <x v="2"/>
    <n v="0"/>
  </r>
  <r>
    <s v="Pebble &amp; Pine Pharmacy 6060 :  16415 E PALISADES BLVD, FOUNTAIN HILLS, AZ"/>
    <x v="338"/>
    <x v="2"/>
    <n v="55993.991594411818"/>
    <n v="33.610172679999998"/>
    <n v="-111.7257312"/>
    <x v="26"/>
    <x v="2"/>
    <n v="0"/>
  </r>
  <r>
    <s v="Bluebell Bazaar 2703479 :  710 W PIMA ST, GILA BEND, AZ"/>
    <x v="339"/>
    <x v="2"/>
    <n v="55993.991594411818"/>
    <n v="32.944202490000002"/>
    <n v="-112.7310217"/>
    <x v="27"/>
    <x v="2"/>
    <n v="1"/>
  </r>
  <r>
    <s v="Crimson Ridge Depot 296 :  820 W PIMA ST, GILA BEND, AZ"/>
    <x v="340"/>
    <x v="2"/>
    <n v="55993.991594411818"/>
    <n v="32.943702049999999"/>
    <n v="-112.7336621"/>
    <x v="27"/>
    <x v="2"/>
    <n v="1"/>
  </r>
  <r>
    <s v="Timberline Market 1243 :  3006 S BUTTERFIELD TRL, GILA BEND, AZ"/>
    <x v="341"/>
    <x v="2"/>
    <n v="55993.991594411818"/>
    <n v="32.930386839999997"/>
    <n v="-112.6743283"/>
    <x v="27"/>
    <x v="2"/>
    <n v="0"/>
  </r>
  <r>
    <s v="Mr Fantastic's Emporium 26908 :  1157 N GILBERT RD, GILBERT, AZ"/>
    <x v="342"/>
    <x v="2"/>
    <n v="55993.991594411818"/>
    <n v="33.370843020000002"/>
    <n v="-111.7897421"/>
    <x v="28"/>
    <x v="2"/>
    <n v="0"/>
  </r>
  <r>
    <s v="Mr Fantastic's Emporium 27876 :  785 W ELLIOT RD, GILBERT, AZ"/>
    <x v="343"/>
    <x v="2"/>
    <n v="55993.991594411818"/>
    <n v="33.349733989999997"/>
    <n v="-111.8068758"/>
    <x v="28"/>
    <x v="2"/>
    <n v="0"/>
  </r>
  <r>
    <s v="Mr Fantastic's Emporium 32602 :  785 S VAL VISTA DR, GILBERT, AZ"/>
    <x v="344"/>
    <x v="2"/>
    <n v="55993.991594411818"/>
    <n v="33.336099750000002"/>
    <n v="-111.75539019999999"/>
    <x v="28"/>
    <x v="2"/>
    <n v="0"/>
  </r>
  <r>
    <s v="Driftwood Market 23 :  861 E WARNER RD, GILBERT, AZ"/>
    <x v="345"/>
    <x v="2"/>
    <n v="55993.991594411818"/>
    <n v="33.335385549999998"/>
    <n v="-111.77166560000001"/>
    <x v="28"/>
    <x v="2"/>
    <n v="0"/>
  </r>
  <r>
    <s v="Cloudline Provisions 83580 :  786 W GUADALUPE, GILBERT, AZ"/>
    <x v="346"/>
    <x v="2"/>
    <n v="55993.991594411818"/>
    <n v="33.364497129999997"/>
    <n v="-111.80651140000001"/>
    <x v="28"/>
    <x v="2"/>
    <n v="0"/>
  </r>
  <r>
    <s v="Iron Pine Outpost 172 :  99 S HIGLEY RD, GILBERT, AZ"/>
    <x v="347"/>
    <x v="2"/>
    <n v="55993.991594411818"/>
    <n v="33.34807361"/>
    <n v="-111.72113589999999"/>
    <x v="28"/>
    <x v="2"/>
    <n v="0"/>
  </r>
  <r>
    <s v="Bluebell Bazaar 2700412 :  503 N GILBERT RD, GILBERT, AZ"/>
    <x v="348"/>
    <x v="2"/>
    <n v="55993.991594411818"/>
    <n v="33.359648569999997"/>
    <n v="-111.7895858"/>
    <x v="28"/>
    <x v="2"/>
    <n v="0"/>
  </r>
  <r>
    <s v="Bluebell Bazaar 2703366 :  1564 E RAY RD, GILBERT, AZ"/>
    <x v="349"/>
    <x v="2"/>
    <n v="55993.991594411818"/>
    <n v="33.321403889999999"/>
    <n v="-111.75646759999999"/>
    <x v="28"/>
    <x v="2"/>
    <n v="1"/>
  </r>
  <r>
    <s v="Bluebell Bazaar 2703372 :  3077 S VAL VISTA DR, GILBERT, AZ"/>
    <x v="350"/>
    <x v="2"/>
    <n v="55993.991594411818"/>
    <n v="33.295390449999999"/>
    <n v="-111.7552859"/>
    <x v="28"/>
    <x v="2"/>
    <n v="1"/>
  </r>
  <r>
    <s v="Bluebell Bazaar 2703373 :  888 S HIGLEY RD, GILBERT, AZ"/>
    <x v="351"/>
    <x v="2"/>
    <n v="55993.991594411818"/>
    <n v="33.333353289999998"/>
    <n v="-111.7214913"/>
    <x v="28"/>
    <x v="2"/>
    <n v="1"/>
  </r>
  <r>
    <s v="Bluebell Bazaar 2703383 :  7260 S POWER RD, GILBERT, AZ"/>
    <x v="352"/>
    <x v="2"/>
    <n v="55993.991594411818"/>
    <n v="33.283329639999998"/>
    <n v="-111.6865179"/>
    <x v="28"/>
    <x v="2"/>
    <n v="1"/>
  </r>
  <r>
    <s v="Bluebell Bazaar 2703419 :  5202 E BASELINE RD, GILBERT, AZ"/>
    <x v="353"/>
    <x v="2"/>
    <n v="55993.991594411818"/>
    <n v="33.379462099999998"/>
    <n v="-111.7220015"/>
    <x v="28"/>
    <x v="2"/>
    <n v="1"/>
  </r>
  <r>
    <s v="Bluebell Bazaar 2703462 :  3155 S GILBERT RD, GILBERT, AZ"/>
    <x v="354"/>
    <x v="2"/>
    <n v="55993.991594411818"/>
    <n v="33.292771430000002"/>
    <n v="-111.78941589999999"/>
    <x v="28"/>
    <x v="2"/>
    <n v="1"/>
  </r>
  <r>
    <s v="Bluebell Bazaar 2703478 :  6761 E BASELINE RD, GILBERT, AZ"/>
    <x v="355"/>
    <x v="2"/>
    <n v="55993.991594411818"/>
    <n v="33.335709999999999"/>
    <n v="-111.73874000000001"/>
    <x v="28"/>
    <x v="2"/>
    <n v="1"/>
  </r>
  <r>
    <s v="Bluebell Bazaar 2705286 :  751 N ARIZONA AVE, GILBERT, AZ"/>
    <x v="356"/>
    <x v="2"/>
    <n v="55993.991594411818"/>
    <n v="33.363169999999997"/>
    <n v="-111.8416658"/>
    <x v="28"/>
    <x v="2"/>
    <n v="0"/>
  </r>
  <r>
    <s v="Bluebell Bazaar 2705292 :  750 E WARNER RD, GILBERT, AZ"/>
    <x v="357"/>
    <x v="2"/>
    <n v="55993.991594411818"/>
    <n v="33.335791960000002"/>
    <n v="-111.7741848"/>
    <x v="28"/>
    <x v="2"/>
    <n v="0"/>
  </r>
  <r>
    <s v="Bluebell Bazaar 2705293 :  3230 E WILLIAMS FIELD RD, GILBERT, AZ"/>
    <x v="358"/>
    <x v="2"/>
    <n v="55993.991594411818"/>
    <n v="33.307137130000001"/>
    <n v="-111.7210006"/>
    <x v="28"/>
    <x v="2"/>
    <n v="1"/>
  </r>
  <r>
    <s v="Bluebell Bazaar 2705294 :  755 W WARNER RD, GILBERT, AZ"/>
    <x v="359"/>
    <x v="2"/>
    <n v="55993.991594411818"/>
    <n v="33.335174070000001"/>
    <n v="-111.8059282"/>
    <x v="28"/>
    <x v="2"/>
    <n v="0"/>
  </r>
  <r>
    <s v="Bluebell Bazaar 2705307 :  3589 E BASELINE RD, GILBERT, AZ"/>
    <x v="360"/>
    <x v="2"/>
    <n v="55993.991594411818"/>
    <n v="33.378952890000001"/>
    <n v="-111.754277"/>
    <x v="28"/>
    <x v="2"/>
    <n v="1"/>
  </r>
  <r>
    <s v="Bluebell Bazaar 2705316 :  1189 E BASELINE RD, GILBERT, AZ"/>
    <x v="361"/>
    <x v="2"/>
    <n v="55993.991594411818"/>
    <n v="33.378712870000001"/>
    <n v="-111.8075544"/>
    <x v="28"/>
    <x v="2"/>
    <n v="0"/>
  </r>
  <r>
    <s v="Bluebell Bazaar 2706355 :  33 S VAL VISTA DR, GILBERT, AZ"/>
    <x v="362"/>
    <x v="2"/>
    <n v="55993.991594411818"/>
    <n v="33.349534550000001"/>
    <n v="-111.7554258"/>
    <x v="28"/>
    <x v="2"/>
    <n v="1"/>
  </r>
  <r>
    <s v="Bluebell Bazaar 2709550 :  1650 E GERMANN RD, GILBERT, AZ"/>
    <x v="363"/>
    <x v="2"/>
    <n v="55993.991594411818"/>
    <n v="33.277857130000001"/>
    <n v="-111.7546057"/>
    <x v="28"/>
    <x v="2"/>
    <n v="1"/>
  </r>
  <r>
    <s v="Bluebell Bazaar 2741601 :  1611 E GUADALUPE RD, GILBERT, AZ"/>
    <x v="364"/>
    <x v="2"/>
    <n v="55993.991594411818"/>
    <n v="33.364526769999998"/>
    <n v="-111.7556726"/>
    <x v="28"/>
    <x v="2"/>
    <n v="0"/>
  </r>
  <r>
    <s v="Bluebell Bazaar 2741642 :  7165 S VAL VISTA RD, GILBERT, AZ"/>
    <x v="365"/>
    <x v="2"/>
    <n v="55993.991594411818"/>
    <n v="33.238979999999998"/>
    <n v="-111.72681"/>
    <x v="28"/>
    <x v="2"/>
    <n v="1"/>
  </r>
  <r>
    <s v="Mossy Hollow Market 15 :  3751 E BASELINE RD, GILBERT, AZ"/>
    <x v="29"/>
    <x v="2"/>
    <n v="55993.991594411818"/>
    <n v="33.378962870000002"/>
    <n v="-111.751463"/>
    <x v="28"/>
    <x v="2"/>
    <n v="0"/>
  </r>
  <r>
    <s v="Mossy Hollow Market 52 :  855 W WARNER RD, GILBERT, AZ"/>
    <x v="366"/>
    <x v="2"/>
    <n v="55993.991594411818"/>
    <n v="33.335162869999998"/>
    <n v="-111.80804000000001"/>
    <x v="28"/>
    <x v="2"/>
    <n v="1"/>
  </r>
  <r>
    <s v="Mossy Hollow Market 615 :  1455 N HIGLEY RD, GILBERT, AZ"/>
    <x v="367"/>
    <x v="2"/>
    <n v="55993.991594411818"/>
    <n v="33.376719979999997"/>
    <n v="-111.7220619"/>
    <x v="28"/>
    <x v="2"/>
    <n v="1"/>
  </r>
  <r>
    <s v="Mossy Hollow Market 624 :  1845 E BASELINE RD, GILBERT, AZ"/>
    <x v="368"/>
    <x v="2"/>
    <n v="55993.991594411818"/>
    <n v="33.378782870000002"/>
    <n v="-111.7917521"/>
    <x v="28"/>
    <x v="2"/>
    <n v="1"/>
  </r>
  <r>
    <s v="Mossy Hollow Market 64 :  714 S VAL VIS, GILBERT, AZ"/>
    <x v="369"/>
    <x v="2"/>
    <n v="55993.991594411818"/>
    <n v="33.337380000000003"/>
    <n v="-111.7559041"/>
    <x v="28"/>
    <x v="2"/>
    <n v="1"/>
  </r>
  <r>
    <s v="Mossy Hollow Market 655 :  3490 S POWER RD, GILBERT, AZ"/>
    <x v="370"/>
    <x v="2"/>
    <n v="55993.991594411818"/>
    <s v="N/A"/>
    <s v="N/A"/>
    <x v="28"/>
    <x v="2"/>
    <n v="1"/>
  </r>
  <r>
    <s v="Mossy Hollow Market 658 :  4075 E WILLIAMS FIELD RD, GILBERT, AZ"/>
    <x v="371"/>
    <x v="2"/>
    <n v="55993.991594411818"/>
    <n v="33.306629999999998"/>
    <n v="-111.73753000000001"/>
    <x v="28"/>
    <x v="2"/>
    <n v="1"/>
  </r>
  <r>
    <s v="Mossy Hollow Market 670 :  6470 S HIGLEY RD, GILBERT, AZ"/>
    <x v="372"/>
    <x v="2"/>
    <n v="55993.991594411818"/>
    <n v="33.232536670000002"/>
    <n v="-111.72075390000001"/>
    <x v="28"/>
    <x v="2"/>
    <n v="1"/>
  </r>
  <r>
    <s v="Mossy Hollow Market 72 :  87 E WILLIAMS FIELD RD, GILBERT, AZ"/>
    <x v="373"/>
    <x v="2"/>
    <n v="55993.991594411818"/>
    <n v="33.30622726"/>
    <n v="-111.78822839999999"/>
    <x v="28"/>
    <x v="2"/>
    <n v="1"/>
  </r>
  <r>
    <s v="Mossy Hollow Market 75 :  3261 E PECOS RD, GILBERT, AZ"/>
    <x v="374"/>
    <x v="2"/>
    <n v="55993.991594411818"/>
    <n v="33.292296729999997"/>
    <n v="-111.719397"/>
    <x v="28"/>
    <x v="2"/>
    <n v="1"/>
  </r>
  <r>
    <s v="Sunny Pebble Co. 811 :  4027 S GILBERT RD, GILBERT, AZ"/>
    <x v="375"/>
    <x v="2"/>
    <n v="55993.991594411818"/>
    <n v="33.27761769"/>
    <n v="-111.78938599999999"/>
    <x v="28"/>
    <x v="2"/>
    <n v="0"/>
  </r>
  <r>
    <s v="Sunny Pebble Co. 812 :  2870 S MARKET ST, GILBERT, AZ"/>
    <x v="376"/>
    <x v="2"/>
    <n v="55993.991594411818"/>
    <n v="33.298442880000003"/>
    <n v="-111.7458247"/>
    <x v="28"/>
    <x v="2"/>
    <n v="0"/>
  </r>
  <r>
    <s v="Haven Hearth Goods 1534 :  90 S VAL VISTA DR, GILBERT, AZ"/>
    <x v="377"/>
    <x v="2"/>
    <n v="55993.991594411818"/>
    <n v="33.348432000000003"/>
    <n v="-111.75591420000001"/>
    <x v="28"/>
    <x v="2"/>
    <n v="0"/>
  </r>
  <r>
    <s v="Haven Hearth Goods 1748 :  5137 E BASELINE RD, GILBERT, AZ"/>
    <x v="378"/>
    <x v="2"/>
    <n v="55993.991594411818"/>
    <n v="33.379072870000002"/>
    <n v="-111.72332"/>
    <x v="28"/>
    <x v="2"/>
    <n v="0"/>
  </r>
  <r>
    <s v="Jellybean Junction 1960 :  3931 S GILBERT RD, GILBERT, AZ"/>
    <x v="379"/>
    <x v="2"/>
    <n v="55993.991594411818"/>
    <n v="33.27873889"/>
    <n v="-111.789396"/>
    <x v="28"/>
    <x v="2"/>
    <n v="1"/>
  </r>
  <r>
    <s v="Maplewood Mercantile 1209 :  1515 E WARNER RD, GILBERT, AZ"/>
    <x v="380"/>
    <x v="2"/>
    <n v="55993.991594411818"/>
    <n v="33.33544294"/>
    <n v="-111.75766470000001"/>
    <x v="28"/>
    <x v="2"/>
    <n v="1"/>
  </r>
  <r>
    <s v="Pebble &amp; Pine Pharmacy 10260 :  3230 E CHANDLER HEIGHTS RD, GILBERT, AZ"/>
    <x v="381"/>
    <x v="2"/>
    <n v="55993.991594411818"/>
    <n v="33.233961299999997"/>
    <n v="-111.7197843"/>
    <x v="28"/>
    <x v="2"/>
    <n v="0"/>
  </r>
  <r>
    <s v="Pebble &amp; Pine Pharmacy 21450 :  4750 S VAL VISTA DR, GILBERT, AZ"/>
    <x v="382"/>
    <x v="2"/>
    <n v="55993.991594411818"/>
    <s v="N/A"/>
    <s v="N/A"/>
    <x v="28"/>
    <x v="2"/>
    <n v="0"/>
  </r>
  <r>
    <s v="Pebble &amp; Pine Pharmacy 3008 :  785 S COOPER RD, GILBERT, AZ"/>
    <x v="383"/>
    <x v="2"/>
    <n v="55993.991594411818"/>
    <n v="33.336309999999997"/>
    <n v="-111.8067659"/>
    <x v="28"/>
    <x v="2"/>
    <n v="0"/>
  </r>
  <r>
    <s v="Pebble &amp; Pine Pharmacy 3184 :  1585 E GUADALUPE RD, GILBERT, AZ"/>
    <x v="384"/>
    <x v="2"/>
    <n v="55993.991594411818"/>
    <n v="33.364572870000003"/>
    <n v="-111.7570784"/>
    <x v="28"/>
    <x v="2"/>
    <n v="0"/>
  </r>
  <r>
    <s v="Pebble &amp; Pine Pharmacy 4018 :  2345 E BASELINE RD, GILBERT, AZ"/>
    <x v="385"/>
    <x v="2"/>
    <n v="55993.991594411818"/>
    <n v="33.37882287"/>
    <n v="-111.7826238"/>
    <x v="28"/>
    <x v="2"/>
    <n v="0"/>
  </r>
  <r>
    <s v="Pebble &amp; Pine Pharmacy 4543 :  805 S VAL VISTA DR, GILBERT, AZ"/>
    <x v="386"/>
    <x v="2"/>
    <n v="55993.991594411818"/>
    <n v="33.335439170000001"/>
    <n v="-111.755388"/>
    <x v="28"/>
    <x v="2"/>
    <n v="0"/>
  </r>
  <r>
    <s v="Pebble &amp; Pine Pharmacy 5215 :  2363 S LINDSAY RD, GILBERT, AZ"/>
    <x v="387"/>
    <x v="2"/>
    <n v="55993.991594411818"/>
    <n v="33.307416250000003"/>
    <n v="-111.7726859"/>
    <x v="28"/>
    <x v="2"/>
    <n v="0"/>
  </r>
  <r>
    <s v="Pebble &amp; Pine Pharmacy 5799 :  754 N HIGLEY RD, GILBERT, AZ"/>
    <x v="388"/>
    <x v="2"/>
    <n v="55993.991594411818"/>
    <n v="33.364402990000002"/>
    <n v="-111.7220179"/>
    <x v="28"/>
    <x v="2"/>
    <n v="0"/>
  </r>
  <r>
    <s v="Pebble &amp; Pine Pharmacy 6062 :  76 W GUADALUPE RD, GILBERT, AZ"/>
    <x v="389"/>
    <x v="2"/>
    <n v="55993.991594411818"/>
    <n v="33.364647130000002"/>
    <n v="-111.79146"/>
    <x v="28"/>
    <x v="2"/>
    <n v="0"/>
  </r>
  <r>
    <s v="Pebble &amp; Pine Pharmacy 6692 :  4766 E QUEEN CREEK RD, GILBERT, AZ"/>
    <x v="390"/>
    <x v="2"/>
    <n v="55993.991594411818"/>
    <n v="33.266587010000002"/>
    <n v="-111.6860968"/>
    <x v="28"/>
    <x v="2"/>
    <n v="0"/>
  </r>
  <r>
    <s v="Pebble &amp; Pine Pharmacy 6880 :  2431 S HIGLEY RD, GILBERT, AZ"/>
    <x v="391"/>
    <x v="2"/>
    <n v="55993.991594411818"/>
    <n v="33.30574"/>
    <n v="-111.72091589999999"/>
    <x v="28"/>
    <x v="2"/>
    <n v="0"/>
  </r>
  <r>
    <s v="Pebble &amp; Pine Pharmacy 7747 :  3233 E GERMANN RD, GILBERT, AZ"/>
    <x v="392"/>
    <x v="2"/>
    <n v="55993.991594411818"/>
    <n v="33.27748287"/>
    <n v="-111.71978"/>
    <x v="28"/>
    <x v="2"/>
    <n v="0"/>
  </r>
  <r>
    <s v="Mr Fantastic's Emporium 16623 :  5925 W OLIVE AVE, GLENDALE, AZ"/>
    <x v="393"/>
    <x v="2"/>
    <n v="55993.991594411818"/>
    <n v="33.567365389999999"/>
    <n v="-112.186842"/>
    <x v="29"/>
    <x v="2"/>
    <n v="0"/>
  </r>
  <r>
    <s v="Mr Fantastic's Emporium 42301 :  5303 W BELL RD, GLENDALE, AZ"/>
    <x v="394"/>
    <x v="2"/>
    <n v="55993.991594411818"/>
    <s v="N/A"/>
    <s v="N/A"/>
    <x v="29"/>
    <x v="2"/>
    <n v="0"/>
  </r>
  <r>
    <s v="Snap &amp; Go 117 :  20050 N 67TH AVE, GLENDALE, AZ"/>
    <x v="395"/>
    <x v="2"/>
    <n v="55993.991594411818"/>
    <n v="33.665866360000003"/>
    <n v="-112.20324479999999"/>
    <x v="29"/>
    <x v="2"/>
    <n v="0"/>
  </r>
  <r>
    <s v="Driftwood Market 3941 :  5040 W CACTUS, GLENDALE, AZ"/>
    <x v="396"/>
    <x v="2"/>
    <n v="55993.991594411818"/>
    <n v="33.596467130000001"/>
    <n v="-112.16744"/>
    <x v="29"/>
    <x v="2"/>
    <n v="0"/>
  </r>
  <r>
    <s v="Rusty Cart Grocers 142 :  6020 N 59TH AVE, GLENDALE, AZ"/>
    <x v="397"/>
    <x v="2"/>
    <n v="55993.991594411818"/>
    <n v="33.525402739999997"/>
    <n v="-112.1864345"/>
    <x v="29"/>
    <x v="2"/>
    <n v="0"/>
  </r>
  <r>
    <s v="Bluebell Bazaar 2674 :  6937 N 75TH AVE, GLENDALE, AZ"/>
    <x v="398"/>
    <x v="2"/>
    <n v="55993.991594411818"/>
    <n v="33.536199340000003"/>
    <n v="-112.2203169"/>
    <x v="29"/>
    <x v="2"/>
    <n v="0"/>
  </r>
  <r>
    <s v="Bluebell Bazaar 2700041 :  6002 NW GRAND AVE, GLENDALE, AZ"/>
    <x v="399"/>
    <x v="2"/>
    <n v="55993.991594411818"/>
    <n v="33.54175231"/>
    <n v="-112.1894515"/>
    <x v="29"/>
    <x v="2"/>
    <n v="0"/>
  </r>
  <r>
    <s v="Bluebell Bazaar 2701750 :  5049 W PEORIA, GLENDALE, AZ"/>
    <x v="400"/>
    <x v="2"/>
    <n v="55993.991594411818"/>
    <n v="33.581735590000001"/>
    <n v="-112.1679355"/>
    <x v="29"/>
    <x v="2"/>
    <n v="0"/>
  </r>
  <r>
    <s v="Bluebell Bazaar 2701908 :  13843 W GLENDALE AVE, GLENDALE, AZ"/>
    <x v="401"/>
    <x v="2"/>
    <n v="55993.991594411818"/>
    <n v="33.536739650000001"/>
    <n v="-112.3570181"/>
    <x v="29"/>
    <x v="2"/>
    <n v="1"/>
  </r>
  <r>
    <s v="Bluebell Bazaar 2701954 :  5907 W BETHANY HOME RD, GLENDALE, AZ"/>
    <x v="402"/>
    <x v="2"/>
    <n v="55993.991594411818"/>
    <n v="33.523922890000001"/>
    <n v="-112.1869473"/>
    <x v="29"/>
    <x v="2"/>
    <n v="0"/>
  </r>
  <r>
    <s v="Bluebell Bazaar 2701967 :  5902 W BELL RD, GLENDALE, AZ"/>
    <x v="403"/>
    <x v="2"/>
    <n v="55993.991594411818"/>
    <n v="33.638906720000001"/>
    <n v="-112.18654220000001"/>
    <x v="29"/>
    <x v="2"/>
    <n v="0"/>
  </r>
  <r>
    <s v="Bluebell Bazaar 2702875 :  9002 N 47TH AVE, GLENDALE, AZ"/>
    <x v="404"/>
    <x v="2"/>
    <n v="55993.991594411818"/>
    <n v="33.56755252"/>
    <n v="-112.16046350000001"/>
    <x v="29"/>
    <x v="2"/>
    <n v="0"/>
  </r>
  <r>
    <s v="Bluebell Bazaar 2703378 :  5880 W CAMELBACK RD, GLENDALE, AZ"/>
    <x v="405"/>
    <x v="2"/>
    <n v="55993.991594411818"/>
    <n v="33.509757100000002"/>
    <n v="-112.1857634"/>
    <x v="29"/>
    <x v="2"/>
    <n v="1"/>
  </r>
  <r>
    <s v="Bluebell Bazaar 2703441 :  4303 W GLENDALE AVE, GLENDALE, AZ"/>
    <x v="406"/>
    <x v="2"/>
    <n v="55993.991594411818"/>
    <n v="33.538252989999997"/>
    <n v="-112.1516632"/>
    <x v="29"/>
    <x v="2"/>
    <n v="1"/>
  </r>
  <r>
    <s v="Bluebell Bazaar 2703448 :  5155 W OLIVE AVE, GLENDALE, AZ"/>
    <x v="407"/>
    <x v="2"/>
    <n v="55993.991594411818"/>
    <n v="33.567352870000001"/>
    <n v="-112.1703725"/>
    <x v="29"/>
    <x v="2"/>
    <n v="1"/>
  </r>
  <r>
    <s v="Bluebell Bazaar 2703477 :  13051 W GLENDALE AVE, GLENDALE, AZ"/>
    <x v="408"/>
    <x v="2"/>
    <n v="55993.991594411818"/>
    <n v="33.536551879999998"/>
    <n v="-112.33932590000001"/>
    <x v="29"/>
    <x v="2"/>
    <n v="1"/>
  </r>
  <r>
    <s v="Bluebell Bazaar 2705322 :  24838 N 35TH AVE, GLENDALE, AZ"/>
    <x v="409"/>
    <x v="2"/>
    <n v="55993.991594411818"/>
    <n v="33.712001829999998"/>
    <n v="-112.13519479999999"/>
    <x v="29"/>
    <x v="2"/>
    <n v="0"/>
  </r>
  <r>
    <s v="Bluebell Bazaar 2705576 :  24831 N 67TH AVE, GLENDALE, AZ"/>
    <x v="410"/>
    <x v="2"/>
    <n v="55993.991594411818"/>
    <n v="33.710803749999997"/>
    <n v="-112.2029651"/>
    <x v="29"/>
    <x v="2"/>
    <n v="0"/>
  </r>
  <r>
    <s v="Bluebell Bazaar 2705766 :  6972 N 83RD AVE, GLENDALE, AZ"/>
    <x v="411"/>
    <x v="2"/>
    <n v="55993.991594411818"/>
    <n v="33.537103999999999"/>
    <n v="-112.23783450000001"/>
    <x v="29"/>
    <x v="2"/>
    <n v="1"/>
  </r>
  <r>
    <s v="Bluebell Bazaar 2706655 :  20207 N 59TH AVE, GLENDALE, AZ"/>
    <x v="412"/>
    <x v="2"/>
    <n v="55993.991594411818"/>
    <n v="33.668859230000002"/>
    <n v="-112.18648520000001"/>
    <x v="29"/>
    <x v="2"/>
    <n v="1"/>
  </r>
  <r>
    <s v="Bluebell Bazaar 2706657 :  5848 W OLIVE AVE, GLENDALE, AZ"/>
    <x v="413"/>
    <x v="2"/>
    <n v="55993.991594411818"/>
    <n v="33.567647129999997"/>
    <n v="-112.1853078"/>
    <x v="29"/>
    <x v="2"/>
    <n v="0"/>
  </r>
  <r>
    <s v="Bluebell Bazaar 2706658 :  5881 W CACTUS RD, GLENDALE, AZ"/>
    <x v="414"/>
    <x v="2"/>
    <n v="55993.991594411818"/>
    <n v="33.596176110000002"/>
    <n v="-112.1856823"/>
    <x v="29"/>
    <x v="2"/>
    <n v="0"/>
  </r>
  <r>
    <s v="Bluebell Bazaar 2709181 :  20203 N 67TH AVE, GLENDALE, AZ"/>
    <x v="415"/>
    <x v="2"/>
    <n v="55993.991594411818"/>
    <n v="33.668598430000003"/>
    <n v="-112.2027659"/>
    <x v="29"/>
    <x v="2"/>
    <n v="1"/>
  </r>
  <r>
    <s v="Bluebell Bazaar 2709542 :  10725 W NORTHERN AVE, GLENDALE, AZ"/>
    <x v="416"/>
    <x v="2"/>
    <n v="55993.991594411818"/>
    <n v="33.550892869999998"/>
    <n v="-112.29017"/>
    <x v="29"/>
    <x v="2"/>
    <n v="1"/>
  </r>
  <r>
    <s v="Bluebell Bazaar 2741626 :  6691 W GREENWAY RD, GLENDALE, AZ"/>
    <x v="417"/>
    <x v="2"/>
    <n v="55993.991594411818"/>
    <n v="33.624923099999997"/>
    <n v="-112.2022303"/>
    <x v="29"/>
    <x v="2"/>
    <n v="0"/>
  </r>
  <r>
    <s v="Bright Barrel Market 42 :  (KLF) LUKE AFB, AZ, GLENDALE, AZ"/>
    <x v="418"/>
    <x v="2"/>
    <n v="55993.991594411818"/>
    <n v="33.532179999999997"/>
    <n v="-112.30898999999999"/>
    <x v="29"/>
    <x v="2"/>
    <n v="0"/>
  </r>
  <r>
    <s v="Mossy Hollow Market 10 :  4353 W BETHANY HOME RD, GLENDALE, AZ"/>
    <x v="419"/>
    <x v="2"/>
    <n v="55993.991594411818"/>
    <n v="33.52379371"/>
    <n v="-112.1531718"/>
    <x v="29"/>
    <x v="2"/>
    <n v="1"/>
  </r>
  <r>
    <s v="Mossy Hollow Market 11 :  6710 W BETHANY HOME RD, GLENDALE, AZ"/>
    <x v="420"/>
    <x v="2"/>
    <n v="55993.991594411818"/>
    <n v="33.524023509999999"/>
    <n v="-112.2033706"/>
    <x v="29"/>
    <x v="2"/>
    <n v="1"/>
  </r>
  <r>
    <s v="Mossy Hollow Market 136 :  4329 W NERN AVE, GLENDALE, AZ"/>
    <x v="421"/>
    <x v="2"/>
    <n v="55993.991594411818"/>
    <n v="33.531739999999999"/>
    <n v="-112.17795"/>
    <x v="29"/>
    <x v="2"/>
    <n v="1"/>
  </r>
  <r>
    <s v="Mossy Hollow Market 26 :  5116 W OLIVE, GLENDALE, AZ"/>
    <x v="422"/>
    <x v="2"/>
    <n v="55993.991594411818"/>
    <n v="33.567685509999997"/>
    <n v="-112.1698731"/>
    <x v="29"/>
    <x v="2"/>
    <n v="1"/>
  </r>
  <r>
    <s v="Mossy Hollow Market 28 :  4315 W BELL RD, GLENDALE, AZ"/>
    <x v="423"/>
    <x v="2"/>
    <n v="55993.991594411818"/>
    <n v="33.639072900000002"/>
    <n v="-112.15286639999999"/>
    <x v="29"/>
    <x v="2"/>
    <n v="1"/>
  </r>
  <r>
    <s v="Mossy Hollow Market 6 :  5771 W THUNDERBIRD RD, GLENDALE, AZ"/>
    <x v="424"/>
    <x v="2"/>
    <n v="55993.991594411818"/>
    <n v="33.610552869999999"/>
    <n v="-112.1836117"/>
    <x v="29"/>
    <x v="2"/>
    <n v="1"/>
  </r>
  <r>
    <s v="Mossy Hollow Market 60 :  20220 N 59TH AVE, GLENDALE, AZ"/>
    <x v="425"/>
    <x v="2"/>
    <n v="55993.991594411818"/>
    <n v="33.669020830000001"/>
    <n v="-112.18700459999999"/>
    <x v="29"/>
    <x v="2"/>
    <n v="1"/>
  </r>
  <r>
    <s v="Mossy Hollow Market 625 :  6611 W BELL RD, GLENDALE, AZ"/>
    <x v="426"/>
    <x v="2"/>
    <n v="55993.991594411818"/>
    <n v="33.638210479999998"/>
    <n v="-112.1990417"/>
    <x v="29"/>
    <x v="2"/>
    <n v="1"/>
  </r>
  <r>
    <s v="Mossy Hollow Market 73 :  6625 W HAPPY VALLEY RD, GLENDALE, AZ"/>
    <x v="427"/>
    <x v="2"/>
    <n v="55993.991594411818"/>
    <n v="33.711992870000003"/>
    <n v="-112.20144999999999"/>
    <x v="29"/>
    <x v="2"/>
    <n v="1"/>
  </r>
  <r>
    <s v="Haven Hearth Goods 1510 :  20205 N 67TH AVE # 100, GLENDALE, AZ"/>
    <x v="428"/>
    <x v="2"/>
    <n v="55993.991594411818"/>
    <n v="33.668623429999997"/>
    <n v="-112.2027665"/>
    <x v="29"/>
    <x v="2"/>
    <n v="0"/>
  </r>
  <r>
    <s v="Haven Hearth Goods 2821 :  3800 W HAPPY VLY, GLENDALE, AZ"/>
    <x v="429"/>
    <x v="2"/>
    <n v="55993.991594411818"/>
    <n v="33.697479999999999"/>
    <n v="-112.176"/>
    <x v="29"/>
    <x v="2"/>
    <n v="1"/>
  </r>
  <r>
    <s v="Maplewood Mercantile 1361 :  9350 W NORTHERN AVE, GLENDALE, AZ"/>
    <x v="430"/>
    <x v="2"/>
    <n v="55993.991594411818"/>
    <n v="33.551809830000003"/>
    <n v="-112.26039830000001"/>
    <x v="29"/>
    <x v="2"/>
    <n v="1"/>
  </r>
  <r>
    <s v="Maplewood Mercantile 2341 :  10404 N 43RD AVE, GLENDALE, AZ"/>
    <x v="431"/>
    <x v="2"/>
    <n v="55993.991594411818"/>
    <n v="33.580792219999999"/>
    <n v="-112.1516846"/>
    <x v="29"/>
    <x v="2"/>
    <n v="1"/>
  </r>
  <r>
    <s v="Pebble &amp; Pine Pharmacy 1969 :  6006 N 67TH AVE, GLENDALE, AZ"/>
    <x v="432"/>
    <x v="2"/>
    <n v="55993.991594411818"/>
    <n v="33.524160000000002"/>
    <n v="-112.2033145"/>
    <x v="29"/>
    <x v="2"/>
    <n v="0"/>
  </r>
  <r>
    <s v="Pebble &amp; Pine Pharmacy 3003 :  6690 W UNION HILLS DR, GLENDALE, AZ"/>
    <x v="433"/>
    <x v="2"/>
    <n v="55993.991594411818"/>
    <n v="33.653040390000001"/>
    <n v="-112.20277369999999"/>
    <x v="29"/>
    <x v="2"/>
    <n v="0"/>
  </r>
  <r>
    <s v="Pebble &amp; Pine Pharmacy 3049 :  4965 W BELL RD, GLENDALE, AZ"/>
    <x v="434"/>
    <x v="2"/>
    <n v="55993.991594411818"/>
    <n v="33.638841829999997"/>
    <n v="-112.1669526"/>
    <x v="29"/>
    <x v="2"/>
    <n v="0"/>
  </r>
  <r>
    <s v="Pebble &amp; Pine Pharmacy 3385 :  5421 W THUNDERBIRD RD, GLENDALE, AZ"/>
    <x v="435"/>
    <x v="2"/>
    <n v="55993.991594411818"/>
    <n v="33.610592869999998"/>
    <n v="-112.17664000000001"/>
    <x v="29"/>
    <x v="2"/>
    <n v="0"/>
  </r>
  <r>
    <s v="Pebble &amp; Pine Pharmacy 4020 :  5895 W PEORIA AVE, GLENDALE, AZ"/>
    <x v="436"/>
    <x v="2"/>
    <n v="55993.991594411818"/>
    <n v="33.581702870000001"/>
    <n v="-112.18592"/>
    <x v="29"/>
    <x v="2"/>
    <n v="0"/>
  </r>
  <r>
    <s v="Pebble &amp; Pine Pharmacy 4228 :  5125 W NORTHERN AVE, GLENDALE, AZ"/>
    <x v="437"/>
    <x v="2"/>
    <n v="55993.991594411818"/>
    <n v="33.552922870000003"/>
    <n v="-112.16928420000001"/>
    <x v="29"/>
    <x v="2"/>
    <n v="0"/>
  </r>
  <r>
    <s v="Pebble &amp; Pine Pharmacy 4434 :  22280 N 67TH AVE, GLENDALE, AZ"/>
    <x v="438"/>
    <x v="2"/>
    <n v="55993.991594411818"/>
    <n v="33.684019999999997"/>
    <n v="-112.2032548"/>
    <x v="29"/>
    <x v="2"/>
    <n v="0"/>
  </r>
  <r>
    <s v="Pebble &amp; Pine Pharmacy 5266 :  21632 N 35TH AVE, GLENDALE, AZ"/>
    <x v="439"/>
    <x v="2"/>
    <n v="55993.991594411818"/>
    <n v="33.682898369999997"/>
    <n v="-112.13492479999999"/>
    <x v="29"/>
    <x v="2"/>
    <n v="0"/>
  </r>
  <r>
    <s v="Pebble &amp; Pine Pharmacy 5775 :  8309 W GLENDALE AVE, GLENDALE, AZ"/>
    <x v="440"/>
    <x v="2"/>
    <n v="55993.991594411818"/>
    <n v="33.537482869999998"/>
    <n v="-112.2390647"/>
    <x v="29"/>
    <x v="2"/>
    <n v="0"/>
  </r>
  <r>
    <s v="Pebble &amp; Pine Pharmacy 5851 :  5011 W UNION HILLS DR, GLENDALE, AZ"/>
    <x v="441"/>
    <x v="2"/>
    <n v="55993.991594411818"/>
    <n v="33.654352869999997"/>
    <n v="-112.1663846"/>
    <x v="29"/>
    <x v="2"/>
    <n v="0"/>
  </r>
  <r>
    <s v="Pebble &amp; Pine Pharmacy 6065 :  9009 N 67TH AVE, GLENDALE, AZ"/>
    <x v="442"/>
    <x v="2"/>
    <n v="55993.991594411818"/>
    <n v="33.567227199999998"/>
    <n v="-112.202704"/>
    <x v="29"/>
    <x v="2"/>
    <n v="0"/>
  </r>
  <r>
    <s v="Pebble &amp; Pine Pharmacy 6736 :  4410 W CACTUS RD, GLENDALE, AZ"/>
    <x v="443"/>
    <x v="2"/>
    <n v="55993.991594411818"/>
    <n v="33.596477129999997"/>
    <n v="-112.1537235"/>
    <x v="29"/>
    <x v="2"/>
    <n v="0"/>
  </r>
  <r>
    <s v="Pebble &amp; Pine Pharmacy 7110 :  6640 W HAPPY VALLEY RD, GLENDALE, AZ"/>
    <x v="444"/>
    <x v="2"/>
    <n v="55993.991594411818"/>
    <n v="33.712447130000001"/>
    <n v="-112.20104000000001"/>
    <x v="29"/>
    <x v="2"/>
    <n v="0"/>
  </r>
  <r>
    <s v="Mr Fantastic's Emporium 47390 :  1025 N ESTRELLA PKWY, GOODYEAR, AZ"/>
    <x v="445"/>
    <x v="2"/>
    <n v="55993.991594411818"/>
    <s v="N/A"/>
    <s v="N/A"/>
    <x v="30"/>
    <x v="2"/>
    <n v="1"/>
  </r>
  <r>
    <s v="Bluebell Bazaar 2709177 :  1264 N LITCHFIELD RD, GOODYEAR, AZ"/>
    <x v="446"/>
    <x v="2"/>
    <n v="55993.991594411818"/>
    <n v="33.460270000000001"/>
    <n v="-112.35838440000001"/>
    <x v="30"/>
    <x v="2"/>
    <n v="1"/>
  </r>
  <r>
    <s v="Bluebell Bazaar 2709180 :  315 N LITCHFIELD RD, GOODYEAR, AZ"/>
    <x v="447"/>
    <x v="2"/>
    <n v="55993.991594411818"/>
    <n v="33.449994940000003"/>
    <n v="-112.3579713"/>
    <x v="30"/>
    <x v="2"/>
    <n v="1"/>
  </r>
  <r>
    <s v="Bluebell Bazaar 2709528 :  15535 W MCDOWELL RD, GOODYEAR, AZ"/>
    <x v="448"/>
    <x v="2"/>
    <n v="55993.991594411818"/>
    <n v="33.4645364"/>
    <n v="-112.3942823"/>
    <x v="30"/>
    <x v="2"/>
    <n v="1"/>
  </r>
  <r>
    <s v="Mossy Hollow Market 676 :  16380 W YUMA RD, GOODYEAR, AZ"/>
    <x v="449"/>
    <x v="2"/>
    <n v="55993.991594411818"/>
    <n v="33.435707020000002"/>
    <n v="-112.4100917"/>
    <x v="30"/>
    <x v="2"/>
    <n v="1"/>
  </r>
  <r>
    <s v="Haven Hearth Goods 1511 :  14175 W INDIAN SCHOOL BYPASS, GOODYEAR, AZ"/>
    <x v="450"/>
    <x v="2"/>
    <n v="55993.991594411818"/>
    <n v="33.485596780000002"/>
    <n v="-112.3641865"/>
    <x v="30"/>
    <x v="2"/>
    <n v="1"/>
  </r>
  <r>
    <s v="Haven Hearth Goods 2618 :  440 N ESTRELLA PKWY, GOODYEAR, AZ"/>
    <x v="451"/>
    <x v="2"/>
    <n v="55993.991594411818"/>
    <n v="33.451485630000001"/>
    <n v="-112.3927183"/>
    <x v="30"/>
    <x v="2"/>
    <n v="1"/>
  </r>
  <r>
    <s v="Haven Hearth Goods 3151 :  9890 S ESTRELLA PKWY, GOODYEAR, AZ"/>
    <x v="452"/>
    <x v="2"/>
    <n v="55993.991594411818"/>
    <n v="33.356885910000003"/>
    <n v="-112.426788"/>
    <x v="30"/>
    <x v="2"/>
    <n v="1"/>
  </r>
  <r>
    <s v="Jellybean Junction 2400 :  995 S COTTON LN, GOODYEAR, AZ"/>
    <x v="453"/>
    <x v="2"/>
    <n v="55993.991594411818"/>
    <n v="33.437478280000001"/>
    <n v="-112.4266363"/>
    <x v="30"/>
    <x v="2"/>
    <n v="1"/>
  </r>
  <r>
    <s v="Maplewood Mercantile 1242 :  1515 N LITCHFIELD RD, GOODYEAR, AZ"/>
    <x v="454"/>
    <x v="2"/>
    <n v="55993.991594411818"/>
    <n v="33.463279999999997"/>
    <n v="-112.3578156"/>
    <x v="30"/>
    <x v="2"/>
    <n v="1"/>
  </r>
  <r>
    <s v="Pebble &amp; Pine Pharmacy 12334 :  1654 N PEBBLE CREEK PKWY, GOODYEAR, AZ"/>
    <x v="455"/>
    <x v="2"/>
    <n v="55993.991594411818"/>
    <n v="33.465520380000001"/>
    <n v="-112.392714"/>
    <x v="30"/>
    <x v="2"/>
    <n v="0"/>
  </r>
  <r>
    <s v="Pebble &amp; Pine Pharmacy 12386 :  9800 S ESTRELLA PKWY, GOODYEAR, AZ"/>
    <x v="456"/>
    <x v="2"/>
    <n v="55993.991594411818"/>
    <n v="33.357477320000001"/>
    <n v="-112.42576099999999"/>
    <x v="30"/>
    <x v="2"/>
    <n v="0"/>
  </r>
  <r>
    <s v="Pebble &amp; Pine Pharmacy 2243 :  387 N ESTRELLA PKWY, GOODYEAR, AZ"/>
    <x v="457"/>
    <x v="2"/>
    <n v="55993.991594411818"/>
    <n v="33.450560000000003"/>
    <n v="-112.3922556"/>
    <x v="30"/>
    <x v="2"/>
    <n v="0"/>
  </r>
  <r>
    <s v="Pebble &amp; Pine Pharmacy 3657 :  3361 N LITCHFIELD RD, GOODYEAR, AZ"/>
    <x v="458"/>
    <x v="2"/>
    <n v="55993.991594411818"/>
    <n v="33.485151879999997"/>
    <n v="-112.3622469"/>
    <x v="30"/>
    <x v="2"/>
    <n v="0"/>
  </r>
  <r>
    <s v="Bluebell Bazaar 2706646 :  1619 W BASELINE RD, GUADALUPE, AZ"/>
    <x v="459"/>
    <x v="2"/>
    <n v="55993.991594411818"/>
    <n v="33.378042870000002"/>
    <n v="-111.964555"/>
    <x v="31"/>
    <x v="2"/>
    <n v="0"/>
  </r>
  <r>
    <s v="Bluebell Bazaar 2701844 :  3508 W BASELINE RD, LAVEEN, AZ"/>
    <x v="460"/>
    <x v="2"/>
    <n v="55993.991594411818"/>
    <n v="33.377877130000002"/>
    <n v="-112.1348"/>
    <x v="32"/>
    <x v="2"/>
    <n v="1"/>
  </r>
  <r>
    <s v="Bluebell Bazaar 2741655 :  5110 W BASELINE RD, LAVEEN, AZ"/>
    <x v="461"/>
    <x v="2"/>
    <n v="55993.991594411818"/>
    <n v="33.377767079999998"/>
    <n v="-112.1692146"/>
    <x v="32"/>
    <x v="2"/>
    <n v="1"/>
  </r>
  <r>
    <s v="Mossy Hollow Market 87 :  5140 W BASELINE, LAVEEN, AZ"/>
    <x v="462"/>
    <x v="2"/>
    <n v="55993.991594411818"/>
    <n v="33.377757019999997"/>
    <n v="-112.16977660000001"/>
    <x v="32"/>
    <x v="2"/>
    <n v="1"/>
  </r>
  <r>
    <s v="Haven Hearth Goods 2709 :  5035 W BASELINE RD, LAVEEN, AZ"/>
    <x v="463"/>
    <x v="2"/>
    <n v="55993.991594411818"/>
    <n v="33.377352870000003"/>
    <n v="-112.166695"/>
    <x v="32"/>
    <x v="2"/>
    <n v="1"/>
  </r>
  <r>
    <s v="Pebble &amp; Pine Pharmacy 9179 :  5115 W BASELINE RD, LAVEEN, AZ"/>
    <x v="464"/>
    <x v="2"/>
    <n v="55993.991594411818"/>
    <n v="33.377349959999997"/>
    <n v="-112.16862190000001"/>
    <x v="32"/>
    <x v="2"/>
    <n v="0"/>
  </r>
  <r>
    <s v="Driftwood Market 3926 :  12970 W INDIAN SCHOOL RD, LITCHFIELD PARK, AZ"/>
    <x v="465"/>
    <x v="2"/>
    <n v="55993.991594411818"/>
    <n v="33.493457130000003"/>
    <n v="-112.33861"/>
    <x v="33"/>
    <x v="2"/>
    <n v="0"/>
  </r>
  <r>
    <s v="Iron Pine Outpost 130 :  5115 N DYSART RD STE 150, LITCHFIELD PARK, AZ"/>
    <x v="466"/>
    <x v="2"/>
    <n v="55993.991594411818"/>
    <n v="33.509450000000001"/>
    <n v="-112.34064549999999"/>
    <x v="33"/>
    <x v="2"/>
    <n v="0"/>
  </r>
  <r>
    <s v="Bluebell Bazaar 2741705 :  13012 W INDIAN SCHOOL RD, LITCHFIELD PARK, AZ"/>
    <x v="467"/>
    <x v="2"/>
    <n v="55993.991594411818"/>
    <n v="33.49344713"/>
    <n v="-112.33984"/>
    <x v="33"/>
    <x v="2"/>
    <n v="1"/>
  </r>
  <r>
    <s v="Mossy Hollow Market 667 :  13730 W CAMELBACK RD, LITCHFIELD PARK, AZ"/>
    <x v="468"/>
    <x v="2"/>
    <n v="55993.991594411818"/>
    <n v="33.508386639999998"/>
    <n v="-112.3546699"/>
    <x v="33"/>
    <x v="2"/>
    <n v="1"/>
  </r>
  <r>
    <s v="Pebble &amp; Pine Pharmacy 7582 :  13014 W CAMELBACK RD, LITCHFIELD PARK, AZ"/>
    <x v="469"/>
    <x v="2"/>
    <n v="55993.991594411818"/>
    <n v="33.507986289999998"/>
    <n v="-112.33981180000001"/>
    <x v="33"/>
    <x v="2"/>
    <n v="0"/>
  </r>
  <r>
    <s v="Zippy’s Corner 1068604 :  LUKE AFB EXP/CL6/GAS (B1114), LUKE AFB, AZ"/>
    <x v="470"/>
    <x v="2"/>
    <n v="55993.991594411818"/>
    <n v="33.532179999999997"/>
    <n v="-112.30898999999999"/>
    <x v="34"/>
    <x v="2"/>
    <n v="1"/>
  </r>
  <r>
    <s v="Zippy’s Corner 1068635 :  LUKE AFB MAIN (B1540), LUKE AFB, AZ"/>
    <x v="471"/>
    <x v="2"/>
    <n v="55993.991594411818"/>
    <n v="33.532179999999997"/>
    <n v="-112.30898999999999"/>
    <x v="34"/>
    <x v="2"/>
    <n v="0"/>
  </r>
  <r>
    <s v="Zippy’s Corner 1068691 :  LUKE AFB MCSS (B1552), LUKE AFB, AZ"/>
    <x v="29"/>
    <x v="2"/>
    <n v="55993.991594411818"/>
    <n v="33.532179999999997"/>
    <n v="-112.30898999999999"/>
    <x v="34"/>
    <x v="2"/>
    <n v="0"/>
  </r>
  <r>
    <s v="Bluebell Bazaar 2703390 :  18141 N JOHN WAYNE PKWY, MARICOPA, AZ"/>
    <x v="472"/>
    <x v="2"/>
    <n v="55993.991594411818"/>
    <n v="33.044355609999997"/>
    <n v="-112.047697"/>
    <x v="35"/>
    <x v="2"/>
    <n v="1"/>
  </r>
  <r>
    <s v="Bluebell Bazaar 2706639 :  21212 N JOHN WAYNE PKWY, MARICOPA, AZ"/>
    <x v="473"/>
    <x v="2"/>
    <n v="55993.991594411818"/>
    <n v="33.072008959999998"/>
    <n v="-112.0447011"/>
    <x v="35"/>
    <x v="2"/>
    <n v="1"/>
  </r>
  <r>
    <s v="Pebble &amp; Pine Pharmacy 9264 :  21274 N JOHN WAYNE PKWY, MARICOPA, AZ"/>
    <x v="474"/>
    <x v="2"/>
    <n v="55993.991594411818"/>
    <n v="33.072809679999999"/>
    <n v="-112.0443023"/>
    <x v="35"/>
    <x v="2"/>
    <n v="0"/>
  </r>
  <r>
    <s v="Mr Fantastic's Emporium 20168 :  810 W BASELINE RD, MESA, AZ"/>
    <x v="475"/>
    <x v="2"/>
    <n v="55993.991594411818"/>
    <n v="33.378967129999999"/>
    <n v="-111.8490467"/>
    <x v="36"/>
    <x v="2"/>
    <n v="0"/>
  </r>
  <r>
    <s v="Mr Fantastic's Emporium 21821 :  815 S ALMA SCHOOL RD, MESA, AZ"/>
    <x v="476"/>
    <x v="2"/>
    <n v="55993.991594411818"/>
    <n v="33.40023635"/>
    <n v="-111.8568166"/>
    <x v="36"/>
    <x v="2"/>
    <n v="0"/>
  </r>
  <r>
    <s v="Mr Fantastic's Emporium 26201 :  2010 E MAIN ST, MESA, AZ"/>
    <x v="477"/>
    <x v="2"/>
    <n v="55993.991594411818"/>
    <n v="33.415597130000002"/>
    <n v="-111.78791"/>
    <x v="36"/>
    <x v="2"/>
    <n v="0"/>
  </r>
  <r>
    <s v="Mr Fantastic's Emporium 26620 :  411 S GILBERT RD, MESA, AZ"/>
    <x v="478"/>
    <x v="2"/>
    <n v="55993.991594411818"/>
    <n v="33.407694919999997"/>
    <n v="-111.7880358"/>
    <x v="36"/>
    <x v="2"/>
    <n v="0"/>
  </r>
  <r>
    <s v="Mr Fantastic's Emporium 27036 :  815 S DOBSON, MESA, AZ"/>
    <x v="479"/>
    <x v="2"/>
    <n v="55993.991594411818"/>
    <n v="33.400129999999997"/>
    <n v="-111.8744157"/>
    <x v="36"/>
    <x v="2"/>
    <n v="0"/>
  </r>
  <r>
    <s v="Snap &amp; Go 61 :  1836 S VAL VISTA DR, MESA, AZ"/>
    <x v="480"/>
    <x v="2"/>
    <n v="55993.991594411818"/>
    <n v="33.381781830000001"/>
    <n v="-111.7542035"/>
    <x v="36"/>
    <x v="2"/>
    <n v="0"/>
  </r>
  <r>
    <s v="Driftwood Market 1002 :  9243 E BASELINE, MESA, AZ"/>
    <x v="481"/>
    <x v="2"/>
    <n v="55993.991594411818"/>
    <n v="33.378892870000001"/>
    <n v="-111.6345671"/>
    <x v="36"/>
    <x v="2"/>
    <n v="0"/>
  </r>
  <r>
    <s v="Driftwood Market 1948 :  441 N VAL VIS, MESA, AZ"/>
    <x v="482"/>
    <x v="2"/>
    <n v="55993.991594411818"/>
    <n v="33.423679999999997"/>
    <n v="-111.7534557"/>
    <x v="36"/>
    <x v="2"/>
    <n v="0"/>
  </r>
  <r>
    <s v="Driftwood Market 3989 :  2727 N POWER RD, MESA, AZ"/>
    <x v="483"/>
    <x v="2"/>
    <n v="55993.991594411818"/>
    <n v="33.46528473"/>
    <n v="-111.68371569999999"/>
    <x v="36"/>
    <x v="2"/>
    <n v="0"/>
  </r>
  <r>
    <s v="Driftwood Market 958 :  325 S POWER RD, MESA, AZ"/>
    <x v="484"/>
    <x v="2"/>
    <n v="55993.991594411818"/>
    <n v="33.409861130000003"/>
    <n v="-111.6842857"/>
    <x v="36"/>
    <x v="2"/>
    <n v="0"/>
  </r>
  <r>
    <s v="Driftwood Market 980 :  1951 W BASELINE, MESA, AZ"/>
    <x v="485"/>
    <x v="2"/>
    <n v="55993.991594411818"/>
    <n v="33.378352880000001"/>
    <n v="-111.8760175"/>
    <x v="36"/>
    <x v="2"/>
    <n v="0"/>
  </r>
  <r>
    <s v="Iron Pine Outpost 110 :  1133 N ELLSWORTH RD, MESA, AZ"/>
    <x v="486"/>
    <x v="2"/>
    <n v="55993.991594411818"/>
    <n v="33.435935749999999"/>
    <n v="-111.6323664"/>
    <x v="36"/>
    <x v="2"/>
    <n v="0"/>
  </r>
  <r>
    <s v="Iron Pine Outpost 155 :  9925 E BASELINE, MESA, AZ"/>
    <x v="487"/>
    <x v="2"/>
    <n v="55993.991594411818"/>
    <n v="33.378833129999997"/>
    <n v="-111.62085980000001"/>
    <x v="36"/>
    <x v="2"/>
    <n v="0"/>
  </r>
  <r>
    <s v="Iron Pine Outpost 51 :  1122 N HIGLEY RD, MESA, AZ"/>
    <x v="488"/>
    <x v="2"/>
    <n v="55993.991594411818"/>
    <n v="33.43618"/>
    <n v="-111.71917430000001"/>
    <x v="36"/>
    <x v="2"/>
    <n v="0"/>
  </r>
  <r>
    <s v="Iron Pine Outpost 73 :  2864 N POWER RD, MESA, AZ"/>
    <x v="489"/>
    <x v="2"/>
    <n v="55993.991594411818"/>
    <n v="33.468080579999999"/>
    <n v="-111.6841852"/>
    <x v="36"/>
    <x v="2"/>
    <n v="0"/>
  </r>
  <r>
    <s v="Rusty Cart Grocers 10 :  1342 E MAIN ST, MESA, AZ"/>
    <x v="490"/>
    <x v="2"/>
    <n v="55993.991594411818"/>
    <n v="33.415386349999999"/>
    <n v="-111.8028786"/>
    <x v="36"/>
    <x v="2"/>
    <n v="0"/>
  </r>
  <r>
    <s v="Rusty Cart Grocers 123 :  822 S ALMA SCHOOL RD, MESA, AZ"/>
    <x v="491"/>
    <x v="2"/>
    <n v="55993.991594411818"/>
    <n v="33.399551719999998"/>
    <n v="-111.8571689"/>
    <x v="36"/>
    <x v="2"/>
    <n v="0"/>
  </r>
  <r>
    <s v="Rusty Cart Grocers 2 :  339 E BROWN RD, MESA, AZ"/>
    <x v="492"/>
    <x v="2"/>
    <n v="55993.991594411818"/>
    <n v="33.435295529999998"/>
    <n v="-111.82423780000001"/>
    <x v="36"/>
    <x v="2"/>
    <n v="0"/>
  </r>
  <r>
    <s v="Rusty Cart Grocers 25 :  450 E SOUTHERN AVE, MESA, AZ"/>
    <x v="493"/>
    <x v="2"/>
    <n v="55993.991594411818"/>
    <n v="33.393537129999999"/>
    <n v="-111.82153"/>
    <x v="36"/>
    <x v="2"/>
    <n v="0"/>
  </r>
  <r>
    <s v="Bluebell Bazaar 2700085 :  1154 W 8TH ST, MESA, AZ"/>
    <x v="494"/>
    <x v="2"/>
    <n v="55993.991594411818"/>
    <n v="33.429561790000001"/>
    <n v="-111.8559175"/>
    <x v="36"/>
    <x v="2"/>
    <n v="1"/>
  </r>
  <r>
    <s v="Bluebell Bazaar 2700103 :  801 S COUNTRY CLUB DR, MESA, AZ"/>
    <x v="495"/>
    <x v="2"/>
    <n v="55993.991594411818"/>
    <n v="33.400559999999999"/>
    <n v="-111.8398857"/>
    <x v="36"/>
    <x v="2"/>
    <n v="0"/>
  </r>
  <r>
    <s v="Bluebell Bazaar 2700401 :  11 E MCKELLIPS RD, MESA, AZ"/>
    <x v="496"/>
    <x v="2"/>
    <n v="55993.991594411818"/>
    <n v="33.451332870000002"/>
    <n v="-111.8308356"/>
    <x v="36"/>
    <x v="2"/>
    <n v="0"/>
  </r>
  <r>
    <s v="Bluebell Bazaar 2700433 :  2709 W GUADALUPE RD, MESA, AZ"/>
    <x v="497"/>
    <x v="2"/>
    <n v="55993.991594411818"/>
    <n v="33.363682869999998"/>
    <n v="-111.89227"/>
    <x v="36"/>
    <x v="2"/>
    <n v="0"/>
  </r>
  <r>
    <s v="Bluebell Bazaar 2700849 :  9615 E UNIVERSITY DR, MESA, AZ"/>
    <x v="498"/>
    <x v="2"/>
    <n v="55993.991594411818"/>
    <n v="33.42222288"/>
    <n v="-111.62321780000001"/>
    <x v="36"/>
    <x v="2"/>
    <n v="0"/>
  </r>
  <r>
    <s v="Bluebell Bazaar 2701149 :  1955 W UNIVERSITY DR, MESA, AZ"/>
    <x v="499"/>
    <x v="2"/>
    <n v="55993.991594411818"/>
    <n v="33.421982870000001"/>
    <n v="-111.873795"/>
    <x v="36"/>
    <x v="2"/>
    <n v="1"/>
  </r>
  <r>
    <s v="Bluebell Bazaar 2701202 :  2005 N BUSH HWY, MESA, AZ"/>
    <x v="500"/>
    <x v="2"/>
    <n v="55993.991594411818"/>
    <n v="33.451839999999997"/>
    <n v="-111.6838556"/>
    <x v="36"/>
    <x v="2"/>
    <n v="1"/>
  </r>
  <r>
    <s v="Bluebell Bazaar 2701250 :  330 E BROADWAY RD, MESA, AZ"/>
    <x v="501"/>
    <x v="2"/>
    <n v="55993.991594411818"/>
    <n v="33.40794167"/>
    <n v="-111.8234659"/>
    <x v="36"/>
    <x v="2"/>
    <n v="0"/>
  </r>
  <r>
    <s v="Bluebell Bazaar 2701343 :  1550 N COUNTRY CLUB DR, MESA, AZ"/>
    <x v="502"/>
    <x v="2"/>
    <n v="55993.991594411818"/>
    <n v="33.44359"/>
    <n v="-111.83997429999999"/>
    <x v="36"/>
    <x v="2"/>
    <n v="0"/>
  </r>
  <r>
    <s v="Bluebell Bazaar 2701479 :  809 E SOUTHERN AVE, MESA, AZ"/>
    <x v="503"/>
    <x v="2"/>
    <n v="55993.991594411818"/>
    <n v="33.393202870000003"/>
    <n v="-111.81399709999999"/>
    <x v="36"/>
    <x v="2"/>
    <n v="0"/>
  </r>
  <r>
    <s v="Bluebell Bazaar 2701574 :  2012 W SOUTHERN AVE, MESA, AZ"/>
    <x v="504"/>
    <x v="2"/>
    <n v="55993.991594411818"/>
    <n v="33.393267129999998"/>
    <n v="-111.8752394"/>
    <x v="36"/>
    <x v="2"/>
    <n v="1"/>
  </r>
  <r>
    <s v="Bluebell Bazaar 2701671 :  2815 E UNIVERSITY DR, MESA, AZ"/>
    <x v="505"/>
    <x v="2"/>
    <n v="55993.991594411818"/>
    <n v="33.422552869999997"/>
    <n v="-111.77065690000001"/>
    <x v="36"/>
    <x v="2"/>
    <n v="1"/>
  </r>
  <r>
    <s v="Bluebell Bazaar 2701994 :  310 N MESA DR, MESA, AZ"/>
    <x v="506"/>
    <x v="2"/>
    <n v="55993.991594411818"/>
    <n v="33.421999999999997"/>
    <n v="-111.8230343"/>
    <x v="36"/>
    <x v="2"/>
    <n v="0"/>
  </r>
  <r>
    <s v="Bluebell Bazaar 2701996 :  3550 E MAIN ST, MESA, AZ"/>
    <x v="507"/>
    <x v="2"/>
    <n v="55993.991594411818"/>
    <n v="33.415707130000001"/>
    <n v="-111.7546024"/>
    <x v="36"/>
    <x v="2"/>
    <n v="0"/>
  </r>
  <r>
    <s v="Bluebell Bazaar 2703365 :  1959 S GREENFIELD RD, MESA, AZ"/>
    <x v="508"/>
    <x v="2"/>
    <n v="55993.991594411818"/>
    <n v="33.380090000000003"/>
    <n v="-111.7394358"/>
    <x v="36"/>
    <x v="2"/>
    <n v="0"/>
  </r>
  <r>
    <s v="Bluebell Bazaar 2703381 :  1202 N POWER RD, MESA, AZ"/>
    <x v="509"/>
    <x v="2"/>
    <n v="55993.991594411818"/>
    <n v="33.437583609999997"/>
    <n v="-111.6845343"/>
    <x v="36"/>
    <x v="2"/>
    <n v="1"/>
  </r>
  <r>
    <s v="Bluebell Bazaar 2703463 :  9228 E GUADALUPE RD, MESA, AZ"/>
    <x v="510"/>
    <x v="2"/>
    <n v="55993.991594411818"/>
    <n v="33.364858779999999"/>
    <n v="-111.63529629999999"/>
    <x v="36"/>
    <x v="2"/>
    <n v="1"/>
  </r>
  <r>
    <s v="Bluebell Bazaar 2703476 :  415 N STAPLEY DR, MESA, AZ"/>
    <x v="511"/>
    <x v="2"/>
    <n v="55993.991594411818"/>
    <n v="33.42294235"/>
    <n v="-111.8051057"/>
    <x v="36"/>
    <x v="2"/>
    <n v="0"/>
  </r>
  <r>
    <s v="Bluebell Bazaar 2705284 :  410 N CTR, MESA, AZ"/>
    <x v="512"/>
    <x v="2"/>
    <n v="55993.991594411818"/>
    <n v="33.43591"/>
    <n v="-111.84935"/>
    <x v="36"/>
    <x v="2"/>
    <n v="0"/>
  </r>
  <r>
    <s v="Bluebell Bazaar 2705320 :  4420 E SOUTHERN AVE, MESA, AZ"/>
    <x v="513"/>
    <x v="2"/>
    <n v="55993.991594411818"/>
    <n v="33.393927130000002"/>
    <n v="-111.73592499999999"/>
    <x v="36"/>
    <x v="2"/>
    <n v="0"/>
  </r>
  <r>
    <s v="Bluebell Bazaar 2705401 :  417 S DOBSON RD, MESA, AZ"/>
    <x v="514"/>
    <x v="2"/>
    <n v="55993.991594411818"/>
    <n v="33.407350000000001"/>
    <n v="-111.8742757"/>
    <x v="36"/>
    <x v="2"/>
    <n v="0"/>
  </r>
  <r>
    <s v="Bluebell Bazaar 2706287 :  4425 E MAIN ST, MESA, AZ"/>
    <x v="515"/>
    <x v="2"/>
    <n v="55993.991594411818"/>
    <n v="33.415272870000003"/>
    <n v="-111.7359663"/>
    <x v="36"/>
    <x v="2"/>
    <n v="0"/>
  </r>
  <r>
    <s v="Bluebell Bazaar 2706346 :  1810 S COUNTRY CLUB DR, MESA, AZ"/>
    <x v="516"/>
    <x v="2"/>
    <n v="55993.991594411818"/>
    <n v="33.382137899999996"/>
    <n v="-111.8403404"/>
    <x v="36"/>
    <x v="2"/>
    <n v="1"/>
  </r>
  <r>
    <s v="Bluebell Bazaar 2706356 :  1203 E SOUTHERN AVE, MESA, AZ"/>
    <x v="517"/>
    <x v="2"/>
    <n v="55993.991594411818"/>
    <n v="33.393202870000003"/>
    <n v="-111.8049438"/>
    <x v="36"/>
    <x v="2"/>
    <n v="0"/>
  </r>
  <r>
    <s v="Bluebell Bazaar 2706357 :  1850 S STAPLEY DR, MESA, AZ"/>
    <x v="518"/>
    <x v="2"/>
    <n v="55993.991594411818"/>
    <n v="33.381111330000003"/>
    <n v="-111.8070469"/>
    <x v="36"/>
    <x v="2"/>
    <n v="1"/>
  </r>
  <r>
    <s v="Bluebell Bazaar 2706361 :  2760 E BASELINE RD, MESA, AZ"/>
    <x v="519"/>
    <x v="2"/>
    <n v="55993.991594411818"/>
    <n v="33.379197009999999"/>
    <n v="-111.7719132"/>
    <x v="36"/>
    <x v="2"/>
    <n v="0"/>
  </r>
  <r>
    <s v="Bluebell Bazaar 2706459 :  1557 S VAL VISTA DR, MESA, AZ"/>
    <x v="520"/>
    <x v="2"/>
    <n v="55993.991594411818"/>
    <n v="33.38850403"/>
    <n v="-111.7536108"/>
    <x v="36"/>
    <x v="2"/>
    <n v="0"/>
  </r>
  <r>
    <s v="Bluebell Bazaar 2706461 :  2808 S DOBSON RD, MESA, AZ"/>
    <x v="521"/>
    <x v="2"/>
    <n v="55993.991594411818"/>
    <n v="33.363309170000001"/>
    <n v="-111.87673270000001"/>
    <x v="36"/>
    <x v="2"/>
    <n v="1"/>
  </r>
  <r>
    <s v="Bluebell Bazaar 2706641 :  4353 S POWER RD, MESA, AZ"/>
    <x v="522"/>
    <x v="2"/>
    <n v="55993.991594411818"/>
    <n v="33.336816849999998"/>
    <n v="-111.6870029"/>
    <x v="36"/>
    <x v="2"/>
    <n v="1"/>
  </r>
  <r>
    <s v="Bluebell Bazaar 2706642 :  425 S CRISMON RD, MESA, AZ"/>
    <x v="523"/>
    <x v="2"/>
    <n v="55993.991594411818"/>
    <n v="33.406232500000002"/>
    <n v="-111.6151957"/>
    <x v="36"/>
    <x v="2"/>
    <n v="1"/>
  </r>
  <r>
    <s v="Bluebell Bazaar 2706649 :  1953 E SOUTHERN AVE, MESA, AZ"/>
    <x v="524"/>
    <x v="2"/>
    <n v="55993.991594411818"/>
    <n v="33.393422289999997"/>
    <n v="-111.7897202"/>
    <x v="36"/>
    <x v="2"/>
    <n v="0"/>
  </r>
  <r>
    <s v="Bluebell Bazaar 2706656 :  2011 E MCKELLIPS RD, MESA, AZ"/>
    <x v="525"/>
    <x v="2"/>
    <n v="55993.991594411818"/>
    <n v="33.451622870000001"/>
    <n v="-111.7873608"/>
    <x v="36"/>
    <x v="2"/>
    <n v="1"/>
  </r>
  <r>
    <s v="Bluebell Bazaar 2706660 :  2005 W BROADWAY RD, MESA, AZ"/>
    <x v="526"/>
    <x v="2"/>
    <n v="55993.991594411818"/>
    <n v="33.40738855"/>
    <n v="-111.87502600000001"/>
    <x v="36"/>
    <x v="2"/>
    <n v="0"/>
  </r>
  <r>
    <s v="Bluebell Bazaar 2706661 :  7546 E BASELINE RD, MESA, AZ"/>
    <x v="527"/>
    <x v="2"/>
    <n v="55993.991594411818"/>
    <n v="33.37941713"/>
    <n v="-111.667835"/>
    <x v="36"/>
    <x v="2"/>
    <n v="1"/>
  </r>
  <r>
    <s v="Bluebell Bazaar 2708512 :  6005 E MCKELLIPS RD, MESA, AZ"/>
    <x v="528"/>
    <x v="2"/>
    <n v="55993.991594411818"/>
    <n v="33.451722869999998"/>
    <n v="-111.7013857"/>
    <x v="36"/>
    <x v="2"/>
    <n v="0"/>
  </r>
  <r>
    <s v="Bluebell Bazaar 2708749 :  1145 W MAIN ST, MESA, AZ"/>
    <x v="529"/>
    <x v="2"/>
    <n v="55993.991594411818"/>
    <n v="33.414694840000003"/>
    <n v="-111.85626430000001"/>
    <x v="36"/>
    <x v="2"/>
    <n v="0"/>
  </r>
  <r>
    <s v="Bluebell Bazaar 2709153 :  1210 S HIGLEY RD, MESA, AZ"/>
    <x v="530"/>
    <x v="2"/>
    <n v="55993.991594411818"/>
    <n v="33.393500000000003"/>
    <n v="-111.7195742"/>
    <x v="36"/>
    <x v="2"/>
    <n v="0"/>
  </r>
  <r>
    <s v="Bluebell Bazaar 2709173 :  1817 W BASELINE RD, MESA, AZ"/>
    <x v="531"/>
    <x v="2"/>
    <n v="55993.991594411818"/>
    <n v="33.378382870000003"/>
    <n v="-111.87361"/>
    <x v="36"/>
    <x v="2"/>
    <n v="0"/>
  </r>
  <r>
    <s v="Bluebell Bazaar 2709179 :  1203 S POWER RD, MESA, AZ"/>
    <x v="532"/>
    <x v="2"/>
    <n v="55993.991594411818"/>
    <n v="33.393848689999999"/>
    <n v="-111.6844569"/>
    <x v="36"/>
    <x v="2"/>
    <n v="1"/>
  </r>
  <r>
    <s v="Bluebell Bazaar 2709191 :  1153 SIGNAL BUTTE RD, MESA, AZ"/>
    <x v="533"/>
    <x v="2"/>
    <n v="55993.991594411818"/>
    <n v="33.394751329999998"/>
    <n v="-111.5978631"/>
    <x v="36"/>
    <x v="2"/>
    <n v="1"/>
  </r>
  <r>
    <s v="Bluebell Bazaar 2709538 :  9230 E UNIVERSITY DR, MESA, AZ"/>
    <x v="534"/>
    <x v="2"/>
    <n v="55993.991594411818"/>
    <n v="33.422490109999998"/>
    <n v="-111.6320972"/>
    <x v="36"/>
    <x v="2"/>
    <n v="1"/>
  </r>
  <r>
    <s v="Bluebell Bazaar 2709557 :  824 W BROADWAY RD, MESA, AZ"/>
    <x v="535"/>
    <x v="2"/>
    <n v="55993.991594411818"/>
    <n v="33.407885630000003"/>
    <n v="-111.84909829999999"/>
    <x v="36"/>
    <x v="2"/>
    <n v="1"/>
  </r>
  <r>
    <s v="Bluebell Bazaar 2741603 :  5205 E MCKELLIPS RD, MESA, AZ"/>
    <x v="536"/>
    <x v="2"/>
    <n v="55993.991594411818"/>
    <n v="33.451712870000001"/>
    <n v="-111.71826"/>
    <x v="36"/>
    <x v="2"/>
    <n v="0"/>
  </r>
  <r>
    <s v="Bluebell Bazaar 2741615 :  2754 N POWER RD, MESA, AZ"/>
    <x v="537"/>
    <x v="2"/>
    <n v="55993.991594411818"/>
    <n v="33.465730000000001"/>
    <n v="-111.6842044"/>
    <x v="36"/>
    <x v="2"/>
    <n v="0"/>
  </r>
  <r>
    <s v="Bluebell Bazaar 2741621 :  5158 E UNIVERSITY DR, MESA, AZ"/>
    <x v="538"/>
    <x v="2"/>
    <n v="55993.991594411818"/>
    <n v="33.422943779999997"/>
    <n v="-111.72047739999999"/>
    <x v="36"/>
    <x v="2"/>
    <n v="0"/>
  </r>
  <r>
    <s v="Bluebell Bazaar 2741630 :  401 S ELLSWORTH RD, MESA, AZ"/>
    <x v="539"/>
    <x v="2"/>
    <n v="55993.991594411818"/>
    <n v="33.406759999999998"/>
    <n v="-111.63254569999999"/>
    <x v="36"/>
    <x v="2"/>
    <n v="1"/>
  </r>
  <r>
    <s v="Bluebell Bazaar 2741676 :  809 N DOBSON RD, MESA, AZ"/>
    <x v="540"/>
    <x v="2"/>
    <n v="55993.991594411818"/>
    <n v="33.429902749999997"/>
    <n v="-111.87399240000001"/>
    <x v="36"/>
    <x v="2"/>
    <n v="1"/>
  </r>
  <r>
    <s v="Bluebell Bazaar 2741707 :  2011 S ELLSWORTH RD, MESA, AZ"/>
    <x v="541"/>
    <x v="2"/>
    <n v="55993.991594411818"/>
    <n v="33.378495479999998"/>
    <n v="-111.6359559"/>
    <x v="36"/>
    <x v="2"/>
    <n v="1"/>
  </r>
  <r>
    <s v="Mossy Hollow Market 113 :  1245 W MAIN ST, MESA, AZ"/>
    <x v="542"/>
    <x v="2"/>
    <n v="55993.991594411818"/>
    <n v="33.414665499999998"/>
    <n v="-111.85790540000001"/>
    <x v="36"/>
    <x v="2"/>
    <n v="1"/>
  </r>
  <r>
    <s v="Mossy Hollow Market 115 :  435 S ELLSWORTH, MESA, AZ"/>
    <x v="543"/>
    <x v="2"/>
    <n v="55993.991594411818"/>
    <n v="33.406344920000002"/>
    <n v="-111.63255580000001"/>
    <x v="36"/>
    <x v="2"/>
    <n v="1"/>
  </r>
  <r>
    <s v="Mossy Hollow Market 123 :  2727 E BRDWAY, MESA, AZ"/>
    <x v="544"/>
    <x v="2"/>
    <n v="55993.991594411818"/>
    <n v="33.397219999999997"/>
    <n v="-111.78758999999999"/>
    <x v="36"/>
    <x v="2"/>
    <n v="1"/>
  </r>
  <r>
    <s v="Mossy Hollow Market 23 :  5941 E MCKELLIPS RD, MESA, AZ"/>
    <x v="545"/>
    <x v="2"/>
    <n v="55993.991594411818"/>
    <n v="33.451722869999998"/>
    <n v="-111.70267579999999"/>
    <x v="36"/>
    <x v="2"/>
    <n v="1"/>
  </r>
  <r>
    <s v="Mossy Hollow Market 55 :  1915 S POWER RD, MESA, AZ"/>
    <x v="546"/>
    <x v="2"/>
    <n v="55993.991594411818"/>
    <n v="33.3810626"/>
    <n v="-111.68741780000001"/>
    <x v="36"/>
    <x v="2"/>
    <n v="1"/>
  </r>
  <r>
    <s v="Mossy Hollow Market 611 :  4440 E MAIN ST, MESA, AZ"/>
    <x v="547"/>
    <x v="2"/>
    <n v="55993.991594411818"/>
    <n v="33.415697129999998"/>
    <n v="-111.7345533"/>
    <x v="36"/>
    <x v="2"/>
    <n v="1"/>
  </r>
  <r>
    <s v="Mossy Hollow Market 62 :  554 W BASELINE RD, MESA, AZ"/>
    <x v="548"/>
    <x v="2"/>
    <n v="55993.991594411818"/>
    <n v="33.37897856"/>
    <n v="-111.8435771"/>
    <x v="36"/>
    <x v="2"/>
    <n v="1"/>
  </r>
  <r>
    <s v="Mossy Hollow Market 622 :  1935 N STAPLEY DR, MESA, AZ"/>
    <x v="549"/>
    <x v="2"/>
    <n v="55993.991594411818"/>
    <n v="33.450705579999997"/>
    <n v="-111.80473569999999"/>
    <x v="36"/>
    <x v="2"/>
    <n v="1"/>
  </r>
  <r>
    <s v="Mossy Hollow Market 686 :  2724 S SIGNAL BUTTE RD, MESA, AZ"/>
    <x v="550"/>
    <x v="2"/>
    <n v="55993.991594411818"/>
    <n v="33.365484160000001"/>
    <n v="-111.6013952"/>
    <x v="36"/>
    <x v="2"/>
    <n v="1"/>
  </r>
  <r>
    <s v="Haven Hearth Goods 1637 :  3622 E SOUTHERN AVE, MESA, AZ"/>
    <x v="551"/>
    <x v="2"/>
    <n v="55993.991594411818"/>
    <n v="33.393837130000001"/>
    <n v="-111.75241080000001"/>
    <x v="36"/>
    <x v="2"/>
    <n v="0"/>
  </r>
  <r>
    <s v="Haven Hearth Goods 1717 :  1902 W MAIN ST, MESA, AZ"/>
    <x v="552"/>
    <x v="2"/>
    <n v="55993.991594411818"/>
    <n v="33.415117129999999"/>
    <n v="-111.8719588"/>
    <x v="36"/>
    <x v="2"/>
    <n v="1"/>
  </r>
  <r>
    <s v="Haven Hearth Goods 247 :  1225 W GUADALUPE RD, MESA, AZ"/>
    <x v="553"/>
    <x v="2"/>
    <n v="55993.991594411818"/>
    <n v="33.36409287"/>
    <n v="-111.85988999999999"/>
    <x v="36"/>
    <x v="2"/>
    <n v="1"/>
  </r>
  <r>
    <s v="Haven Hearth Goods 2644 :  1855 N POWER RD, MESA, AZ"/>
    <x v="554"/>
    <x v="2"/>
    <n v="55993.991594411818"/>
    <n v="33.450444879999999"/>
    <n v="-111.6838656"/>
    <x v="36"/>
    <x v="2"/>
    <n v="0"/>
  </r>
  <r>
    <s v="Haven Hearth Goods 2922 :  4316 S SIGNAL BUTTE RD, MESA, AZ"/>
    <x v="555"/>
    <x v="2"/>
    <n v="55993.991594411818"/>
    <n v="33.336859910000001"/>
    <n v="-111.6010127"/>
    <x v="36"/>
    <x v="2"/>
    <n v="1"/>
  </r>
  <r>
    <s v="Glowstone Supplies 43049 :  7266 S ELLSWORTH RD, MESA, AZ"/>
    <x v="556"/>
    <x v="2"/>
    <n v="55993.991594411818"/>
    <n v="33.321440000000003"/>
    <n v="-111.63463"/>
    <x v="36"/>
    <x v="2"/>
    <n v="1"/>
  </r>
  <r>
    <s v="Jellybean Junction 1959 :  5110 S POWER RD, MESA, AZ"/>
    <x v="557"/>
    <x v="2"/>
    <n v="55993.991594411818"/>
    <n v="33.32347"/>
    <n v="-111.6871641"/>
    <x v="36"/>
    <x v="2"/>
    <n v="1"/>
  </r>
  <r>
    <s v="Maplewood Mercantile 1386 :  2151 N POWER RD, MESA, AZ"/>
    <x v="558"/>
    <x v="2"/>
    <n v="55993.991594411818"/>
    <n v="33.453802889999999"/>
    <n v="-111.6838407"/>
    <x v="36"/>
    <x v="2"/>
    <n v="1"/>
  </r>
  <r>
    <s v="Maplewood Mercantile 1429 :  1230 S LONGMORE AVE, MESA, AZ"/>
    <x v="559"/>
    <x v="2"/>
    <n v="55993.991594411818"/>
    <n v="33.392308190000001"/>
    <n v="-111.86389699999999"/>
    <x v="36"/>
    <x v="2"/>
    <n v="1"/>
  </r>
  <r>
    <s v="Maplewood Mercantile 251 :  1135 S GILBERT RD, MESA, AZ"/>
    <x v="560"/>
    <x v="2"/>
    <n v="55993.991594411818"/>
    <n v="33.394390000000001"/>
    <n v="-111.78804580000001"/>
    <x v="36"/>
    <x v="2"/>
    <n v="1"/>
  </r>
  <r>
    <s v="Maplewood Mercantile 639 :  1525 S POWER RD, MESA, AZ"/>
    <x v="561"/>
    <x v="2"/>
    <n v="55993.991594411818"/>
    <n v="33.38895333"/>
    <n v="-111.6845058"/>
    <x v="36"/>
    <x v="2"/>
    <n v="1"/>
  </r>
  <r>
    <s v="Pebble &amp; Pine Pharmacy 11182 :  1130 W SOUTHERN AVE, MESA, AZ"/>
    <x v="562"/>
    <x v="2"/>
    <n v="55993.991594411818"/>
    <n v="33.393309109999997"/>
    <n v="-111.856013"/>
    <x v="36"/>
    <x v="2"/>
    <n v="0"/>
  </r>
  <r>
    <s v="Pebble &amp; Pine Pharmacy 12335 :  10825 E BASELINE RD, MESA, AZ"/>
    <x v="563"/>
    <x v="2"/>
    <n v="55993.991594411818"/>
    <n v="33.378712870000001"/>
    <n v="-111.60057999999999"/>
    <x v="36"/>
    <x v="2"/>
    <n v="0"/>
  </r>
  <r>
    <s v="Pebble &amp; Pine Pharmacy 2771 :  1305 S GREENFIELD RD, MESA, AZ"/>
    <x v="564"/>
    <x v="2"/>
    <n v="55993.991594411818"/>
    <n v="33.391964999999999"/>
    <n v="-111.73638579999999"/>
    <x v="36"/>
    <x v="2"/>
    <n v="0"/>
  </r>
  <r>
    <s v="Pebble &amp; Pine Pharmacy 3215 :  1935 N POWER RD, MESA, AZ"/>
    <x v="565"/>
    <x v="2"/>
    <n v="55993.991594411818"/>
    <n v="33.451196080000003"/>
    <n v="-111.6838657"/>
    <x v="36"/>
    <x v="2"/>
    <n v="0"/>
  </r>
  <r>
    <s v="Pebble &amp; Pine Pharmacy 3591 :  2811 E BROADWAY RD, MESA, AZ"/>
    <x v="566"/>
    <x v="2"/>
    <n v="55993.991594411818"/>
    <n v="33.40801287"/>
    <n v="-111.7704067"/>
    <x v="36"/>
    <x v="2"/>
    <n v="0"/>
  </r>
  <r>
    <s v="Pebble &amp; Pine Pharmacy 3670 :  1159 E SOUTHERN AVE, MESA, AZ"/>
    <x v="567"/>
    <x v="2"/>
    <n v="55993.991594411818"/>
    <n v="33.393212869999999"/>
    <n v="-111.80627"/>
    <x v="36"/>
    <x v="2"/>
    <n v="0"/>
  </r>
  <r>
    <s v="Pebble &amp; Pine Pharmacy 3728 :  7059 E BASELINE RD, MESA, AZ"/>
    <x v="568"/>
    <x v="2"/>
    <n v="55993.991594411818"/>
    <n v="33.37922287"/>
    <n v="-111.6816986"/>
    <x v="36"/>
    <x v="2"/>
    <n v="0"/>
  </r>
  <r>
    <s v="Pebble &amp; Pine Pharmacy 3767 :  2737 E MCKELLIPS RD, MESA, AZ"/>
    <x v="569"/>
    <x v="2"/>
    <n v="55993.991594411818"/>
    <n v="33.45166287"/>
    <n v="-111.77243"/>
    <x v="36"/>
    <x v="2"/>
    <n v="0"/>
  </r>
  <r>
    <s v="Pebble &amp; Pine Pharmacy 4435 :  4420 E BROWN RD, MESA, AZ"/>
    <x v="570"/>
    <x v="2"/>
    <n v="55993.991594411818"/>
    <n v="33.437419400000003"/>
    <n v="-111.7349292"/>
    <x v="36"/>
    <x v="2"/>
    <n v="0"/>
  </r>
  <r>
    <s v="Pebble &amp; Pine Pharmacy 5039 :  746 W UNIVERSITY DR, MESA, AZ"/>
    <x v="571"/>
    <x v="2"/>
    <n v="55993.991594411818"/>
    <n v="33.422397119999999"/>
    <n v="-111.8477321"/>
    <x v="36"/>
    <x v="2"/>
    <n v="0"/>
  </r>
  <r>
    <s v="Pebble &amp; Pine Pharmacy 5392 :  420 S SOSSAMAN RD, MESA, AZ"/>
    <x v="572"/>
    <x v="2"/>
    <n v="55993.991594411818"/>
    <n v="33.407276670000002"/>
    <n v="-111.6676243"/>
    <x v="36"/>
    <x v="2"/>
    <n v="0"/>
  </r>
  <r>
    <s v="Pebble &amp; Pine Pharmacy 5701 :  1158 S CRISMON RD, MESA, AZ"/>
    <x v="573"/>
    <x v="2"/>
    <n v="55993.991594411818"/>
    <n v="33.39436619"/>
    <n v="-111.6155619"/>
    <x v="36"/>
    <x v="2"/>
    <n v="0"/>
  </r>
  <r>
    <s v="Pebble &amp; Pine Pharmacy 6026 :  3624 N POWER RD, MESA, AZ"/>
    <x v="574"/>
    <x v="2"/>
    <n v="55993.991594411818"/>
    <n v="33.481375"/>
    <n v="-111.68414439999999"/>
    <x v="36"/>
    <x v="2"/>
    <n v="0"/>
  </r>
  <r>
    <s v="Pebble &amp; Pine Pharmacy 6177 :  1135 N MESA DR, MESA, AZ"/>
    <x v="575"/>
    <x v="2"/>
    <n v="55993.991594411818"/>
    <n v="33.436117609999997"/>
    <n v="-111.82249590000001"/>
    <x v="36"/>
    <x v="2"/>
    <n v="0"/>
  </r>
  <r>
    <s v="Pebble &amp; Pine Pharmacy 6582 :  9230 E MAIN ST, MESA, AZ"/>
    <x v="576"/>
    <x v="2"/>
    <n v="55993.991594411818"/>
    <n v="33.415507079999998"/>
    <n v="-111.63135459999999"/>
    <x v="36"/>
    <x v="2"/>
    <n v="0"/>
  </r>
  <r>
    <s v="Pebble &amp; Pine Pharmacy 6784 :  2024 W MAIN ST, MESA, AZ"/>
    <x v="577"/>
    <x v="2"/>
    <n v="55993.991594411818"/>
    <n v="33.415097060000001"/>
    <n v="-111.8751053"/>
    <x v="36"/>
    <x v="2"/>
    <n v="0"/>
  </r>
  <r>
    <s v="Pebble &amp; Pine Pharmacy 7558 :  9233 E GUADALUPE RD, MESA, AZ"/>
    <x v="578"/>
    <x v="2"/>
    <n v="55993.991594411818"/>
    <n v="33.364453009999998"/>
    <n v="-111.6352875"/>
    <x v="36"/>
    <x v="2"/>
    <n v="0"/>
  </r>
  <r>
    <s v="Pebble &amp; Pine Pharmacy 7828 :  6002 E MAIN ST, MESA, AZ"/>
    <x v="579"/>
    <x v="2"/>
    <n v="55993.991594411818"/>
    <n v="33.415807129999997"/>
    <n v="-111.7017086"/>
    <x v="36"/>
    <x v="2"/>
    <n v="0"/>
  </r>
  <r>
    <s v="Pebble &amp; Pine Pharmacy 9202 :  1142 W GUADALUPE RD, MESA, AZ"/>
    <x v="580"/>
    <x v="2"/>
    <n v="55993.991594411818"/>
    <n v="33.364377130000001"/>
    <n v="-111.85822"/>
    <x v="36"/>
    <x v="2"/>
    <n v="0"/>
  </r>
  <r>
    <s v="Mr Fantastic's Emporium 26638 :  6720 W OLIVE AVE, PEORIA, AZ"/>
    <x v="581"/>
    <x v="2"/>
    <n v="55993.991594411818"/>
    <n v="33.567284819999998"/>
    <n v="-112.2033321"/>
    <x v="37"/>
    <x v="2"/>
    <n v="0"/>
  </r>
  <r>
    <s v="Driftwood Market 1971 :  8950 W BELL RD, PEORIA, AZ"/>
    <x v="582"/>
    <x v="2"/>
    <n v="55993.991594411818"/>
    <n v="33.638317129999997"/>
    <n v="-112.2518"/>
    <x v="37"/>
    <x v="2"/>
    <n v="0"/>
  </r>
  <r>
    <s v="Driftwood Market 991 :  8240 W DEER VALLEY RD, PEORIA, AZ"/>
    <x v="583"/>
    <x v="2"/>
    <n v="55993.991594411818"/>
    <n v="33.681727850000001"/>
    <n v="-112.2364316"/>
    <x v="37"/>
    <x v="2"/>
    <n v="0"/>
  </r>
  <r>
    <s v="Cloudline Provisions 83862 :  8271 W THUNDERBIRD RD, PEORIA, AZ"/>
    <x v="584"/>
    <x v="2"/>
    <n v="55993.991594411818"/>
    <n v="33.609783020000002"/>
    <n v="-112.23754219999999"/>
    <x v="37"/>
    <x v="2"/>
    <n v="0"/>
  </r>
  <r>
    <s v="Iron Pine Outpost 102 :  20351 N LAKE PLEASANT RD, PEORIA, AZ"/>
    <x v="585"/>
    <x v="2"/>
    <n v="55993.991594411818"/>
    <n v="33.66854"/>
    <n v="-112.2797152"/>
    <x v="37"/>
    <x v="2"/>
    <n v="0"/>
  </r>
  <r>
    <s v="Bluebell Bazaar 2701054 :  18610 N 107TH AVE, PEORIA, AZ"/>
    <x v="586"/>
    <x v="2"/>
    <n v="55993.991594411818"/>
    <n v="33.570979999999999"/>
    <n v="-112.24777"/>
    <x v="37"/>
    <x v="2"/>
    <n v="0"/>
  </r>
  <r>
    <s v="Bluebell Bazaar 2701065 :  9049 W PEORIA AVE, PEORIA, AZ"/>
    <x v="587"/>
    <x v="2"/>
    <n v="55993.991594411818"/>
    <n v="33.580704310000002"/>
    <n v="-112.2544402"/>
    <x v="37"/>
    <x v="2"/>
    <n v="0"/>
  </r>
  <r>
    <s v="Bluebell Bazaar 2701646 :  7510 W PEORIA AVE, PEORIA, AZ"/>
    <x v="588"/>
    <x v="2"/>
    <n v="55993.991594411818"/>
    <n v="33.581522280000002"/>
    <n v="-112.2204662"/>
    <x v="37"/>
    <x v="2"/>
    <n v="0"/>
  </r>
  <r>
    <s v="Bluebell Bazaar 2701785 :  7460 W CACTUS RD, PEORIA, AZ"/>
    <x v="589"/>
    <x v="2"/>
    <n v="55993.991594411818"/>
    <n v="33.596007120000003"/>
    <n v="-112.21952229999999"/>
    <x v="37"/>
    <x v="2"/>
    <n v="0"/>
  </r>
  <r>
    <s v="Bluebell Bazaar 2703367 :  8327 W THUNDERBIRD RD, PEORIA, AZ"/>
    <x v="590"/>
    <x v="2"/>
    <n v="55993.991594411818"/>
    <n v="33.609780890000003"/>
    <n v="-112.2377791"/>
    <x v="37"/>
    <x v="2"/>
    <n v="0"/>
  </r>
  <r>
    <s v="Bluebell Bazaar 2703392 :  8277 W OLIVE AVE, PEORIA, AZ"/>
    <x v="591"/>
    <x v="2"/>
    <n v="55993.991594411818"/>
    <n v="33.566342980000002"/>
    <n v="-112.2374834"/>
    <x v="37"/>
    <x v="2"/>
    <n v="1"/>
  </r>
  <r>
    <s v="Bluebell Bazaar 2705544 :  8326 W UNION HILLS DR, PEORIA, AZ"/>
    <x v="592"/>
    <x v="2"/>
    <n v="55993.991594411818"/>
    <n v="33.652857130000001"/>
    <n v="-112.23822"/>
    <x v="37"/>
    <x v="2"/>
    <n v="1"/>
  </r>
  <r>
    <s v="Bluebell Bazaar 2705573 :  8319 W BELL RD, PEORIA, AZ"/>
    <x v="593"/>
    <x v="2"/>
    <n v="55993.991594411818"/>
    <n v="33.637902869999998"/>
    <n v="-112.23506500000001"/>
    <x v="37"/>
    <x v="2"/>
    <n v="1"/>
  </r>
  <r>
    <s v="Bluebell Bazaar 2705914 :  8325 W DEER VALLEY RD, PEORIA, AZ"/>
    <x v="594"/>
    <x v="2"/>
    <n v="55993.991594411818"/>
    <n v="33.681432870000002"/>
    <n v="-112.23832"/>
    <x v="37"/>
    <x v="2"/>
    <n v="0"/>
  </r>
  <r>
    <s v="Bluebell Bazaar 2706468 :  9476 W OLIVE AVE, PEORIA, AZ"/>
    <x v="595"/>
    <x v="2"/>
    <n v="55993.991594411818"/>
    <n v="33.566194009999997"/>
    <n v="-112.2631342"/>
    <x v="37"/>
    <x v="2"/>
    <n v="0"/>
  </r>
  <r>
    <s v="Bluebell Bazaar 2706672 :  23336 N LAKE PLEASANT PKWY, PEORIA, AZ"/>
    <x v="596"/>
    <x v="2"/>
    <n v="55993.991594411818"/>
    <n v="33.695537229999999"/>
    <n v="-112.2759337"/>
    <x v="37"/>
    <x v="2"/>
    <n v="1"/>
  </r>
  <r>
    <s v="Bluebell Bazaar 2709155 :  8720 W BELL RD, PEORIA, AZ"/>
    <x v="597"/>
    <x v="2"/>
    <n v="55993.991594411818"/>
    <n v="33.63832713"/>
    <n v="-112.2467589"/>
    <x v="37"/>
    <x v="2"/>
    <n v="1"/>
  </r>
  <r>
    <s v="Bluebell Bazaar 2709176 :  6735 W PEORIA AVE, PEORIA, AZ"/>
    <x v="598"/>
    <x v="2"/>
    <n v="55993.991594411818"/>
    <n v="33.581482870000002"/>
    <n v="-112.20366110000001"/>
    <x v="37"/>
    <x v="2"/>
    <n v="0"/>
  </r>
  <r>
    <s v="Bluebell Bazaar 2741631 :  8270 W CACTUS RD, PEORIA, AZ"/>
    <x v="599"/>
    <x v="2"/>
    <n v="55993.991594411818"/>
    <n v="33.595628769999998"/>
    <n v="-112.2371606"/>
    <x v="37"/>
    <x v="2"/>
    <n v="1"/>
  </r>
  <r>
    <s v="Bluebell Bazaar 2741683 :  28460 N VISTANCIA BLVD, PEORIA, AZ"/>
    <x v="600"/>
    <x v="2"/>
    <n v="55993.991594411818"/>
    <n v="33.760553700000003"/>
    <n v="-112.3385749"/>
    <x v="37"/>
    <x v="2"/>
    <n v="1"/>
  </r>
  <r>
    <s v="Mossy Hollow Market 114 :  9245 W UNION HLS, PEORIA, AZ"/>
    <x v="601"/>
    <x v="2"/>
    <n v="55993.991594411818"/>
    <n v="33.655500000000004"/>
    <n v="-112.24764999999999"/>
    <x v="37"/>
    <x v="2"/>
    <n v="1"/>
  </r>
  <r>
    <s v="Mossy Hollow Market 45 :  7455 W CACTUS RD, PEORIA, AZ"/>
    <x v="602"/>
    <x v="2"/>
    <n v="55993.991594411818"/>
    <n v="33.595744160000002"/>
    <n v="-112.219297"/>
    <x v="37"/>
    <x v="2"/>
    <n v="1"/>
  </r>
  <r>
    <s v="Mossy Hollow Market 56 :  9043 W OLIVE AVE, PEORIA, AZ"/>
    <x v="603"/>
    <x v="2"/>
    <n v="55993.991594411818"/>
    <n v="33.566167020000002"/>
    <n v="-112.25339080000001"/>
    <x v="37"/>
    <x v="2"/>
    <n v="1"/>
  </r>
  <r>
    <s v="Mossy Hollow Market 657 :  25401 N LAKE PLEASANT PKWY, PEORIA, AZ"/>
    <x v="604"/>
    <x v="2"/>
    <n v="55993.991594411818"/>
    <n v="33.714479529999998"/>
    <n v="-112.2708492"/>
    <x v="37"/>
    <x v="2"/>
    <n v="1"/>
  </r>
  <r>
    <s v="Mossy Hollow Market 683 :  11701 W LONE MOUNTAIN PKWY, PEORIA, AZ"/>
    <x v="605"/>
    <x v="2"/>
    <n v="55993.991594411818"/>
    <s v="N/A"/>
    <s v="N/A"/>
    <x v="37"/>
    <x v="2"/>
    <n v="1"/>
  </r>
  <r>
    <s v="Mossy Hollow Market 74 :  8375 W DEER VALLEY RD, PEORIA, AZ"/>
    <x v="606"/>
    <x v="2"/>
    <n v="55993.991594411818"/>
    <n v="33.681432870000002"/>
    <n v="-112.239408"/>
    <x v="37"/>
    <x v="2"/>
    <n v="1"/>
  </r>
  <r>
    <s v="Sunny Pebble Co. 801 :  8369 W BELL RD, PEORIA, AZ"/>
    <x v="607"/>
    <x v="2"/>
    <n v="55993.991594411818"/>
    <n v="33.637922889999999"/>
    <n v="-112.2409631"/>
    <x v="37"/>
    <x v="2"/>
    <n v="0"/>
  </r>
  <r>
    <s v="Haven Hearth Goods 1662 :  10641 W OLIVE AVE, PEORIA, AZ"/>
    <x v="608"/>
    <x v="2"/>
    <n v="55993.991594411818"/>
    <n v="33.565494489999999"/>
    <n v="-112.2879921"/>
    <x v="37"/>
    <x v="2"/>
    <n v="1"/>
  </r>
  <r>
    <s v="Haven Hearth Goods 1841 :  12320 N 83RD AVE, PEORIA, AZ"/>
    <x v="609"/>
    <x v="2"/>
    <n v="55993.991594411818"/>
    <n v="33.59657129"/>
    <n v="-112.2379284"/>
    <x v="37"/>
    <x v="2"/>
    <n v="1"/>
  </r>
  <r>
    <s v="Haven Hearth Goods 2799 :  2845 N VISTANCIA BLVD, PEORIA, AZ"/>
    <x v="610"/>
    <x v="2"/>
    <n v="55993.991594411818"/>
    <n v="33.779179999999997"/>
    <n v="-112.30379000000001"/>
    <x v="37"/>
    <x v="2"/>
    <n v="0"/>
  </r>
  <r>
    <s v="Haven Hearth Goods 72 :  8010 W HAPPY VALLEY RD, PEORIA, AZ"/>
    <x v="611"/>
    <x v="2"/>
    <n v="55993.991594411818"/>
    <s v="N/A"/>
    <s v="N/A"/>
    <x v="37"/>
    <x v="2"/>
    <n v="0"/>
  </r>
  <r>
    <s v="Jellybean Junction 2227 :  24890 N LAKE PLEASANT PKWY, PEORIA, AZ"/>
    <x v="612"/>
    <x v="2"/>
    <n v="55993.991594411818"/>
    <n v="33.709591519999996"/>
    <n v="-112.272823"/>
    <x v="37"/>
    <x v="2"/>
    <n v="1"/>
  </r>
  <r>
    <s v="Maplewood Mercantile 825 :  8055 W BELL RD, PEORIA, AZ"/>
    <x v="613"/>
    <x v="2"/>
    <n v="55993.991594411818"/>
    <n v="33.637912870000001"/>
    <n v="-112.23074"/>
    <x v="37"/>
    <x v="2"/>
    <n v="1"/>
  </r>
  <r>
    <s v="Pebble &amp; Pine Pharmacy 10241 :  28516 N EL MIRAGE RD, PEORIA, AZ"/>
    <x v="614"/>
    <x v="2"/>
    <n v="55993.991594411818"/>
    <n v="33.741312280000002"/>
    <n v="-112.3230334"/>
    <x v="37"/>
    <x v="2"/>
    <n v="0"/>
  </r>
  <r>
    <s v="Pebble &amp; Pine Pharmacy 3048 :  9050 W UNION HILLS DR, PEORIA, AZ"/>
    <x v="615"/>
    <x v="2"/>
    <n v="55993.991594411818"/>
    <n v="33.652777129999997"/>
    <n v="-112.25416"/>
    <x v="37"/>
    <x v="2"/>
    <n v="0"/>
  </r>
  <r>
    <s v="Pebble &amp; Pine Pharmacy 3427 :  7448 W THUNDERBIRD RD, PEORIA, AZ"/>
    <x v="616"/>
    <x v="2"/>
    <n v="55993.991594411818"/>
    <n v="33.610537119999996"/>
    <n v="-112.2193224"/>
    <x v="37"/>
    <x v="2"/>
    <n v="0"/>
  </r>
  <r>
    <s v="Pebble &amp; Pine Pharmacy 4742 :  8310 W DEER VALLEY RD, PEORIA, AZ"/>
    <x v="617"/>
    <x v="2"/>
    <n v="55993.991594411818"/>
    <n v="33.681707129999999"/>
    <n v="-112.23860999999999"/>
    <x v="37"/>
    <x v="2"/>
    <n v="0"/>
  </r>
  <r>
    <s v="Pebble &amp; Pine Pharmacy 5222 :  9040 W PEORIA AVE, PEORIA, AZ"/>
    <x v="618"/>
    <x v="2"/>
    <n v="55993.991594411818"/>
    <n v="33.580985939999998"/>
    <n v="-112.2539945"/>
    <x v="37"/>
    <x v="2"/>
    <n v="0"/>
  </r>
  <r>
    <s v="Pebble &amp; Pine Pharmacy 5353 :  20266 N LAKE PLEASANT RD, PEORIA, AZ"/>
    <x v="619"/>
    <x v="2"/>
    <n v="55993.991594411818"/>
    <n v="33.667724999999997"/>
    <n v="-112.2801948"/>
    <x v="37"/>
    <x v="2"/>
    <n v="0"/>
  </r>
  <r>
    <s v="Mr Fantastic's Emporium 13026 :  4511 N 24TH ST, PHOENIX, AZ"/>
    <x v="620"/>
    <x v="2"/>
    <n v="55993.991594411818"/>
    <n v="33.50221947"/>
    <n v="-112.0300455"/>
    <x v="38"/>
    <x v="2"/>
    <n v="0"/>
  </r>
  <r>
    <s v="Mr Fantastic's Emporium 16082 :  4831 N 75TH AVE, PHOENIX, AZ"/>
    <x v="621"/>
    <x v="2"/>
    <n v="55993.991594411818"/>
    <n v="33.507442859999998"/>
    <n v="-112.22029550000001"/>
    <x v="38"/>
    <x v="2"/>
    <n v="0"/>
  </r>
  <r>
    <s v="Mr Fantastic's Emporium 16398 :  2424 W GREENWAY RD, PHOENIX, AZ"/>
    <x v="622"/>
    <x v="2"/>
    <n v="55993.991594411818"/>
    <n v="33.625435699999997"/>
    <n v="-112.1123283"/>
    <x v="38"/>
    <x v="2"/>
    <n v="0"/>
  </r>
  <r>
    <s v="Mr Fantastic's Emporium 18117 :  2651 W GLENDALE AVE, PHOENIX, AZ"/>
    <x v="623"/>
    <x v="2"/>
    <n v="55993.991594411818"/>
    <n v="33.538432870000001"/>
    <n v="-112.1157633"/>
    <x v="38"/>
    <x v="2"/>
    <n v="0"/>
  </r>
  <r>
    <s v="Mr Fantastic's Emporium 19158 :  5901 W MCDOWELL RD, PHOENIX, AZ"/>
    <x v="624"/>
    <x v="2"/>
    <n v="55993.991594411818"/>
    <n v="33.46583287"/>
    <n v="-112.18653999999999"/>
    <x v="38"/>
    <x v="2"/>
    <n v="0"/>
  </r>
  <r>
    <s v="Mr Fantastic's Emporium 19650 :  4748 E MCDOWELL RD, PHOENIX, AZ"/>
    <x v="625"/>
    <x v="2"/>
    <n v="55993.991594411818"/>
    <n v="33.465867129999999"/>
    <n v="-111.9791455"/>
    <x v="38"/>
    <x v="2"/>
    <n v="0"/>
  </r>
  <r>
    <s v="Mr Fantastic's Emporium 20212 :  1950 E INDIAN SCHOOL RD, PHOENIX, AZ"/>
    <x v="626"/>
    <x v="2"/>
    <n v="55993.991594411818"/>
    <n v="33.494964490000001"/>
    <n v="-112.0400004"/>
    <x v="38"/>
    <x v="2"/>
    <n v="0"/>
  </r>
  <r>
    <s v="Mr Fantastic's Emporium 20416 :  3306 W BELL RD, PHOENIX, AZ"/>
    <x v="627"/>
    <x v="2"/>
    <n v="55993.991594411818"/>
    <n v="33.639865530000002"/>
    <n v="-112.13003380000001"/>
    <x v="38"/>
    <x v="2"/>
    <n v="0"/>
  </r>
  <r>
    <s v="Mr Fantastic's Emporium 20433 :  12033 N 28TH DR, PHOENIX, AZ"/>
    <x v="628"/>
    <x v="2"/>
    <n v="55993.991594411818"/>
    <n v="33.595849999999999"/>
    <n v="-112.1199354"/>
    <x v="38"/>
    <x v="2"/>
    <n v="0"/>
  </r>
  <r>
    <s v="Mr Fantastic's Emporium 20622 :  646 W INDIAN SCHOOL RD, PHOENIX, AZ"/>
    <x v="629"/>
    <x v="2"/>
    <n v="55993.991594411818"/>
    <n v="33.495007129999998"/>
    <n v="-112.0826667"/>
    <x v="38"/>
    <x v="2"/>
    <n v="0"/>
  </r>
  <r>
    <s v="Mr Fantastic's Emporium 21040 :  5135 E THOMAS RD, PHOENIX, AZ"/>
    <x v="630"/>
    <x v="2"/>
    <n v="55993.991594411818"/>
    <n v="33.47991287"/>
    <n v="-111.9704636"/>
    <x v="38"/>
    <x v="2"/>
    <n v="0"/>
  </r>
  <r>
    <s v="Mr Fantastic's Emporium 22886 :  3912 E CAMELBACK, PHOENIX, AZ"/>
    <x v="631"/>
    <x v="2"/>
    <n v="55993.991594411818"/>
    <n v="33.510077129999999"/>
    <n v="-111.99722180000001"/>
    <x v="38"/>
    <x v="2"/>
    <n v="0"/>
  </r>
  <r>
    <s v="Mr Fantastic's Emporium 23215 :  3948 E THOMAS, PHOENIX, AZ"/>
    <x v="632"/>
    <x v="2"/>
    <n v="55993.991594411818"/>
    <n v="33.480562910000003"/>
    <n v="-111.9966002"/>
    <x v="38"/>
    <x v="2"/>
    <n v="0"/>
  </r>
  <r>
    <s v="Mr Fantastic's Emporium 24169 :  850 E BELL, PHOENIX, AZ"/>
    <x v="633"/>
    <x v="2"/>
    <n v="55993.991594411818"/>
    <n v="33.640530589999997"/>
    <n v="-112.0621373"/>
    <x v="38"/>
    <x v="2"/>
    <n v="0"/>
  </r>
  <r>
    <s v="Mr Fantastic's Emporium 26085 :  1850 W GLENDALE, PHOENIX, AZ"/>
    <x v="634"/>
    <x v="2"/>
    <n v="55993.991594411818"/>
    <n v="33.538765869999999"/>
    <n v="-112.09838190000001"/>
    <x v="38"/>
    <x v="2"/>
    <n v="0"/>
  </r>
  <r>
    <s v="Mr Fantastic's Emporium 26086 :  3201 E SHEA BLVD, PHOENIX, AZ"/>
    <x v="635"/>
    <x v="2"/>
    <n v="55993.991594411818"/>
    <n v="33.58232297"/>
    <n v="-112.01307370000001"/>
    <x v="38"/>
    <x v="2"/>
    <n v="0"/>
  </r>
  <r>
    <s v="Mr Fantastic's Emporium 26123 :  5850 W THOMAS RD, PHOENIX, AZ"/>
    <x v="636"/>
    <x v="2"/>
    <n v="55993.991594411818"/>
    <n v="33.480657129999997"/>
    <n v="-112.18638"/>
    <x v="38"/>
    <x v="2"/>
    <n v="0"/>
  </r>
  <r>
    <s v="Mr Fantastic's Emporium 27401 :  4748 E VAN BUREN, PHOENIX, AZ"/>
    <x v="637"/>
    <x v="2"/>
    <n v="55993.991594411818"/>
    <n v="33.451247129999999"/>
    <n v="-111.97928829999999"/>
    <x v="38"/>
    <x v="2"/>
    <n v="0"/>
  </r>
  <r>
    <s v="Mr Fantastic's Emporium 27518 :  4840 N 67TH AVE, PHOENIX, AZ"/>
    <x v="638"/>
    <x v="2"/>
    <n v="55993.991594411818"/>
    <n v="33.508606579999999"/>
    <n v="-112.20332449999999"/>
    <x v="38"/>
    <x v="2"/>
    <n v="0"/>
  </r>
  <r>
    <s v="Mr Fantastic's Emporium 32319 :  19848 N 27TH AVE, PHOENIX, AZ"/>
    <x v="639"/>
    <x v="2"/>
    <n v="55993.991594411818"/>
    <n v="33.666805050000001"/>
    <n v="-112.1175085"/>
    <x v="38"/>
    <x v="2"/>
    <n v="1"/>
  </r>
  <r>
    <s v="Mr Fantastic's Emporium 32824 :  9910 W INDIAN SCHOOL RD, PHOENIX, AZ"/>
    <x v="640"/>
    <x v="2"/>
    <n v="55993.991594411818"/>
    <n v="33.493906729999999"/>
    <n v="-112.2729126"/>
    <x v="38"/>
    <x v="2"/>
    <n v="0"/>
  </r>
  <r>
    <s v="Mr Fantastic's Emporium 42313 :  1818 S 7TH ST, PHOENIX, AZ"/>
    <x v="641"/>
    <x v="2"/>
    <n v="55993.991594411818"/>
    <s v="N/A"/>
    <s v="N/A"/>
    <x v="38"/>
    <x v="2"/>
    <n v="0"/>
  </r>
  <r>
    <s v="Snap &amp; Go 159 :  4430 E CAMELBACK RD, PHOENIX, AZ"/>
    <x v="642"/>
    <x v="2"/>
    <n v="55993.991594411818"/>
    <n v="33.509537129999998"/>
    <n v="-111.98384"/>
    <x v="38"/>
    <x v="2"/>
    <n v="0"/>
  </r>
  <r>
    <s v="Snap &amp; Go 64 :  5017 N CENTRAL AVE, PHOENIX, AZ"/>
    <x v="643"/>
    <x v="2"/>
    <n v="55993.991594411818"/>
    <n v="33.509827219999998"/>
    <n v="-112.07357930000001"/>
    <x v="38"/>
    <x v="2"/>
    <n v="0"/>
  </r>
  <r>
    <s v="Driftwood Market 25 :  21001 N TATUM BLVD, PHOENIX, AZ"/>
    <x v="644"/>
    <x v="2"/>
    <n v="55993.991594411818"/>
    <n v="33.677403120000001"/>
    <n v="-111.97711889999999"/>
    <x v="38"/>
    <x v="2"/>
    <n v="1"/>
  </r>
  <r>
    <s v="Driftwood Market 2952 :  8035 N 19TH AVE, PHOENIX, AZ"/>
    <x v="645"/>
    <x v="2"/>
    <n v="55993.991594411818"/>
    <n v="33.554724849999999"/>
    <n v="-112.0994954"/>
    <x v="38"/>
    <x v="2"/>
    <n v="0"/>
  </r>
  <r>
    <s v="Driftwood Market 2985 :  18411 N CAVE CREEK RD, PHOENIX, AZ"/>
    <x v="646"/>
    <x v="2"/>
    <n v="55993.991594411818"/>
    <n v="33.653559999999999"/>
    <n v="-112.0306853"/>
    <x v="38"/>
    <x v="2"/>
    <n v="0"/>
  </r>
  <r>
    <s v="Driftwood Market 4 :  3130 W CAREFREE HWY, PHOENIX, AZ"/>
    <x v="647"/>
    <x v="2"/>
    <n v="55993.991594411818"/>
    <n v="33.79853713"/>
    <n v="-112.1271601"/>
    <x v="38"/>
    <x v="2"/>
    <n v="1"/>
  </r>
  <r>
    <s v="Cloudline Provisions 42974 :  1601 N 43RD AVE, PHOENIX, AZ"/>
    <x v="648"/>
    <x v="2"/>
    <n v="55993.991594411818"/>
    <n v="33.465948099999999"/>
    <n v="-112.1516256"/>
    <x v="38"/>
    <x v="2"/>
    <n v="1"/>
  </r>
  <r>
    <s v="Cloudline Provisions 82533 :  7849 N 43RD AVE, PHOENIX, AZ"/>
    <x v="649"/>
    <x v="2"/>
    <n v="55993.991594411818"/>
    <n v="33.5512856"/>
    <n v="-112.151353"/>
    <x v="38"/>
    <x v="2"/>
    <n v="0"/>
  </r>
  <r>
    <s v="Cloudline Provisions 82562 :  1601 N 27TH AVE, PHOENIX, AZ"/>
    <x v="650"/>
    <x v="2"/>
    <n v="55993.991594411818"/>
    <n v="33.465940000000003"/>
    <n v="-112.1169656"/>
    <x v="38"/>
    <x v="2"/>
    <n v="0"/>
  </r>
  <r>
    <s v="Cloudline Provisions 82733 :  1201 E NORTHERN AVE, PHOENIX, AZ"/>
    <x v="651"/>
    <x v="2"/>
    <n v="55993.991594411818"/>
    <n v="33.552903059999998"/>
    <n v="-112.0565714"/>
    <x v="38"/>
    <x v="2"/>
    <n v="0"/>
  </r>
  <r>
    <s v="Cloudline Provisions 82745 :  935 N 43RD AVE, PHOENIX, AZ"/>
    <x v="652"/>
    <x v="2"/>
    <n v="55993.991594411818"/>
    <n v="33.458999259999999"/>
    <n v="-112.15168250000001"/>
    <x v="38"/>
    <x v="2"/>
    <n v="1"/>
  </r>
  <r>
    <s v="Cloudline Provisions 83853 :  12222 N 32ND ST, PHOENIX, AZ"/>
    <x v="653"/>
    <x v="2"/>
    <n v="55993.991594411818"/>
    <n v="33.59767909"/>
    <n v="-112.0134185"/>
    <x v="38"/>
    <x v="2"/>
    <n v="0"/>
  </r>
  <r>
    <s v="Cloudline Provisions 83857 :  5101 W THOMAS RD, PHOENIX, AZ"/>
    <x v="654"/>
    <x v="2"/>
    <n v="55993.991594411818"/>
    <n v="33.480342870000001"/>
    <n v="-112.16898"/>
    <x v="38"/>
    <x v="2"/>
    <n v="0"/>
  </r>
  <r>
    <s v="Iron Pine Outpost 11 :  4855 E WARNER RD, PHOENIX, AZ"/>
    <x v="655"/>
    <x v="2"/>
    <n v="55993.991594411818"/>
    <n v="33.331230120000001"/>
    <n v="-111.9789603"/>
    <x v="38"/>
    <x v="2"/>
    <n v="0"/>
  </r>
  <r>
    <s v="Iron Pine Outpost 113 :  731 E UNION HILLS DR, PHOENIX, AZ"/>
    <x v="656"/>
    <x v="2"/>
    <n v="55993.991594411818"/>
    <n v="33.654715469999999"/>
    <n v="-112.0633524"/>
    <x v="38"/>
    <x v="2"/>
    <n v="0"/>
  </r>
  <r>
    <s v="Iron Pine Outpost 15 :  10631 N 32ND ST, PHOENIX, AZ"/>
    <x v="657"/>
    <x v="2"/>
    <n v="55993.991594411818"/>
    <n v="33.582864479999998"/>
    <n v="-112.01292429999999"/>
    <x v="38"/>
    <x v="2"/>
    <n v="0"/>
  </r>
  <r>
    <s v="Iron Pine Outpost 158 :  5555 N 7TH ST # 130, PHOENIX, AZ"/>
    <x v="658"/>
    <x v="2"/>
    <n v="55993.991594411818"/>
    <n v="33.518193330000003"/>
    <n v="-112.0648255"/>
    <x v="38"/>
    <x v="2"/>
    <n v="0"/>
  </r>
  <r>
    <s v="Rusty Cart Grocers 103 :  4239 W MCDOWELL RD, PHOENIX, AZ"/>
    <x v="659"/>
    <x v="2"/>
    <n v="55993.991594411818"/>
    <n v="33.465813369999999"/>
    <n v="-112.1506613"/>
    <x v="38"/>
    <x v="2"/>
    <n v="0"/>
  </r>
  <r>
    <s v="Rusty Cart Grocers 104 :  3202 E GREENWAY RD, PHOENIX, AZ"/>
    <x v="660"/>
    <x v="2"/>
    <n v="55993.991594411818"/>
    <n v="33.626537130000003"/>
    <n v="-112.0132564"/>
    <x v="38"/>
    <x v="2"/>
    <n v="0"/>
  </r>
  <r>
    <s v="Rusty Cart Grocers 105 :  3514 W GLENDALE AVE, PHOENIX, AZ"/>
    <x v="661"/>
    <x v="2"/>
    <n v="55993.991594411818"/>
    <n v="33.53865012"/>
    <n v="-112.1348184"/>
    <x v="38"/>
    <x v="2"/>
    <n v="0"/>
  </r>
  <r>
    <s v="Rusty Cart Grocers 107 :  7227 S CENTRAL AVE, PHOENIX, AZ"/>
    <x v="662"/>
    <x v="2"/>
    <n v="55993.991594411818"/>
    <n v="33.380948330000002"/>
    <n v="-112.0730958"/>
    <x v="38"/>
    <x v="2"/>
    <n v="0"/>
  </r>
  <r>
    <s v="Rusty Cart Grocers 12 :  2124 E MCDOWELL RD, PHOENIX, AZ"/>
    <x v="663"/>
    <x v="2"/>
    <n v="55993.991594411818"/>
    <n v="33.465958739999998"/>
    <n v="-112.03544840000001"/>
    <x v="38"/>
    <x v="2"/>
    <n v="0"/>
  </r>
  <r>
    <s v="Rusty Cart Grocers 132 :  2709 W VAN BUREN ST, PHOENIX, AZ"/>
    <x v="664"/>
    <x v="2"/>
    <n v="55993.991594411818"/>
    <n v="33.450966260000001"/>
    <n v="-112.11794829999999"/>
    <x v="38"/>
    <x v="2"/>
    <n v="0"/>
  </r>
  <r>
    <s v="Rusty Cart Grocers 135 :  5114 W MCDOWELL RD, PHOENIX, AZ"/>
    <x v="665"/>
    <x v="2"/>
    <n v="55993.991594411818"/>
    <n v="33.466107129999997"/>
    <n v="-112.16952999999999"/>
    <x v="38"/>
    <x v="2"/>
    <n v="0"/>
  </r>
  <r>
    <s v="Rusty Cart Grocers 140 :  6544 W THOMAS RD STE 33, PHOENIX, AZ"/>
    <x v="666"/>
    <x v="2"/>
    <n v="55993.991594411818"/>
    <n v="33.480497130000003"/>
    <n v="-112.20049469999999"/>
    <x v="38"/>
    <x v="2"/>
    <n v="0"/>
  </r>
  <r>
    <s v="Rusty Cart Grocers 143 :  4430 E MCDOWELL RD, PHOENIX, AZ"/>
    <x v="667"/>
    <x v="2"/>
    <n v="55993.991594411818"/>
    <n v="33.465917130000001"/>
    <n v="-111.9863613"/>
    <x v="38"/>
    <x v="2"/>
    <n v="0"/>
  </r>
  <r>
    <s v="Rusty Cart Grocers 148 :  3205 E MCDOWELL RD, PHOENIX, AZ"/>
    <x v="668"/>
    <x v="2"/>
    <n v="55993.991594411818"/>
    <n v="33.465602869999998"/>
    <n v="-112.01269000000001"/>
    <x v="38"/>
    <x v="2"/>
    <n v="0"/>
  </r>
  <r>
    <s v="Rusty Cart Grocers 149 :  6025 N 27TH AVE, PHOENIX, AZ"/>
    <x v="669"/>
    <x v="2"/>
    <n v="55993.991594411818"/>
    <n v="33.524721990000003"/>
    <n v="-112.1167255"/>
    <x v="38"/>
    <x v="2"/>
    <n v="0"/>
  </r>
  <r>
    <s v="Rusty Cart Grocers 152 :  4727 E SOUTHERN AVE, PHOENIX, AZ"/>
    <x v="670"/>
    <x v="2"/>
    <n v="55993.991594411818"/>
    <n v="33.392602920000002"/>
    <n v="-111.9792253"/>
    <x v="38"/>
    <x v="2"/>
    <n v="0"/>
  </r>
  <r>
    <s v="Rusty Cart Grocers 154 :  9020 W THOMAS RD, PHOENIX, AZ"/>
    <x v="671"/>
    <x v="2"/>
    <n v="55993.991594411818"/>
    <n v="33.47983851"/>
    <n v="-112.2530253"/>
    <x v="38"/>
    <x v="2"/>
    <n v="0"/>
  </r>
  <r>
    <s v="Rusty Cart Grocers 162 :  845 W SOUTHERN AVE, PHOENIX, AZ"/>
    <x v="672"/>
    <x v="2"/>
    <n v="55993.991594411818"/>
    <n v="33.39207287"/>
    <n v="-112.084075"/>
    <x v="38"/>
    <x v="2"/>
    <n v="0"/>
  </r>
  <r>
    <s v="Rusty Cart Grocers 94 :  3442 W VAN BUREN ST, PHOENIX, AZ"/>
    <x v="673"/>
    <x v="2"/>
    <n v="55993.991594411818"/>
    <n v="33.451541409999997"/>
    <n v="-112.1333637"/>
    <x v="38"/>
    <x v="2"/>
    <n v="0"/>
  </r>
  <r>
    <s v="Rusty Cart Grocers 95 :  1940 W INDIAN SCHOOL RD, PHOENIX, AZ"/>
    <x v="674"/>
    <x v="2"/>
    <n v="55993.991594411818"/>
    <n v="33.495167129999999"/>
    <n v="-112.10145"/>
    <x v="38"/>
    <x v="2"/>
    <n v="0"/>
  </r>
  <r>
    <s v="Bluebell Bazaar 1854 :  1002 N 35TH AVE, PHOENIX, AZ"/>
    <x v="675"/>
    <x v="2"/>
    <n v="55993.991594411818"/>
    <n v="33.458689290000002"/>
    <n v="-112.1346344"/>
    <x v="38"/>
    <x v="2"/>
    <n v="0"/>
  </r>
  <r>
    <s v="Bluebell Bazaar 2700014 :  1001 N 16TH ST, PHOENIX, AZ"/>
    <x v="676"/>
    <x v="2"/>
    <n v="55993.991594411818"/>
    <n v="33.458712980000001"/>
    <n v="-112.0474557"/>
    <x v="38"/>
    <x v="2"/>
    <n v="0"/>
  </r>
  <r>
    <s v="Bluebell Bazaar 2700052 :  8617 N 27TH AVE, PHOENIX, AZ"/>
    <x v="677"/>
    <x v="2"/>
    <n v="55993.991594411818"/>
    <n v="33.56286489"/>
    <n v="-112.11677779999999"/>
    <x v="38"/>
    <x v="2"/>
    <n v="0"/>
  </r>
  <r>
    <s v="Bluebell Bazaar 2700074 :  6322 N 12TH ST, PHOENIX, AZ"/>
    <x v="678"/>
    <x v="2"/>
    <n v="55993.991594411818"/>
    <n v="33.530180000000001"/>
    <n v="-112.0564145"/>
    <x v="38"/>
    <x v="2"/>
    <n v="0"/>
  </r>
  <r>
    <s v="Bluebell Bazaar 2700114 :  614 W ROOSEVELT, PHOENIX, AZ"/>
    <x v="679"/>
    <x v="2"/>
    <n v="55993.991594411818"/>
    <n v="33.458954949999999"/>
    <n v="-112.0824092"/>
    <x v="38"/>
    <x v="2"/>
    <n v="1"/>
  </r>
  <r>
    <s v="Bluebell Bazaar 2700598 :  5050 W THUNDERBIRD RD, PHOENIX, AZ"/>
    <x v="680"/>
    <x v="2"/>
    <n v="55993.991594411818"/>
    <n v="33.631770000000003"/>
    <n v="-112.09423"/>
    <x v="38"/>
    <x v="2"/>
    <n v="0"/>
  </r>
  <r>
    <s v="Bluebell Bazaar 2700693 :  5850 S 19TH AVE, PHOENIX, AZ"/>
    <x v="681"/>
    <x v="2"/>
    <n v="55993.991594411818"/>
    <n v="33.393378630000001"/>
    <n v="-112.09930970000001"/>
    <x v="38"/>
    <x v="2"/>
    <n v="1"/>
  </r>
  <r>
    <s v="Bluebell Bazaar 2700720 :  2359 E BEARDSLEY RD, PHOENIX, AZ"/>
    <x v="682"/>
    <x v="2"/>
    <n v="55993.991594411818"/>
    <n v="33.669418899999997"/>
    <n v="-112.0317604"/>
    <x v="38"/>
    <x v="2"/>
    <n v="0"/>
  </r>
  <r>
    <s v="Bluebell Bazaar 2701200 :  2702 W GLENDALE AVE, PHOENIX, AZ"/>
    <x v="683"/>
    <x v="2"/>
    <n v="55993.991594411818"/>
    <n v="33.538707129999999"/>
    <n v="-112.11696070000001"/>
    <x v="38"/>
    <x v="2"/>
    <n v="0"/>
  </r>
  <r>
    <s v="Bluebell Bazaar 2701216 :  3955 E BROADWAY, PHOENIX, AZ"/>
    <x v="684"/>
    <x v="2"/>
    <n v="55993.991594411818"/>
    <n v="33.407133119999997"/>
    <n v="-111.9958511"/>
    <x v="38"/>
    <x v="2"/>
    <n v="1"/>
  </r>
  <r>
    <s v="Bluebell Bazaar 2701344 :  1002 N 32ND ST, PHOENIX, AZ"/>
    <x v="685"/>
    <x v="2"/>
    <n v="55993.991594411818"/>
    <n v="33.458884150000003"/>
    <n v="-112.01305429999999"/>
    <x v="38"/>
    <x v="2"/>
    <n v="0"/>
  </r>
  <r>
    <s v="Bluebell Bazaar 2701345 :  3101 W NORTHERN AVE, PHOENIX, AZ"/>
    <x v="686"/>
    <x v="2"/>
    <n v="55993.991594411818"/>
    <n v="33.552942870000003"/>
    <n v="-112.12560000000001"/>
    <x v="38"/>
    <x v="2"/>
    <n v="0"/>
  </r>
  <r>
    <s v="Bluebell Bazaar 2701347 :  4502 N 19TH AVE, PHOENIX, AZ"/>
    <x v="687"/>
    <x v="2"/>
    <n v="55993.991594411818"/>
    <n v="33.502375600000001"/>
    <n v="-112.1000635"/>
    <x v="38"/>
    <x v="2"/>
    <n v="0"/>
  </r>
  <r>
    <s v="Bluebell Bazaar 2701541 :  701 E BETHANY HOME RD, PHOENIX, AZ"/>
    <x v="688"/>
    <x v="2"/>
    <n v="55993.991594411818"/>
    <n v="33.523602869999998"/>
    <n v="-112.06498000000001"/>
    <x v="38"/>
    <x v="2"/>
    <n v="0"/>
  </r>
  <r>
    <s v="Bluebell Bazaar 2701566 :  3502 W PEORIA AVE, PHOENIX, AZ"/>
    <x v="689"/>
    <x v="2"/>
    <n v="55993.991594411818"/>
    <n v="33.582166209999997"/>
    <n v="-112.13425340000001"/>
    <x v="38"/>
    <x v="2"/>
    <n v="0"/>
  </r>
  <r>
    <s v="Bluebell Bazaar 2701569 :  699 E BUCKEYE RD, PHOENIX, AZ"/>
    <x v="690"/>
    <x v="2"/>
    <n v="55993.991594411818"/>
    <n v="33.436702879999999"/>
    <n v="-112.0652078"/>
    <x v="38"/>
    <x v="2"/>
    <n v="1"/>
  </r>
  <r>
    <s v="Bluebell Bazaar 2701570 :  4401 S 7TH AVE, PHOENIX, AZ"/>
    <x v="691"/>
    <x v="2"/>
    <n v="55993.991594411818"/>
    <n v="33.406697360000003"/>
    <n v="-112.08174579999999"/>
    <x v="38"/>
    <x v="2"/>
    <n v="0"/>
  </r>
  <r>
    <s v="Bluebell Bazaar 2701584 :  2640 W VAN BUREN, PHOENIX, AZ"/>
    <x v="692"/>
    <x v="2"/>
    <n v="55993.991594411818"/>
    <n v="33.451217110000002"/>
    <n v="-112.1169967"/>
    <x v="38"/>
    <x v="2"/>
    <n v="0"/>
  </r>
  <r>
    <s v="Bluebell Bazaar 2701603 :  1501 W MCDOWELL RD, PHOENIX, AZ"/>
    <x v="693"/>
    <x v="2"/>
    <n v="55993.991594411818"/>
    <n v="33.465712869999997"/>
    <n v="-112.0918442"/>
    <x v="38"/>
    <x v="2"/>
    <n v="0"/>
  </r>
  <r>
    <s v="Bluebell Bazaar 2701618 :  6002 N 7TH AVE, PHOENIX, AZ"/>
    <x v="694"/>
    <x v="2"/>
    <n v="55993.991594411818"/>
    <n v="33.523950910000003"/>
    <n v="-112.08257450000001"/>
    <x v="38"/>
    <x v="2"/>
    <n v="0"/>
  </r>
  <r>
    <s v="Bluebell Bazaar 2701619 :  2401 E INDIAN SCHOOL RD, PHOENIX, AZ"/>
    <x v="695"/>
    <x v="2"/>
    <n v="55993.991594411818"/>
    <n v="33.494692880000002"/>
    <n v="-112.03019810000001"/>
    <x v="38"/>
    <x v="2"/>
    <n v="0"/>
  </r>
  <r>
    <s v="Bluebell Bazaar 2701620 :  3554 E INDIAN SCHOOL RD, PHOENIX, AZ"/>
    <x v="696"/>
    <x v="2"/>
    <n v="55993.991594411818"/>
    <n v="33.495302129999999"/>
    <n v="-112.0053759"/>
    <x v="38"/>
    <x v="2"/>
    <n v="0"/>
  </r>
  <r>
    <s v="Bluebell Bazaar 2701622 :  3404 N 19TH AVE, PHOENIX, AZ"/>
    <x v="697"/>
    <x v="2"/>
    <n v="55993.991594411818"/>
    <n v="33.487923330000001"/>
    <n v="-112.1000944"/>
    <x v="38"/>
    <x v="2"/>
    <n v="0"/>
  </r>
  <r>
    <s v="Bluebell Bazaar 2701637 :  2402 E SOUTHERN AVE, PHOENIX, AZ"/>
    <x v="698"/>
    <x v="2"/>
    <n v="55993.991594411818"/>
    <n v="33.393338290000003"/>
    <n v="-112.0300026"/>
    <x v="38"/>
    <x v="2"/>
    <n v="0"/>
  </r>
  <r>
    <s v="Bluebell Bazaar 2701662 :  4402 E OSBORN RD, PHOENIX, AZ"/>
    <x v="699"/>
    <x v="2"/>
    <n v="55993.991594411818"/>
    <n v="33.487749860000001"/>
    <n v="-111.98672139999999"/>
    <x v="38"/>
    <x v="2"/>
    <n v="1"/>
  </r>
  <r>
    <s v="Bluebell Bazaar 2701667 :  2850 N 7TH ST, PHOENIX, AZ"/>
    <x v="700"/>
    <x v="2"/>
    <n v="55993.991594411818"/>
    <n v="33.479649989999999"/>
    <n v="-112.0652424"/>
    <x v="38"/>
    <x v="2"/>
    <n v="0"/>
  </r>
  <r>
    <s v="Bluebell Bazaar 2701673 :  1910 W DEER VALLEY RD, PHOENIX, AZ"/>
    <x v="701"/>
    <x v="2"/>
    <n v="55993.991594411818"/>
    <n v="33.683969699999999"/>
    <n v="-112.1003037"/>
    <x v="38"/>
    <x v="2"/>
    <n v="0"/>
  </r>
  <r>
    <s v="Bluebell Bazaar 2701739 :  7440 S 7TH AVE, PHOENIX, AZ"/>
    <x v="702"/>
    <x v="2"/>
    <n v="55993.991594411818"/>
    <n v="33.37856395"/>
    <n v="-112.0820842"/>
    <x v="38"/>
    <x v="2"/>
    <n v="0"/>
  </r>
  <r>
    <s v="Bluebell Bazaar 2701741 :  5141 N CENTRAL AVE, PHOENIX, AZ"/>
    <x v="703"/>
    <x v="2"/>
    <n v="55993.991594411818"/>
    <n v="33.512177940000001"/>
    <n v="-112.0735655"/>
    <x v="38"/>
    <x v="2"/>
    <n v="0"/>
  </r>
  <r>
    <s v="Bluebell Bazaar 2701752 :  4343 E CAMELBACK RD, PHOENIX, AZ"/>
    <x v="704"/>
    <x v="2"/>
    <n v="55993.991594411818"/>
    <n v="33.50934049"/>
    <n v="-111.98760679999999"/>
    <x v="38"/>
    <x v="2"/>
    <n v="1"/>
  </r>
  <r>
    <s v="Bluebell Bazaar 2701781 :  1540 E BROADWAY RD, PHOENIX, AZ"/>
    <x v="705"/>
    <x v="2"/>
    <n v="55993.991594411818"/>
    <n v="33.40690713"/>
    <n v="-112.0477413"/>
    <x v="38"/>
    <x v="2"/>
    <n v="0"/>
  </r>
  <r>
    <s v="Bluebell Bazaar 2701795 :  1732 W VAN BUREN, PHOENIX, AZ"/>
    <x v="706"/>
    <x v="2"/>
    <n v="55993.991594411818"/>
    <n v="33.451435590000003"/>
    <n v="-112.097089"/>
    <x v="38"/>
    <x v="2"/>
    <n v="0"/>
  </r>
  <r>
    <s v="Bluebell Bazaar 2701843 :  10 E BUCKEYE RD, PHOENIX, AZ"/>
    <x v="707"/>
    <x v="2"/>
    <n v="55993.991594411818"/>
    <n v="33.436960450000001"/>
    <n v="-112.07333079999999"/>
    <x v="38"/>
    <x v="2"/>
    <n v="0"/>
  </r>
  <r>
    <s v="Bluebell Bazaar 2701850 :  630 E BROADWAY, PHOENIX, AZ"/>
    <x v="708"/>
    <x v="2"/>
    <n v="55993.991594411818"/>
    <n v="33.40683713"/>
    <n v="-112.06509730000001"/>
    <x v="38"/>
    <x v="2"/>
    <n v="0"/>
  </r>
  <r>
    <s v="Bluebell Bazaar 2701855 :  15400 N 7TH ST, PHOENIX, AZ"/>
    <x v="709"/>
    <x v="2"/>
    <n v="55993.991594411818"/>
    <n v="33.625817359999999"/>
    <n v="-112.06568470000001"/>
    <x v="38"/>
    <x v="2"/>
    <n v="0"/>
  </r>
  <r>
    <s v="Bluebell Bazaar 2701859 :  702 W MCDOWELL RD, PHOENIX, AZ"/>
    <x v="710"/>
    <x v="2"/>
    <n v="55993.991594411818"/>
    <n v="33.465961980000003"/>
    <n v="-112.0830996"/>
    <x v="38"/>
    <x v="2"/>
    <n v="0"/>
  </r>
  <r>
    <s v="Bluebell Bazaar 2701918 :  3151 E BROADWAY RD, PHOENIX, AZ"/>
    <x v="711"/>
    <x v="2"/>
    <n v="55993.991594411818"/>
    <n v="33.40689287"/>
    <n v="-112.01308"/>
    <x v="38"/>
    <x v="2"/>
    <n v="0"/>
  </r>
  <r>
    <s v="Bluebell Bazaar 2701921 :  3149 E VAN BUREN, PHOENIX, AZ"/>
    <x v="712"/>
    <x v="2"/>
    <n v="55993.991594411818"/>
    <n v="33.451182869999997"/>
    <n v="-112.01355150000001"/>
    <x v="38"/>
    <x v="2"/>
    <n v="0"/>
  </r>
  <r>
    <s v="Bluebell Bazaar 2701929 :  4808 E BELL RD, PHOENIX, AZ"/>
    <x v="713"/>
    <x v="2"/>
    <n v="55993.991594411818"/>
    <n v="33.640785039999997"/>
    <n v="-111.9774627"/>
    <x v="38"/>
    <x v="2"/>
    <n v="0"/>
  </r>
  <r>
    <s v="Bluebell Bazaar 2701938 :  2439 W UNION HILLS DR, PHOENIX, AZ"/>
    <x v="714"/>
    <x v="2"/>
    <n v="55993.991594411818"/>
    <n v="33.654493989999999"/>
    <n v="-112.11173359999999"/>
    <x v="38"/>
    <x v="2"/>
    <n v="0"/>
  </r>
  <r>
    <s v="Bluebell Bazaar 2701950 :  9040 S CENTRAL AVE, PHOENIX, AZ"/>
    <x v="715"/>
    <x v="2"/>
    <n v="55993.991594411818"/>
    <n v="33.364199470000003"/>
    <n v="-112.0733542"/>
    <x v="38"/>
    <x v="2"/>
    <n v="0"/>
  </r>
  <r>
    <s v="Bluebell Bazaar 2701968 :  4303 S 19TH AVE, PHOENIX, AZ"/>
    <x v="716"/>
    <x v="2"/>
    <n v="55993.991594411818"/>
    <n v="33.407616670000003"/>
    <n v="-112.0992557"/>
    <x v="38"/>
    <x v="2"/>
    <n v="0"/>
  </r>
  <r>
    <s v="Bluebell Bazaar 2701974 :  2402 E MCDOWELL RD, PHOENIX, AZ"/>
    <x v="717"/>
    <x v="2"/>
    <n v="55993.991594411818"/>
    <n v="33.46592613"/>
    <n v="-112.03011239999999"/>
    <x v="38"/>
    <x v="2"/>
    <n v="0"/>
  </r>
  <r>
    <s v="Bluebell Bazaar 2701998 :  1834 W GRANT ST, PHOENIX, AZ"/>
    <x v="718"/>
    <x v="2"/>
    <n v="55993.991594411818"/>
    <n v="33.441486529999999"/>
    <n v="-112.099383"/>
    <x v="38"/>
    <x v="2"/>
    <n v="0"/>
  </r>
  <r>
    <s v="Bluebell Bazaar 2702817 :  2120 N 35TH AVE, PHOENIX, AZ"/>
    <x v="719"/>
    <x v="2"/>
    <n v="55993.991594411818"/>
    <n v="33.470751999999997"/>
    <n v="-112.1346044"/>
    <x v="38"/>
    <x v="2"/>
    <n v="0"/>
  </r>
  <r>
    <s v="Bluebell Bazaar 2702835 :  3402 N 35TH AVE, PHOENIX, AZ"/>
    <x v="720"/>
    <x v="2"/>
    <n v="55993.991594411818"/>
    <n v="33.487696409999998"/>
    <n v="-112.134494"/>
    <x v="38"/>
    <x v="2"/>
    <n v="0"/>
  </r>
  <r>
    <s v="Bluebell Bazaar 2702872 :  602 N 1ST AVE, PHOENIX, AZ"/>
    <x v="721"/>
    <x v="2"/>
    <n v="55993.991594411818"/>
    <n v="33.456050040000001"/>
    <n v="-112.07534440000001"/>
    <x v="38"/>
    <x v="2"/>
    <n v="0"/>
  </r>
  <r>
    <s v="Bluebell Bazaar 2702873 :  3930 E SOUTHERN AVE, PHOENIX, AZ"/>
    <x v="722"/>
    <x v="2"/>
    <n v="55993.991594411818"/>
    <n v="33.39275713"/>
    <n v="-111.9970746"/>
    <x v="38"/>
    <x v="2"/>
    <n v="0"/>
  </r>
  <r>
    <s v="Bluebell Bazaar 2702885 :  3618 W BUCKEYE RD, PHOENIX, AZ"/>
    <x v="723"/>
    <x v="2"/>
    <n v="55993.991594411818"/>
    <n v="33.437035389999998"/>
    <n v="-112.13748750000001"/>
    <x v="38"/>
    <x v="2"/>
    <n v="0"/>
  </r>
  <r>
    <s v="Bluebell Bazaar 2702889 :  1342 W THOMAS RD, PHOENIX, AZ"/>
    <x v="724"/>
    <x v="2"/>
    <n v="55993.991594411818"/>
    <n v="33.480597789999997"/>
    <n v="-112.0904164"/>
    <x v="38"/>
    <x v="2"/>
    <n v="0"/>
  </r>
  <r>
    <s v="Bluebell Bazaar 2702890 :  3543 E OAK ST, PHOENIX, AZ"/>
    <x v="725"/>
    <x v="2"/>
    <n v="55993.991594411818"/>
    <n v="33.472982870000003"/>
    <n v="-112.0047797"/>
    <x v="38"/>
    <x v="2"/>
    <n v="0"/>
  </r>
  <r>
    <s v="Bluebell Bazaar 2702891 :  5146 E MCDOWELL RD, PHOENIX, AZ"/>
    <x v="726"/>
    <x v="2"/>
    <n v="55993.991594411818"/>
    <n v="33.465777129999999"/>
    <n v="-111.97040440000001"/>
    <x v="38"/>
    <x v="2"/>
    <n v="1"/>
  </r>
  <r>
    <s v="Bluebell Bazaar 2703393 :  301 N 43RD AVE, PHOENIX, AZ"/>
    <x v="727"/>
    <x v="2"/>
    <n v="55993.991594411818"/>
    <n v="33.451361630000001"/>
    <n v="-112.1515857"/>
    <x v="38"/>
    <x v="2"/>
    <n v="1"/>
  </r>
  <r>
    <s v="Bluebell Bazaar 2703396 :  3011 E BELL RD, PHOENIX, AZ"/>
    <x v="728"/>
    <x v="2"/>
    <n v="55993.991594411818"/>
    <n v="33.640352870000001"/>
    <n v="-112.0176125"/>
    <x v="38"/>
    <x v="2"/>
    <n v="1"/>
  </r>
  <r>
    <s v="Bluebell Bazaar 2703399 :  1122 E INDIAN SCHOOL RD, PHOENIX, AZ"/>
    <x v="729"/>
    <x v="2"/>
    <n v="55993.991594411818"/>
    <n v="33.49485713"/>
    <n v="-112.0578086"/>
    <x v="38"/>
    <x v="2"/>
    <n v="1"/>
  </r>
  <r>
    <s v="Bluebell Bazaar 2703403 :  1850 W HAPPY VALLEY RD, PHOENIX, AZ"/>
    <x v="730"/>
    <x v="2"/>
    <n v="55993.991594411818"/>
    <n v="33.713037129999996"/>
    <n v="-112.09907"/>
    <x v="38"/>
    <x v="2"/>
    <n v="1"/>
  </r>
  <r>
    <s v="Bluebell Bazaar 2703405 :  2120 W NORTHERN AVE, PHOENIX, AZ"/>
    <x v="731"/>
    <x v="2"/>
    <n v="55993.991594411818"/>
    <n v="33.553237129999999"/>
    <n v="-112.10466"/>
    <x v="38"/>
    <x v="2"/>
    <n v="1"/>
  </r>
  <r>
    <s v="Bluebell Bazaar 2703425 :  3950 E BASELINE RD, PHOENIX, AZ"/>
    <x v="732"/>
    <x v="2"/>
    <n v="55993.991594411818"/>
    <n v="33.378269160000002"/>
    <n v="-111.99644139999999"/>
    <x v="38"/>
    <x v="2"/>
    <n v="1"/>
  </r>
  <r>
    <s v="Bluebell Bazaar 2703447 :  975 N 7TH ST, PHOENIX, AZ"/>
    <x v="733"/>
    <x v="2"/>
    <n v="55993.991594411818"/>
    <n v="33.458393809999997"/>
    <n v="-112.0650401"/>
    <x v="38"/>
    <x v="2"/>
    <n v="1"/>
  </r>
  <r>
    <s v="Bluebell Bazaar 2703459 :  2650 W CAMELBACK RD, PHOENIX, AZ"/>
    <x v="734"/>
    <x v="2"/>
    <n v="55993.991594411818"/>
    <n v="33.509605260000001"/>
    <n v="-112.11622"/>
    <x v="38"/>
    <x v="2"/>
    <n v="0"/>
  </r>
  <r>
    <s v="Bluebell Bazaar 2703461 :  2840 N 75TH AVE, PHOENIX, AZ"/>
    <x v="735"/>
    <x v="2"/>
    <n v="55993.991594411818"/>
    <n v="33.479741590000003"/>
    <n v="-112.2208948"/>
    <x v="38"/>
    <x v="2"/>
    <n v="0"/>
  </r>
  <r>
    <s v="Bluebell Bazaar 2703480 :  4810 E WARNER RD, PHOENIX, AZ"/>
    <x v="736"/>
    <x v="2"/>
    <n v="55993.991594411818"/>
    <n v="33.331129920000002"/>
    <n v="-111.9802577"/>
    <x v="38"/>
    <x v="2"/>
    <n v="0"/>
  </r>
  <r>
    <s v="Bluebell Bazaar 2703481 :  675 W UNION HILLS DR, PHOENIX, AZ"/>
    <x v="737"/>
    <x v="2"/>
    <n v="55993.991594411818"/>
    <n v="33.654511210000003"/>
    <n v="-112.0820914"/>
    <x v="38"/>
    <x v="2"/>
    <n v="0"/>
  </r>
  <r>
    <s v="Bluebell Bazaar 2703487 :  1875 W GREENWAY RD, PHOENIX, AZ"/>
    <x v="738"/>
    <x v="2"/>
    <n v="55993.991594411818"/>
    <n v="33.625402870000002"/>
    <n v="-112.09828"/>
    <x v="38"/>
    <x v="2"/>
    <n v="1"/>
  </r>
  <r>
    <s v="Bluebell Bazaar 2703734 :  3443 W DUNLAP, PHOENIX, AZ"/>
    <x v="739"/>
    <x v="2"/>
    <n v="55993.991594411818"/>
    <n v="33.567413219999999"/>
    <n v="-112.13335170000001"/>
    <x v="38"/>
    <x v="2"/>
    <n v="0"/>
  </r>
  <r>
    <s v="Bluebell Bazaar 2703735 :  4301 W CACTUS RD, PHOENIX, AZ"/>
    <x v="740"/>
    <x v="2"/>
    <n v="55993.991594411818"/>
    <n v="33.596202349999999"/>
    <n v="-112.1512926"/>
    <x v="38"/>
    <x v="2"/>
    <n v="1"/>
  </r>
  <r>
    <s v="Bluebell Bazaar 2703740 :  8955 N 19TH AVE, PHOENIX, AZ"/>
    <x v="741"/>
    <x v="2"/>
    <n v="55993.991594411818"/>
    <n v="33.566974000000002"/>
    <n v="-112.09944539999999"/>
    <x v="38"/>
    <x v="2"/>
    <n v="0"/>
  </r>
  <r>
    <s v="Bluebell Bazaar 2703743 :  5350 N 27TH AVE, PHOENIX, AZ"/>
    <x v="742"/>
    <x v="2"/>
    <n v="55993.991594411818"/>
    <n v="33.515778330000003"/>
    <n v="-112.11709449999999"/>
    <x v="38"/>
    <x v="2"/>
    <n v="0"/>
  </r>
  <r>
    <s v="Bluebell Bazaar 2703744 :  630 E MISSOURI, PHOENIX, AZ"/>
    <x v="743"/>
    <x v="2"/>
    <n v="55993.991594411818"/>
    <n v="33.516627130000003"/>
    <n v="-112.06561000000001"/>
    <x v="38"/>
    <x v="2"/>
    <n v="0"/>
  </r>
  <r>
    <s v="Bluebell Bazaar 2703746 :  12201 N CAVE CREEK RD, PHOENIX, AZ"/>
    <x v="744"/>
    <x v="2"/>
    <n v="55993.991594411818"/>
    <n v="33.597674779999998"/>
    <n v="-112.0373647"/>
    <x v="38"/>
    <x v="2"/>
    <n v="0"/>
  </r>
  <r>
    <s v="Bluebell Bazaar 2704272 :  3502 W UNION HILLS DR, PHOENIX, AZ"/>
    <x v="745"/>
    <x v="2"/>
    <n v="55993.991594411818"/>
    <n v="33.654807759999997"/>
    <n v="-112.1345335"/>
    <x v="38"/>
    <x v="2"/>
    <n v="0"/>
  </r>
  <r>
    <s v="Bluebell Bazaar 2705023 :  1523 E MCDOWELL, PHOENIX, AZ"/>
    <x v="746"/>
    <x v="2"/>
    <n v="55993.991594411818"/>
    <n v="33.465612870000001"/>
    <n v="-112.0493511"/>
    <x v="38"/>
    <x v="2"/>
    <n v="0"/>
  </r>
  <r>
    <s v="Bluebell Bazaar 2705069 :  4301 W THOMAS RD, PHOENIX, AZ"/>
    <x v="747"/>
    <x v="2"/>
    <n v="55993.991594411818"/>
    <n v="33.480342989999997"/>
    <n v="-112.1516568"/>
    <x v="38"/>
    <x v="2"/>
    <n v="0"/>
  </r>
  <r>
    <s v="Bluebell Bazaar 2705194 :  12042 N 32ND ST, PHOENIX, AZ"/>
    <x v="748"/>
    <x v="2"/>
    <n v="55993.991594411818"/>
    <n v="33.596475169999998"/>
    <n v="-112.01342459999999"/>
    <x v="38"/>
    <x v="2"/>
    <n v="0"/>
  </r>
  <r>
    <s v="Bluebell Bazaar 2705282 :  5060 E WARNER RD, PHOENIX, AZ"/>
    <x v="749"/>
    <x v="2"/>
    <n v="55993.991594411818"/>
    <n v="33.33400031"/>
    <n v="-111.9773185"/>
    <x v="38"/>
    <x v="2"/>
    <n v="0"/>
  </r>
  <r>
    <s v="Bluebell Bazaar 2705283 :  3201 E CHANDLER BLVD, PHOENIX, AZ"/>
    <x v="750"/>
    <x v="2"/>
    <n v="55993.991594411818"/>
    <n v="33.30499287"/>
    <n v="-112.014015"/>
    <x v="38"/>
    <x v="2"/>
    <n v="0"/>
  </r>
  <r>
    <s v="Bluebell Bazaar 2705287 :  4801 E ELLIOT RD, PHOENIX, AZ"/>
    <x v="751"/>
    <x v="2"/>
    <n v="55993.991594411818"/>
    <n v="33.348753119999998"/>
    <n v="-111.9794524"/>
    <x v="38"/>
    <x v="2"/>
    <n v="1"/>
  </r>
  <r>
    <s v="Bluebell Bazaar 2705295 :  29816 N TATUM BLVD, PHOENIX, AZ"/>
    <x v="752"/>
    <x v="2"/>
    <n v="55993.991594411818"/>
    <n v="33.454039999999999"/>
    <n v="-112.07392"/>
    <x v="38"/>
    <x v="2"/>
    <n v="0"/>
  </r>
  <r>
    <s v="Bluebell Bazaar 2705298 :  1250 E CHANDLER BLVD, PHOENIX, AZ"/>
    <x v="753"/>
    <x v="2"/>
    <n v="55993.991594411818"/>
    <n v="33.306468549999998"/>
    <n v="-112.05590290000001"/>
    <x v="38"/>
    <x v="2"/>
    <n v="0"/>
  </r>
  <r>
    <s v="Bluebell Bazaar 2705303 :  26290 N TATUM BLVD, PHOENIX, AZ"/>
    <x v="754"/>
    <x v="2"/>
    <n v="55993.991594411818"/>
    <n v="33.723684179999999"/>
    <n v="-111.97765080000001"/>
    <x v="38"/>
    <x v="2"/>
    <n v="0"/>
  </r>
  <r>
    <s v="Bluebell Bazaar 2705308 :  3435 W DEER VALLEY RD, PHOENIX, AZ"/>
    <x v="755"/>
    <x v="2"/>
    <n v="55993.991594411818"/>
    <n v="33.683722869999997"/>
    <n v="-112.13294500000001"/>
    <x v="38"/>
    <x v="2"/>
    <n v="1"/>
  </r>
  <r>
    <s v="Bluebell Bazaar 2705325 :  20202 N 7TH AVE, PHOENIX, AZ"/>
    <x v="756"/>
    <x v="2"/>
    <n v="55993.991594411818"/>
    <n v="33.669222859999998"/>
    <n v="-112.08312479999999"/>
    <x v="38"/>
    <x v="2"/>
    <n v="1"/>
  </r>
  <r>
    <s v="Bluebell Bazaar 2705405 :  2515 W GLENDALE AVE, PHOENIX, AZ"/>
    <x v="757"/>
    <x v="2"/>
    <n v="55993.991594411818"/>
    <n v="33.538402869999999"/>
    <n v="-112.11329000000001"/>
    <x v="38"/>
    <x v="2"/>
    <n v="0"/>
  </r>
  <r>
    <s v="Bluebell Bazaar 2705407 :  4259 W MCDOWELL RD, PHOENIX, AZ"/>
    <x v="758"/>
    <x v="2"/>
    <n v="55993.991594411818"/>
    <n v="33.465812870000001"/>
    <n v="-112.15107570000001"/>
    <x v="38"/>
    <x v="2"/>
    <n v="0"/>
  </r>
  <r>
    <s v="Bluebell Bazaar 2705408 :  4403 E VAN BUREN ST, PHOENIX, AZ"/>
    <x v="759"/>
    <x v="2"/>
    <n v="55993.991594411818"/>
    <n v="33.451052599999997"/>
    <n v="-111.98701490000001"/>
    <x v="38"/>
    <x v="2"/>
    <n v="1"/>
  </r>
  <r>
    <s v="Bluebell Bazaar 2705409 :  8249 W INDIAN SCHOOL RD, PHOENIX, AZ"/>
    <x v="760"/>
    <x v="2"/>
    <n v="55993.991594411818"/>
    <n v="33.494152870000001"/>
    <n v="-112.23707"/>
    <x v="38"/>
    <x v="2"/>
    <n v="0"/>
  </r>
  <r>
    <s v="Bluebell Bazaar 2705545 :  18422 N TATUM BLVD, PHOENIX, AZ"/>
    <x v="761"/>
    <x v="2"/>
    <n v="55993.991594411818"/>
    <n v="33.653595250000002"/>
    <n v="-111.9776707"/>
    <x v="38"/>
    <x v="2"/>
    <n v="0"/>
  </r>
  <r>
    <s v="Bluebell Bazaar 2705547 :  625 W BELL RD, PHOENIX, AZ"/>
    <x v="762"/>
    <x v="2"/>
    <n v="55993.991594411818"/>
    <n v="33.640002870000004"/>
    <n v="-112.081794"/>
    <x v="38"/>
    <x v="2"/>
    <n v="0"/>
  </r>
  <r>
    <s v="Bluebell Bazaar 2705549 :  4939 E RAY RD, PHOENIX, AZ"/>
    <x v="763"/>
    <x v="2"/>
    <n v="55993.991594411818"/>
    <n v="33.319642870000003"/>
    <n v="-111.9767705"/>
    <x v="38"/>
    <x v="2"/>
    <n v="1"/>
  </r>
  <r>
    <s v="Bluebell Bazaar 2705578 :  9875 W CAMELBACK RD, PHOENIX, AZ"/>
    <x v="764"/>
    <x v="2"/>
    <n v="55993.991594411818"/>
    <n v="33.508145030000001"/>
    <n v="-112.27218190000001"/>
    <x v="38"/>
    <x v="2"/>
    <n v="1"/>
  </r>
  <r>
    <s v="Bluebell Bazaar 2705795 :  6710 W BUCKEYE RD, PHOENIX, AZ"/>
    <x v="765"/>
    <x v="2"/>
    <n v="55993.991594411818"/>
    <n v="33.437347129999999"/>
    <n v="-112.2042"/>
    <x v="38"/>
    <x v="2"/>
    <n v="0"/>
  </r>
  <r>
    <s v="Bluebell Bazaar 2705954 :  4815 E CAREFREE HWY, PHOENIX, AZ"/>
    <x v="766"/>
    <x v="2"/>
    <n v="55993.991594411818"/>
    <n v="33.798067039999999"/>
    <n v="-112.1626488"/>
    <x v="38"/>
    <x v="2"/>
    <n v="1"/>
  </r>
  <r>
    <s v="Bluebell Bazaar 2706358 :  8248 W THOMAS RD, PHOENIX, AZ"/>
    <x v="767"/>
    <x v="2"/>
    <n v="55993.991594411818"/>
    <n v="33.480031940000003"/>
    <n v="-112.2361812"/>
    <x v="38"/>
    <x v="2"/>
    <n v="0"/>
  </r>
  <r>
    <s v="Bluebell Bazaar 2706359 :  309 E OSBORN RD, PHOENIX, AZ"/>
    <x v="768"/>
    <x v="2"/>
    <n v="55993.991594411818"/>
    <n v="33.487362869999998"/>
    <n v="-112.06874000000001"/>
    <x v="38"/>
    <x v="2"/>
    <n v="1"/>
  </r>
  <r>
    <s v="Bluebell Bazaar 2706360 :  4410 E RAY RD, PHOENIX, AZ"/>
    <x v="769"/>
    <x v="2"/>
    <n v="55993.991594411818"/>
    <n v="33.320563309999997"/>
    <n v="-111.9888997"/>
    <x v="38"/>
    <x v="2"/>
    <n v="1"/>
  </r>
  <r>
    <s v="Bluebell Bazaar 2706362 :  4950 E CHANDLER BLVD, PHOENIX, AZ"/>
    <x v="770"/>
    <x v="2"/>
    <n v="55993.991594411818"/>
    <n v="33.305491549999999"/>
    <n v="-111.976905"/>
    <x v="38"/>
    <x v="2"/>
    <n v="1"/>
  </r>
  <r>
    <s v="Bluebell Bazaar 2706458 :  1609 N 91ST AVE, PHOENIX, AZ"/>
    <x v="771"/>
    <x v="2"/>
    <n v="55993.991594411818"/>
    <n v="33.465355000000002"/>
    <n v="-112.25506559999999"/>
    <x v="38"/>
    <x v="2"/>
    <n v="0"/>
  </r>
  <r>
    <s v="Bluebell Bazaar 2706640 :  620 E CAREFREE HWY, PHOENIX, AZ"/>
    <x v="772"/>
    <x v="2"/>
    <n v="55993.991594411818"/>
    <n v="33.799297469999999"/>
    <n v="-112.0660591"/>
    <x v="38"/>
    <x v="2"/>
    <n v="1"/>
  </r>
  <r>
    <s v="Bluebell Bazaar 2706643 :  19830 N 7TH ST, PHOENIX, AZ"/>
    <x v="773"/>
    <x v="2"/>
    <n v="55993.991594411818"/>
    <n v="33.668166569999997"/>
    <n v="-112.0658597"/>
    <x v="38"/>
    <x v="2"/>
    <n v="0"/>
  </r>
  <r>
    <s v="Bluebell Bazaar 2706644 :  1850 W UNION HILLS DR, PHOENIX, AZ"/>
    <x v="774"/>
    <x v="2"/>
    <n v="55993.991594411818"/>
    <n v="33.654853770000003"/>
    <n v="-112.09907"/>
    <x v="38"/>
    <x v="2"/>
    <n v="0"/>
  </r>
  <r>
    <s v="Bluebell Bazaar 2706647 :  3449 W GREENWAY RD, PHOENIX, AZ"/>
    <x v="775"/>
    <x v="2"/>
    <n v="55993.991594411818"/>
    <n v="33.62514023"/>
    <n v="-112.1329837"/>
    <x v="38"/>
    <x v="2"/>
    <n v="1"/>
  </r>
  <r>
    <s v="Bluebell Bazaar 2706648 :  2311 W DEER VALLEY RD, PHOENIX, AZ"/>
    <x v="776"/>
    <x v="2"/>
    <n v="55993.991594411818"/>
    <n v="33.683582870000002"/>
    <n v="-112.1089308"/>
    <x v="38"/>
    <x v="2"/>
    <n v="1"/>
  </r>
  <r>
    <s v="Bluebell Bazaar 2706654 :  15412 N 32ND ST, PHOENIX, AZ"/>
    <x v="777"/>
    <x v="2"/>
    <n v="55993.991594411818"/>
    <n v="33.626514"/>
    <n v="-112.0135047"/>
    <x v="38"/>
    <x v="2"/>
    <n v="0"/>
  </r>
  <r>
    <s v="Bluebell Bazaar 2706662 :  1146 N 35TH AVE, PHOENIX, AZ"/>
    <x v="778"/>
    <x v="2"/>
    <n v="55993.991594411818"/>
    <n v="33.460899859999998"/>
    <n v="-112.13463400000001"/>
    <x v="38"/>
    <x v="2"/>
    <n v="0"/>
  </r>
  <r>
    <s v="Bluebell Bazaar 2708518 :  1901 W CACTUS, PHOENIX, AZ"/>
    <x v="779"/>
    <x v="2"/>
    <n v="55993.991594411818"/>
    <n v="33.596395749999999"/>
    <n v="-112.1010843"/>
    <x v="38"/>
    <x v="2"/>
    <n v="0"/>
  </r>
  <r>
    <s v="Bluebell Bazaar 2708553 :  1605 E BELL RD, PHOENIX, AZ"/>
    <x v="780"/>
    <x v="2"/>
    <n v="55993.991594411818"/>
    <n v="33.640172870000001"/>
    <n v="-112.0481193"/>
    <x v="38"/>
    <x v="2"/>
    <n v="0"/>
  </r>
  <r>
    <s v="Bluebell Bazaar 2708555 :  4005 E UNION HLS, PHOENIX, AZ"/>
    <x v="781"/>
    <x v="2"/>
    <n v="55993.991594411818"/>
    <n v="33.691009999999999"/>
    <n v="-111.99737"/>
    <x v="38"/>
    <x v="2"/>
    <n v="0"/>
  </r>
  <r>
    <s v="Bluebell Bazaar 2708556 :  2702 W DEER VALLEY RD, PHOENIX, AZ"/>
    <x v="782"/>
    <x v="2"/>
    <n v="55993.991594411818"/>
    <n v="33.683967129999999"/>
    <n v="-112.11809"/>
    <x v="38"/>
    <x v="2"/>
    <n v="0"/>
  </r>
  <r>
    <s v="Bluebell Bazaar 2708596 :  1602 E WASHINGTON, PHOENIX, AZ"/>
    <x v="783"/>
    <x v="2"/>
    <n v="55993.991594411818"/>
    <n v="33.44849713"/>
    <n v="-112.04756"/>
    <x v="38"/>
    <x v="2"/>
    <n v="0"/>
  </r>
  <r>
    <s v="Bluebell Bazaar 2708597 :  4849 N 83RD AVE, PHOENIX, AZ"/>
    <x v="784"/>
    <x v="2"/>
    <n v="55993.991594411818"/>
    <n v="33.508330000000001"/>
    <n v="-112.2375255"/>
    <x v="38"/>
    <x v="2"/>
    <n v="0"/>
  </r>
  <r>
    <s v="Bluebell Bazaar 2708598 :  15410 N 40TH ST, PHOENIX, AZ"/>
    <x v="785"/>
    <x v="2"/>
    <n v="55993.991594411818"/>
    <n v="33.62659489"/>
    <n v="-111.996196"/>
    <x v="38"/>
    <x v="2"/>
    <n v="0"/>
  </r>
  <r>
    <s v="Bluebell Bazaar 2708599 :  1601 N 67TH AVE, PHOENIX, AZ"/>
    <x v="786"/>
    <x v="2"/>
    <n v="55993.991594411818"/>
    <n v="33.465850000000003"/>
    <n v="-112.20312560000001"/>
    <x v="38"/>
    <x v="2"/>
    <n v="0"/>
  </r>
  <r>
    <s v="Bluebell Bazaar 2708600 :  13802 N 40TH ST, PHOENIX, AZ"/>
    <x v="787"/>
    <x v="2"/>
    <n v="55993.991594411818"/>
    <n v="33.611939999999997"/>
    <n v="-111.9960847"/>
    <x v="38"/>
    <x v="2"/>
    <n v="1"/>
  </r>
  <r>
    <s v="Bluebell Bazaar 2708651 :  5849 N 35TH AVE, PHOENIX, AZ"/>
    <x v="788"/>
    <x v="2"/>
    <n v="55993.991594411818"/>
    <n v="33.523221829999997"/>
    <n v="-112.13408509999999"/>
    <x v="38"/>
    <x v="2"/>
    <n v="0"/>
  </r>
  <r>
    <s v="Bluebell Bazaar 2708652 :  1502 W INDIAN SCHOOL RD, PHOENIX, AZ"/>
    <x v="789"/>
    <x v="2"/>
    <n v="55993.991594411818"/>
    <n v="33.495087130000002"/>
    <n v="-112.09139860000001"/>
    <x v="38"/>
    <x v="2"/>
    <n v="0"/>
  </r>
  <r>
    <s v="Bluebell Bazaar 2708689 :  2708 W BUCKEYE RD, PHOENIX, AZ"/>
    <x v="790"/>
    <x v="2"/>
    <n v="55993.991594411818"/>
    <n v="33.436946120000002"/>
    <n v="-112.1178444"/>
    <x v="38"/>
    <x v="2"/>
    <n v="0"/>
  </r>
  <r>
    <s v="Bluebell Bazaar 2708692 :  2524 W THUNDERBIRD, PHOENIX, AZ"/>
    <x v="791"/>
    <x v="2"/>
    <n v="55993.991594411818"/>
    <n v="33.611091649999999"/>
    <n v="-112.1103214"/>
    <x v="38"/>
    <x v="2"/>
    <n v="1"/>
  </r>
  <r>
    <s v="Bluebell Bazaar 2708696 :  7424 W MCDOWELL RD, PHOENIX, AZ"/>
    <x v="792"/>
    <x v="2"/>
    <n v="55993.991594411818"/>
    <n v="33.465887129999999"/>
    <n v="-112.22004219999999"/>
    <x v="38"/>
    <x v="2"/>
    <n v="0"/>
  </r>
  <r>
    <s v="Bluebell Bazaar 2708747 :  3196 E UNION HILLS DR, PHOENIX, AZ"/>
    <x v="793"/>
    <x v="2"/>
    <n v="55993.991594411818"/>
    <n v="33.655246570000003"/>
    <n v="-112.01365149999999"/>
    <x v="38"/>
    <x v="2"/>
    <n v="1"/>
  </r>
  <r>
    <s v="Bluebell Bazaar 2708771 :  1601 E INDIAN SCHOOL RD, PHOENIX, AZ"/>
    <x v="794"/>
    <x v="2"/>
    <n v="55993.991594411818"/>
    <n v="33.494512880000002"/>
    <n v="-112.0476025"/>
    <x v="38"/>
    <x v="2"/>
    <n v="0"/>
  </r>
  <r>
    <s v="Bluebell Bazaar 2708776 :  1544 E SOUTHERN AVE, PHOENIX, AZ"/>
    <x v="795"/>
    <x v="2"/>
    <n v="55993.991594411818"/>
    <n v="33.392857720000002"/>
    <n v="-112.0480855"/>
    <x v="38"/>
    <x v="2"/>
    <n v="1"/>
  </r>
  <r>
    <s v="Bluebell Bazaar 2708827 :  5850 W INDIAN SCHOOL RD, PHOENIX, AZ"/>
    <x v="796"/>
    <x v="2"/>
    <n v="55993.991594411818"/>
    <n v="33.495167129999999"/>
    <n v="-112.18423"/>
    <x v="38"/>
    <x v="2"/>
    <n v="0"/>
  </r>
  <r>
    <s v="Bluebell Bazaar 2708829 :  2041 W VAN BUREN, PHOENIX, AZ"/>
    <x v="797"/>
    <x v="2"/>
    <n v="55993.991594411818"/>
    <n v="33.451092869999997"/>
    <n v="-112.103585"/>
    <x v="38"/>
    <x v="2"/>
    <n v="0"/>
  </r>
  <r>
    <s v="Bluebell Bazaar 2708833 :  6649 W THOMAS RD, PHOENIX, AZ"/>
    <x v="798"/>
    <x v="2"/>
    <n v="55993.991594411818"/>
    <n v="33.480122870000002"/>
    <n v="-112.20227"/>
    <x v="38"/>
    <x v="2"/>
    <n v="0"/>
  </r>
  <r>
    <s v="Bluebell Bazaar 2708841 :  966 E VAN BUREN, PHOENIX, AZ"/>
    <x v="799"/>
    <x v="2"/>
    <n v="55993.991594411818"/>
    <n v="33.451487110000002"/>
    <n v="-112.0595727"/>
    <x v="38"/>
    <x v="2"/>
    <n v="0"/>
  </r>
  <r>
    <s v="Bluebell Bazaar 2708870 :  3501 W LOWER BUCKEYE RD, PHOENIX, AZ"/>
    <x v="800"/>
    <x v="2"/>
    <n v="55993.991594411818"/>
    <n v="33.422332879999999"/>
    <n v="-112.13514259999999"/>
    <x v="38"/>
    <x v="2"/>
    <n v="0"/>
  </r>
  <r>
    <s v="Bluebell Bazaar 2708875 :  3402 N 16TH ST, PHOENIX, AZ"/>
    <x v="801"/>
    <x v="2"/>
    <n v="55993.991594411818"/>
    <n v="33.487535000000001"/>
    <n v="-112.04781439999999"/>
    <x v="38"/>
    <x v="2"/>
    <n v="0"/>
  </r>
  <r>
    <s v="Bluebell Bazaar 2709151 :  13801 N TATUM, PHOENIX, AZ"/>
    <x v="802"/>
    <x v="2"/>
    <n v="55993.991594411818"/>
    <n v="33.611530000000002"/>
    <n v="-111.9776253"/>
    <x v="38"/>
    <x v="2"/>
    <n v="0"/>
  </r>
  <r>
    <s v="Bluebell Bazaar 2709152 :  5105 E ELLIOT RD, PHOENIX, AZ"/>
    <x v="803"/>
    <x v="2"/>
    <n v="55993.991594411818"/>
    <n v="33.348789799999999"/>
    <n v="-111.9755279"/>
    <x v="38"/>
    <x v="2"/>
    <n v="0"/>
  </r>
  <r>
    <s v="Bluebell Bazaar 2709154 :  10712 W INDIAN SCHOOL, PHOENIX, AZ"/>
    <x v="804"/>
    <x v="2"/>
    <n v="55993.991594411818"/>
    <n v="33.493757090000003"/>
    <n v="-112.2902239"/>
    <x v="38"/>
    <x v="2"/>
    <n v="0"/>
  </r>
  <r>
    <s v="Bluebell Bazaar 2709164 :  4001 E CHANDLER BLVD, PHOENIX, AZ"/>
    <x v="805"/>
    <x v="2"/>
    <n v="55993.991594411818"/>
    <n v="33.30497287"/>
    <n v="-111.99718"/>
    <x v="38"/>
    <x v="2"/>
    <n v="0"/>
  </r>
  <r>
    <s v="Bluebell Bazaar 2709166 :  3441 W UNION HILLS DR, PHOENIX, AZ"/>
    <x v="806"/>
    <x v="2"/>
    <n v="55993.991594411818"/>
    <n v="33.654523820000001"/>
    <n v="-112.1338489"/>
    <x v="38"/>
    <x v="2"/>
    <n v="0"/>
  </r>
  <r>
    <s v="Bluebell Bazaar 2709168 :  4801 E THOMAS RD, PHOENIX, AZ"/>
    <x v="807"/>
    <x v="2"/>
    <n v="55993.991594411818"/>
    <n v="33.479952879999999"/>
    <n v="-111.9780623"/>
    <x v="38"/>
    <x v="2"/>
    <n v="0"/>
  </r>
  <r>
    <s v="Bluebell Bazaar 2709184 :  15262 N TATUM BLVD, PHOENIX, AZ"/>
    <x v="808"/>
    <x v="2"/>
    <n v="55993.991594411818"/>
    <n v="33.625639999999997"/>
    <n v="-111.9780547"/>
    <x v="38"/>
    <x v="2"/>
    <n v="1"/>
  </r>
  <r>
    <s v="Bluebell Bazaar 2709190 :  4930 N 91ST AVE, PHOENIX, AZ"/>
    <x v="809"/>
    <x v="2"/>
    <n v="55993.991594411818"/>
    <n v="33.507723480000003"/>
    <n v="-112.2551643"/>
    <x v="38"/>
    <x v="2"/>
    <n v="1"/>
  </r>
  <r>
    <s v="Bluebell Bazaar 2709193 :  3140 E BROADWAY RD, PHOENIX, AZ"/>
    <x v="810"/>
    <x v="2"/>
    <n v="55993.991594411818"/>
    <n v="33.407167129999998"/>
    <n v="-112.01308"/>
    <x v="38"/>
    <x v="2"/>
    <n v="1"/>
  </r>
  <r>
    <s v="Bluebell Bazaar 2709523 :  9418 N 7TH ST, PHOENIX, AZ"/>
    <x v="811"/>
    <x v="2"/>
    <n v="55993.991594411818"/>
    <n v="33.571936669999999"/>
    <n v="-112.0653446"/>
    <x v="38"/>
    <x v="2"/>
    <n v="1"/>
  </r>
  <r>
    <s v="Bluebell Bazaar 2709541 :  2775 S 51ST AVE, PHOENIX, AZ"/>
    <x v="812"/>
    <x v="2"/>
    <n v="55993.991594411818"/>
    <n v="33.422398479999998"/>
    <n v="-112.1691537"/>
    <x v="38"/>
    <x v="2"/>
    <n v="1"/>
  </r>
  <r>
    <s v="Bluebell Bazaar 2709556 :  5150 W LOWER BUCKEYE RD, PHOENIX, AZ"/>
    <x v="813"/>
    <x v="2"/>
    <n v="55993.991594411818"/>
    <s v="N/A"/>
    <s v="N/A"/>
    <x v="38"/>
    <x v="2"/>
    <n v="1"/>
  </r>
  <r>
    <s v="Bluebell Bazaar 2709580 :  2440 W BETHANY HOME RD, PHOENIX, AZ"/>
    <x v="814"/>
    <x v="2"/>
    <n v="55993.991594411818"/>
    <n v="33.52431713"/>
    <n v="-112.1107959"/>
    <x v="38"/>
    <x v="2"/>
    <n v="1"/>
  </r>
  <r>
    <s v="Bluebell Bazaar 2741612 :  5850 W MCDOWELL RD, PHOENIX, AZ"/>
    <x v="815"/>
    <x v="2"/>
    <n v="55993.991594411818"/>
    <n v="33.466100699999998"/>
    <n v="-112.18481319999999"/>
    <x v="38"/>
    <x v="2"/>
    <n v="1"/>
  </r>
  <r>
    <s v="Bluebell Bazaar 2741622 :  2350 E BASELINE RD, PHOENIX, AZ"/>
    <x v="816"/>
    <x v="2"/>
    <n v="55993.991594411818"/>
    <n v="33.377987130000001"/>
    <n v="-112.03066440000001"/>
    <x v="38"/>
    <x v="2"/>
    <n v="0"/>
  </r>
  <r>
    <s v="Bluebell Bazaar 2741628 :  1111 N 67TH AVE, PHOENIX, AZ"/>
    <x v="817"/>
    <x v="2"/>
    <n v="55993.991594411818"/>
    <n v="33.459496000000001"/>
    <n v="-112.2032256"/>
    <x v="38"/>
    <x v="2"/>
    <n v="1"/>
  </r>
  <r>
    <s v="Bluebell Bazaar 2741635 :  3980 E MCDOWELL RD, PHOENIX, AZ"/>
    <x v="818"/>
    <x v="2"/>
    <n v="55993.991594411818"/>
    <n v="33.465827130000001"/>
    <n v="-111.9959322"/>
    <x v="38"/>
    <x v="2"/>
    <n v="1"/>
  </r>
  <r>
    <s v="Bluebell Bazaar 2741639 :  2575 W SONORAN DESERT DR, PHOENIX, AZ"/>
    <x v="819"/>
    <x v="2"/>
    <n v="55993.991594411818"/>
    <n v="33.769507130000001"/>
    <n v="-112.11166900000001"/>
    <x v="38"/>
    <x v="2"/>
    <n v="1"/>
  </r>
  <r>
    <s v="Bluebell Bazaar 2741652 :  5049 W BUCKEYE, PHOENIX, AZ"/>
    <x v="820"/>
    <x v="2"/>
    <n v="55993.991594411818"/>
    <n v="33.436632869999997"/>
    <n v="-112.16886100000001"/>
    <x v="38"/>
    <x v="2"/>
    <n v="0"/>
  </r>
  <r>
    <s v="Bluebell Bazaar 4 :  4252 S 48TH ST, PHOENIX, AZ"/>
    <x v="821"/>
    <x v="2"/>
    <n v="55993.991594411818"/>
    <n v="33.406437279999999"/>
    <n v="-111.9784343"/>
    <x v="38"/>
    <x v="2"/>
    <n v="0"/>
  </r>
  <r>
    <s v="Mossy Hollow Market 12 :  18420 N 19TH AVE, PHOENIX, AZ"/>
    <x v="822"/>
    <x v="2"/>
    <n v="55993.991594411818"/>
    <n v="33.653891860000002"/>
    <n v="-112.0998957"/>
    <x v="38"/>
    <x v="2"/>
    <n v="1"/>
  </r>
  <r>
    <s v="Mossy Hollow Market 121 :  4025 E THUNDERBIRD RD, PHOENIX, AZ"/>
    <x v="823"/>
    <x v="2"/>
    <n v="55993.991594411818"/>
    <n v="33.611712869999998"/>
    <n v="-111.995328"/>
    <x v="38"/>
    <x v="2"/>
    <n v="1"/>
  </r>
  <r>
    <s v="Mossy Hollow Market 126 :  6601 W INDIAN SCHOOL RD, PHOENIX, AZ"/>
    <x v="824"/>
    <x v="2"/>
    <n v="55993.991594411818"/>
    <n v="33.494692870000002"/>
    <n v="-112.20114289999999"/>
    <x v="38"/>
    <x v="2"/>
    <n v="1"/>
  </r>
  <r>
    <s v="Mossy Hollow Market 127 :  4204 W CACTUS RD, PHOENIX, AZ"/>
    <x v="825"/>
    <x v="2"/>
    <n v="55993.991594411818"/>
    <n v="33.59648713"/>
    <n v="-112.149794"/>
    <x v="38"/>
    <x v="2"/>
    <n v="1"/>
  </r>
  <r>
    <s v="Mossy Hollow Market 128 :  744 W CAMELBACK RD, PHOENIX, AZ"/>
    <x v="826"/>
    <x v="2"/>
    <n v="55993.991594411818"/>
    <n v="33.509576799999998"/>
    <n v="-112.08418519999999"/>
    <x v="38"/>
    <x v="2"/>
    <n v="1"/>
  </r>
  <r>
    <s v="Mossy Hollow Market 129 :  4724 N 20TH ST, PHOENIX, AZ"/>
    <x v="827"/>
    <x v="2"/>
    <n v="55993.991594411818"/>
    <n v="33.506529999999998"/>
    <n v="-112.0390345"/>
    <x v="38"/>
    <x v="2"/>
    <n v="1"/>
  </r>
  <r>
    <s v="Mossy Hollow Market 135 :  4505 E THOMAS RD, PHOENIX, AZ"/>
    <x v="828"/>
    <x v="2"/>
    <n v="55993.991594411818"/>
    <n v="33.47999986"/>
    <n v="-111.9851927"/>
    <x v="38"/>
    <x v="2"/>
    <n v="1"/>
  </r>
  <r>
    <s v="Mossy Hollow Market 2 :  3036 E THOMAS, PHOENIX, AZ"/>
    <x v="829"/>
    <x v="2"/>
    <n v="55993.991594411818"/>
    <n v="33.480587130000004"/>
    <n v="-112.0161615"/>
    <x v="38"/>
    <x v="2"/>
    <n v="1"/>
  </r>
  <r>
    <s v="Mossy Hollow Market 27 :  3616 E RAY RD, PHOENIX, AZ"/>
    <x v="830"/>
    <x v="2"/>
    <n v="55993.991594411818"/>
    <n v="33.315625750000002"/>
    <n v="-112.0056132"/>
    <x v="38"/>
    <x v="2"/>
    <n v="1"/>
  </r>
  <r>
    <s v="Mossy Hollow Market 40 :  3421 W THUNDERBIRD, PHOENIX, AZ"/>
    <x v="831"/>
    <x v="2"/>
    <n v="55993.991594411818"/>
    <n v="33.61062287"/>
    <n v="-112.13151000000001"/>
    <x v="38"/>
    <x v="2"/>
    <n v="1"/>
  </r>
  <r>
    <s v="Mossy Hollow Market 46 :  520 E BASELINE, PHOENIX, AZ"/>
    <x v="832"/>
    <x v="2"/>
    <n v="55993.991594411818"/>
    <n v="33.377877130000002"/>
    <n v="-112.0667389"/>
    <x v="38"/>
    <x v="2"/>
    <n v="1"/>
  </r>
  <r>
    <s v="Mossy Hollow Market 609 :  850 E HATCHER RD, PHOENIX, AZ"/>
    <x v="833"/>
    <x v="2"/>
    <n v="55993.991594411818"/>
    <n v="33.571508979999997"/>
    <n v="-112.0611542"/>
    <x v="38"/>
    <x v="2"/>
    <n v="1"/>
  </r>
  <r>
    <s v="Mossy Hollow Market 612 :  4707 E SHEA BLVD, PHOENIX, AZ"/>
    <x v="834"/>
    <x v="2"/>
    <n v="55993.991594411818"/>
    <n v="33.582472869999997"/>
    <n v="-111.97978000000001"/>
    <x v="38"/>
    <x v="2"/>
    <n v="1"/>
  </r>
  <r>
    <s v="Mossy Hollow Market 617 :  2727 W BELL RD, PHOENIX, AZ"/>
    <x v="835"/>
    <x v="2"/>
    <n v="55993.991594411818"/>
    <n v="33.639619830000001"/>
    <n v="-112.1195616"/>
    <x v="38"/>
    <x v="2"/>
    <n v="1"/>
  </r>
  <r>
    <s v="Mossy Hollow Market 618 :  3246 E BELL RD, PHOENIX, AZ"/>
    <x v="836"/>
    <x v="2"/>
    <n v="55993.991594411818"/>
    <n v="33.640817130000002"/>
    <n v="-112.012731"/>
    <x v="38"/>
    <x v="2"/>
    <n v="1"/>
  </r>
  <r>
    <s v="Mossy Hollow Market 619 :  8325 W INDIAN SCHOOL RD, PHOENIX, AZ"/>
    <x v="837"/>
    <x v="2"/>
    <n v="55993.991594411818"/>
    <n v="33.494132870000001"/>
    <n v="-112.2382327"/>
    <x v="38"/>
    <x v="2"/>
    <n v="1"/>
  </r>
  <r>
    <s v="Mossy Hollow Market 623 :  1815 W GLENDALE AVE, PHOENIX, AZ"/>
    <x v="838"/>
    <x v="2"/>
    <n v="55993.991594411818"/>
    <n v="33.538480020000002"/>
    <n v="-112.0977772"/>
    <x v="38"/>
    <x v="2"/>
    <n v="1"/>
  </r>
  <r>
    <s v="Mossy Hollow Market 628 :  3949 E CHANDLER BLVD, PHOENIX, AZ"/>
    <x v="839"/>
    <x v="2"/>
    <n v="55993.991594411818"/>
    <n v="33.30499287"/>
    <n v="-111.999368"/>
    <x v="38"/>
    <x v="2"/>
    <n v="1"/>
  </r>
  <r>
    <s v="Mossy Hollow Market 641 :  3511 W PEORIA AVE, PHOENIX, AZ"/>
    <x v="840"/>
    <x v="2"/>
    <n v="55993.991594411818"/>
    <n v="33.581742869999999"/>
    <n v="-112.13543"/>
    <x v="38"/>
    <x v="2"/>
    <n v="1"/>
  </r>
  <r>
    <s v="Mossy Hollow Market 694 :  2800 W DOVE VLY, PHOENIX, AZ"/>
    <x v="841"/>
    <x v="2"/>
    <n v="55993.991594411818"/>
    <n v="33.761740000000003"/>
    <n v="-112.11083000000001"/>
    <x v="38"/>
    <x v="2"/>
    <n v="1"/>
  </r>
  <r>
    <s v="Mossy Hollow Market 698 :  1311 E BELL RD, PHOENIX, AZ"/>
    <x v="842"/>
    <x v="2"/>
    <n v="55993.991594411818"/>
    <n v="33.640142869999998"/>
    <n v="-112.05425"/>
    <x v="38"/>
    <x v="2"/>
    <n v="1"/>
  </r>
  <r>
    <s v="Mossy Hollow Market 78 :  39508 N DAISY MOUNTAIN DR, PHOENIX, AZ"/>
    <x v="843"/>
    <x v="2"/>
    <n v="55993.991594411818"/>
    <n v="33.843196839999997"/>
    <n v="-112.1348041"/>
    <x v="38"/>
    <x v="2"/>
    <n v="1"/>
  </r>
  <r>
    <s v="Mossy Hollow Market 79 :  2626 S 83RD AVE, PHOENIX, AZ"/>
    <x v="844"/>
    <x v="2"/>
    <n v="55993.991594411818"/>
    <n v="33.424076229999997"/>
    <n v="-112.23875409999999"/>
    <x v="38"/>
    <x v="2"/>
    <n v="1"/>
  </r>
  <r>
    <s v="Mossy Hollow Market 81 :  2250 E BASELINE RD, PHOENIX, AZ"/>
    <x v="845"/>
    <x v="2"/>
    <n v="55993.991594411818"/>
    <n v="33.377977129999998"/>
    <n v="-112.03161"/>
    <x v="38"/>
    <x v="2"/>
    <n v="1"/>
  </r>
  <r>
    <s v="Mossy Hollow Market 88 :  100 E JEFFERSON ST, PHOENIX, AZ"/>
    <x v="846"/>
    <x v="2"/>
    <n v="55993.991594411818"/>
    <n v="33.44727657"/>
    <n v="-112.0725351"/>
    <x v="38"/>
    <x v="2"/>
    <n v="1"/>
  </r>
  <r>
    <s v="Mossy Hollow Market 96 :  26300 N NORTERRA PKWY, PHOENIX, AZ"/>
    <x v="847"/>
    <x v="2"/>
    <n v="55993.991594411818"/>
    <n v="33.723233270000001"/>
    <n v="-112.1146026"/>
    <x v="38"/>
    <x v="2"/>
    <n v="1"/>
  </r>
  <r>
    <s v="Copper Creek Goods 610 :  4230 W MCDOWELL RD, PHOENIX, AZ"/>
    <x v="848"/>
    <x v="2"/>
    <n v="55993.991594411818"/>
    <n v="33.46609213"/>
    <n v="-112.15005619999999"/>
    <x v="38"/>
    <x v="2"/>
    <n v="1"/>
  </r>
  <r>
    <s v="Sunny Pebble Co. 802 :  2501 W HAPPY VALLEY RD, PHOENIX, AZ"/>
    <x v="849"/>
    <x v="2"/>
    <n v="55993.991594411818"/>
    <n v="33.712682870000002"/>
    <n v="-112.111695"/>
    <x v="38"/>
    <x v="2"/>
    <n v="1"/>
  </r>
  <r>
    <s v="Sunny Pebble Co. 804 :  21001 N TATUM BLVD STE 84, PHOENIX, AZ"/>
    <x v="850"/>
    <x v="2"/>
    <n v="55993.991594411818"/>
    <n v="33.677403120000001"/>
    <n v="-111.97711889999999"/>
    <x v="38"/>
    <x v="2"/>
    <n v="1"/>
  </r>
  <r>
    <s v="Sunny Pebble Co. 808 :  12010 N TATUM BLVD, PHOENIX, AZ"/>
    <x v="851"/>
    <x v="2"/>
    <n v="55993.991594411818"/>
    <n v="33.595567459999998"/>
    <n v="-111.9811924"/>
    <x v="38"/>
    <x v="2"/>
    <n v="1"/>
  </r>
  <r>
    <s v="Sunny Pebble Co. 809 :  1954 E HIGHLAND AVE, PHOENIX, AZ"/>
    <x v="852"/>
    <x v="2"/>
    <n v="55993.991594411818"/>
    <n v="33.505814190000002"/>
    <n v="-112.0396063"/>
    <x v="38"/>
    <x v="2"/>
    <n v="0"/>
  </r>
  <r>
    <s v="Timberline Market 611 :  6700 W LATHAM ST, PHOENIX, AZ"/>
    <x v="853"/>
    <x v="2"/>
    <n v="55993.991594411818"/>
    <n v="33.460247129999999"/>
    <n v="-112.20350000000001"/>
    <x v="38"/>
    <x v="2"/>
    <n v="0"/>
  </r>
  <r>
    <s v="Haven Hearth Goods 1201 :  4005 E CHANDLER BLVD, PHOENIX, AZ"/>
    <x v="854"/>
    <x v="2"/>
    <n v="55993.991594411818"/>
    <n v="33.30497287"/>
    <n v="-111.9967"/>
    <x v="38"/>
    <x v="2"/>
    <n v="0"/>
  </r>
  <r>
    <s v="Haven Hearth Goods 1515 :  810 E GLENDALE AVE, PHOENIX, AZ"/>
    <x v="855"/>
    <x v="2"/>
    <n v="55993.991594411818"/>
    <n v="33.538407130000003"/>
    <n v="-112.06263250000001"/>
    <x v="38"/>
    <x v="2"/>
    <n v="1"/>
  </r>
  <r>
    <s v="Haven Hearth Goods 1591 :  6202 S 16TH ST, PHOENIX, AZ"/>
    <x v="856"/>
    <x v="2"/>
    <n v="55993.991594411818"/>
    <n v="33.389626100000001"/>
    <n v="-112.04746919999999"/>
    <x v="38"/>
    <x v="2"/>
    <n v="1"/>
  </r>
  <r>
    <s v="Haven Hearth Goods 1654 :  4811 N 83RD AVE, PHOENIX, AZ"/>
    <x v="857"/>
    <x v="2"/>
    <n v="55993.991594411818"/>
    <n v="33.507719999999999"/>
    <n v="-112.2375255"/>
    <x v="38"/>
    <x v="2"/>
    <n v="1"/>
  </r>
  <r>
    <s v="Haven Hearth Goods 174 :  520 W OSBORN RD, PHOENIX, AZ"/>
    <x v="858"/>
    <x v="2"/>
    <n v="55993.991594411818"/>
    <n v="33.487727100000001"/>
    <n v="-112.0816334"/>
    <x v="38"/>
    <x v="2"/>
    <n v="1"/>
  </r>
  <r>
    <s v="Haven Hearth Goods 1979 :  13440 N 7TH ST, PHOENIX, AZ"/>
    <x v="859"/>
    <x v="2"/>
    <n v="55993.991594411818"/>
    <n v="33.609888980000001"/>
    <n v="-112.0655491"/>
    <x v="38"/>
    <x v="2"/>
    <n v="0"/>
  </r>
  <r>
    <s v="Haven Hearth Goods 1980 :  1334 E CHANDLER BLVD, PHOENIX, AZ"/>
    <x v="860"/>
    <x v="2"/>
    <n v="55993.991594411818"/>
    <n v="33.306009520000003"/>
    <n v="-112.05466610000001"/>
    <x v="38"/>
    <x v="2"/>
    <n v="0"/>
  </r>
  <r>
    <s v="Haven Hearth Goods 2042 :  3132 E CAMELBACK RD, PHOENIX, AZ"/>
    <x v="861"/>
    <x v="2"/>
    <n v="55993.991594411818"/>
    <n v="33.510177050000003"/>
    <n v="-112.0145156"/>
    <x v="38"/>
    <x v="2"/>
    <n v="1"/>
  </r>
  <r>
    <s v="Haven Hearth Goods 2097 :  4747 E GREENWAY RD, PHOENIX, AZ"/>
    <x v="862"/>
    <x v="2"/>
    <n v="55993.991594411818"/>
    <n v="33.625902869999997"/>
    <n v="-111.97902999999999"/>
    <x v="38"/>
    <x v="2"/>
    <n v="0"/>
  </r>
  <r>
    <s v="Haven Hearth Goods 240 :  3450 W BELL RD, PHOENIX, AZ"/>
    <x v="863"/>
    <x v="2"/>
    <n v="55993.991594411818"/>
    <n v="33.639817129999997"/>
    <n v="-112.1336143"/>
    <x v="38"/>
    <x v="2"/>
    <n v="0"/>
  </r>
  <r>
    <s v="Haven Hearth Goods 2651 :  340 E MCDOWELL RD, PHOENIX, AZ"/>
    <x v="864"/>
    <x v="2"/>
    <n v="55993.991594411818"/>
    <n v="33.465867129999999"/>
    <n v="-112.0673864"/>
    <x v="38"/>
    <x v="2"/>
    <n v="1"/>
  </r>
  <r>
    <s v="Haven Hearth Goods 2716 :  4750 E INDIAN SCHOOL RD, PHOENIX, AZ"/>
    <x v="865"/>
    <x v="2"/>
    <n v="55993.991594411818"/>
    <n v="33.49476713"/>
    <n v="-111.9794409"/>
    <x v="38"/>
    <x v="2"/>
    <n v="1"/>
  </r>
  <r>
    <s v="Haven Hearth Goods 413 :  550 E BELL RD, PHOENIX, AZ"/>
    <x v="866"/>
    <x v="2"/>
    <n v="55993.991594411818"/>
    <n v="33.640507130000003"/>
    <n v="-112.06717"/>
    <x v="38"/>
    <x v="2"/>
    <n v="0"/>
  </r>
  <r>
    <s v="Haven Hearth Goods 752 :  4747 E ELLIOT RD, PHOENIX, AZ"/>
    <x v="867"/>
    <x v="2"/>
    <n v="55993.991594411818"/>
    <n v="33.348746069999997"/>
    <n v="-111.9799543"/>
    <x v="38"/>
    <x v="2"/>
    <n v="0"/>
  </r>
  <r>
    <s v="Jellybean Junction 2236 :  16806 N 7TH ST, PHOENIX, AZ"/>
    <x v="868"/>
    <x v="2"/>
    <n v="55993.991594411818"/>
    <n v="33.637824000000002"/>
    <n v="-112.0657547"/>
    <x v="38"/>
    <x v="2"/>
    <n v="1"/>
  </r>
  <r>
    <s v="Jellybean Junction 2354 :  5715 N 19TH AVE, PHOENIX, AZ"/>
    <x v="869"/>
    <x v="2"/>
    <n v="55993.991594411818"/>
    <n v="33.520878609999997"/>
    <n v="-112.0994311"/>
    <x v="38"/>
    <x v="2"/>
    <n v="1"/>
  </r>
  <r>
    <s v="Bramble &amp; Co. 3261 :  1625 E CAMELBACK RD, PHOENIX, AZ"/>
    <x v="870"/>
    <x v="2"/>
    <n v="55993.991594411818"/>
    <n v="33.509092870000003"/>
    <n v="-112.04627000000001"/>
    <x v="38"/>
    <x v="2"/>
    <n v="1"/>
  </r>
  <r>
    <s v="Foxtail Grocers 851 :  7409 W VIRGINIA AVE, PHOENIX, AZ"/>
    <x v="871"/>
    <x v="2"/>
    <n v="55993.991594411818"/>
    <n v="33.476407930000001"/>
    <n v="-112.21852509999999"/>
    <x v="38"/>
    <x v="2"/>
    <n v="1"/>
  </r>
  <r>
    <s v="Maplewood Mercantile 1141 :  2727 W AGUA FRIA FWY, PHOENIX, AZ"/>
    <x v="872"/>
    <x v="2"/>
    <n v="55993.991594411818"/>
    <n v="33.667840069999997"/>
    <n v="-112.1197931"/>
    <x v="38"/>
    <x v="2"/>
    <n v="1"/>
  </r>
  <r>
    <s v="Maplewood Mercantile 1360 :  21001 N TATUM BLVD STE 20, PHOENIX, AZ"/>
    <x v="873"/>
    <x v="2"/>
    <n v="55993.991594411818"/>
    <n v="33.677403120000001"/>
    <n v="-111.97711889999999"/>
    <x v="38"/>
    <x v="2"/>
    <n v="1"/>
  </r>
  <r>
    <s v="Maplewood Mercantile 1905 :  2140 E BASELINE RD, PHOENIX, AZ"/>
    <x v="874"/>
    <x v="2"/>
    <n v="55993.991594411818"/>
    <n v="33.377977129999998"/>
    <n v="-112.0338733"/>
    <x v="38"/>
    <x v="2"/>
    <n v="1"/>
  </r>
  <r>
    <s v="Maplewood Mercantile 233 :  12602 N PARADISE VLG, PHOENIX, AZ"/>
    <x v="875"/>
    <x v="2"/>
    <n v="55993.991594411818"/>
    <n v="33.625790000000002"/>
    <n v="-112.00458"/>
    <x v="38"/>
    <x v="2"/>
    <n v="1"/>
  </r>
  <r>
    <s v="Maplewood Mercantile 909 :  4734 E RAY RD, PHOENIX, AZ"/>
    <x v="876"/>
    <x v="2"/>
    <n v="55993.991594411818"/>
    <n v="33.320057130000002"/>
    <n v="-111.9812625"/>
    <x v="38"/>
    <x v="2"/>
    <n v="1"/>
  </r>
  <r>
    <s v="Maplewood Mercantile 950 :  4515 E THOMAS RD, PHOENIX, AZ"/>
    <x v="877"/>
    <x v="2"/>
    <n v="55993.991594411818"/>
    <n v="33.479995520000003"/>
    <n v="-111.9850122"/>
    <x v="38"/>
    <x v="2"/>
    <n v="1"/>
  </r>
  <r>
    <s v="Pebble &amp; Pine Pharmacy 10111 :  3434 W SOUTHERN AVE, PHOENIX, AZ"/>
    <x v="878"/>
    <x v="2"/>
    <n v="55993.991594411818"/>
    <n v="33.39228713"/>
    <n v="-112.1323388"/>
    <x v="38"/>
    <x v="2"/>
    <n v="0"/>
  </r>
  <r>
    <s v="Pebble &amp; Pine Pharmacy 1272 :  5101 W INDIAN SCHOOL RD, PHOENIX, AZ"/>
    <x v="879"/>
    <x v="2"/>
    <n v="55993.991594411818"/>
    <n v="33.494732880000001"/>
    <n v="-112.1689418"/>
    <x v="38"/>
    <x v="2"/>
    <n v="0"/>
  </r>
  <r>
    <s v="Pebble &amp; Pine Pharmacy 12739 :  15450 N TATUM BLVD, PHOENIX, AZ"/>
    <x v="880"/>
    <x v="2"/>
    <n v="55993.991594411818"/>
    <n v="33.626706839999997"/>
    <n v="-111.97805959999999"/>
    <x v="38"/>
    <x v="2"/>
    <n v="0"/>
  </r>
  <r>
    <s v="Pebble &amp; Pine Pharmacy 13870 :  4875 E ELLIOT RD, PHOENIX, AZ"/>
    <x v="881"/>
    <x v="2"/>
    <n v="55993.991594411818"/>
    <n v="33.348759680000001"/>
    <n v="-111.97876359999999"/>
    <x v="38"/>
    <x v="2"/>
    <n v="0"/>
  </r>
  <r>
    <s v="Pebble &amp; Pine Pharmacy 16082 :  10602 N 32ND ST, PHOENIX, AZ"/>
    <x v="882"/>
    <x v="2"/>
    <n v="55993.991594411818"/>
    <n v="33.582532819999997"/>
    <n v="-112.0132462"/>
    <x v="38"/>
    <x v="2"/>
    <n v="0"/>
  </r>
  <r>
    <s v="Pebble &amp; Pine Pharmacy 2079 :  3131 E THUNDERBIRD RD, PHOENIX, AZ"/>
    <x v="29"/>
    <x v="2"/>
    <n v="55993.991594411818"/>
    <n v="33.611395379999998"/>
    <n v="-112.0147444"/>
    <x v="38"/>
    <x v="2"/>
    <n v="0"/>
  </r>
  <r>
    <s v="Pebble &amp; Pine Pharmacy 2851 :  7000 N 16TH ST, PHOENIX, AZ"/>
    <x v="883"/>
    <x v="2"/>
    <n v="55993.991594411818"/>
    <n v="33.538924049999999"/>
    <n v="-112.0476338"/>
    <x v="38"/>
    <x v="2"/>
    <n v="0"/>
  </r>
  <r>
    <s v="Pebble &amp; Pine Pharmacy 3087 :  5625 E THOMAS RD, PHOENIX, AZ"/>
    <x v="884"/>
    <x v="2"/>
    <n v="55993.991594411818"/>
    <n v="33.479884830000003"/>
    <n v="-111.9601153"/>
    <x v="38"/>
    <x v="2"/>
    <n v="0"/>
  </r>
  <r>
    <s v="Pebble &amp; Pine Pharmacy 3132 :  2415 E UNION HILLS DR, PHOENIX, AZ"/>
    <x v="885"/>
    <x v="2"/>
    <n v="55993.991594411818"/>
    <n v="33.654912879999998"/>
    <n v="-112.0301875"/>
    <x v="38"/>
    <x v="2"/>
    <n v="0"/>
  </r>
  <r>
    <s v="Pebble &amp; Pine Pharmacy 3191 :  10865 N TATUM BLVD, PHOENIX, AZ"/>
    <x v="886"/>
    <x v="2"/>
    <n v="55993.991594411818"/>
    <n v="33.58466"/>
    <n v="-111.97762539999999"/>
    <x v="38"/>
    <x v="2"/>
    <n v="0"/>
  </r>
  <r>
    <s v="Pebble &amp; Pine Pharmacy 3464 :  3402 N CENTRAL AVE, PHOENIX, AZ"/>
    <x v="887"/>
    <x v="2"/>
    <n v="55993.991594411818"/>
    <n v="33.487523770000003"/>
    <n v="-112.07407430000001"/>
    <x v="38"/>
    <x v="2"/>
    <n v="0"/>
  </r>
  <r>
    <s v="Pebble &amp; Pine Pharmacy 3477 :  204 E BELL RD, PHOENIX, AZ"/>
    <x v="888"/>
    <x v="2"/>
    <n v="55993.991594411818"/>
    <n v="33.640487129999997"/>
    <n v="-112.0714414"/>
    <x v="38"/>
    <x v="2"/>
    <n v="0"/>
  </r>
  <r>
    <s v="Pebble &amp; Pine Pharmacy 3593 :  2610 W THUNDERBIRD RD, PHOENIX, AZ"/>
    <x v="889"/>
    <x v="2"/>
    <n v="55993.991594411818"/>
    <n v="33.611117129999997"/>
    <n v="-112.1118"/>
    <x v="38"/>
    <x v="2"/>
    <n v="0"/>
  </r>
  <r>
    <s v="Pebble &amp; Pine Pharmacy 3769 :  1616 E THOMAS RD, PHOENIX, AZ"/>
    <x v="890"/>
    <x v="2"/>
    <n v="55993.991594411818"/>
    <n v="33.480347129999998"/>
    <n v="-112.0473296"/>
    <x v="38"/>
    <x v="2"/>
    <n v="0"/>
  </r>
  <r>
    <s v="Pebble &amp; Pine Pharmacy 3789 :  3605 E THOMAS RD, PHOENIX, AZ"/>
    <x v="891"/>
    <x v="2"/>
    <n v="55993.991594411818"/>
    <n v="33.480312869999999"/>
    <n v="-112.0041071"/>
    <x v="38"/>
    <x v="2"/>
    <n v="0"/>
  </r>
  <r>
    <s v="Pebble &amp; Pine Pharmacy 4046 :  3960 E CHANDLER BLVD, PHOENIX, AZ"/>
    <x v="892"/>
    <x v="2"/>
    <n v="55993.991594411818"/>
    <n v="33.305427080000001"/>
    <n v="-111.99803540000001"/>
    <x v="38"/>
    <x v="2"/>
    <n v="0"/>
  </r>
  <r>
    <s v="Pebble &amp; Pine Pharmacy 4139 :  3450 W DUNLAP AVE, PHOENIX, AZ"/>
    <x v="893"/>
    <x v="2"/>
    <n v="55993.991594411818"/>
    <n v="33.567687890000002"/>
    <n v="-112.1334011"/>
    <x v="38"/>
    <x v="2"/>
    <n v="0"/>
  </r>
  <r>
    <s v="Pebble &amp; Pine Pharmacy 4422 :  3945 E SOUTHERN AVE, PHOENIX, AZ"/>
    <x v="894"/>
    <x v="2"/>
    <n v="55993.991594411818"/>
    <n v="33.392482870000002"/>
    <n v="-111.9967408"/>
    <x v="38"/>
    <x v="2"/>
    <n v="0"/>
  </r>
  <r>
    <s v="Pebble &amp; Pine Pharmacy 4508 :  3431 W UNION HILLS DR, PHOENIX, AZ"/>
    <x v="895"/>
    <x v="2"/>
    <n v="55993.991594411818"/>
    <n v="33.654522870000001"/>
    <n v="-112.13342"/>
    <x v="38"/>
    <x v="2"/>
    <n v="0"/>
  </r>
  <r>
    <s v="Pebble &amp; Pine Pharmacy 4722 :  4111 N 24TH ST, PHOENIX, AZ"/>
    <x v="896"/>
    <x v="2"/>
    <n v="55993.991594411818"/>
    <n v="33.49524985"/>
    <n v="-112.0300323"/>
    <x v="38"/>
    <x v="2"/>
    <n v="0"/>
  </r>
  <r>
    <s v="Pebble &amp; Pine Pharmacy 4762 :  2435 E GREENWAY PKWY, PHOENIX, AZ"/>
    <x v="29"/>
    <x v="2"/>
    <n v="55993.991594411818"/>
    <n v="33.631326090000002"/>
    <n v="-112.0292415"/>
    <x v="38"/>
    <x v="2"/>
    <n v="0"/>
  </r>
  <r>
    <s v="Pebble &amp; Pine Pharmacy 4909 :  2921 N 83RD AVE, PHOENIX, AZ"/>
    <x v="897"/>
    <x v="2"/>
    <n v="55993.991594411818"/>
    <n v="33.480717210000002"/>
    <n v="-112.2375658"/>
    <x v="38"/>
    <x v="2"/>
    <n v="0"/>
  </r>
  <r>
    <s v="Pebble &amp; Pine Pharmacy 4951 :  4006 E BELL RD, PHOENIX, AZ"/>
    <x v="898"/>
    <x v="2"/>
    <n v="55993.991594411818"/>
    <n v="33.64091337"/>
    <n v="-111.9958889"/>
    <x v="38"/>
    <x v="2"/>
    <n v="0"/>
  </r>
  <r>
    <s v="Pebble &amp; Pine Pharmacy 5504 :  4249 W GLENDALE AVE, PHOENIX, AZ"/>
    <x v="899"/>
    <x v="2"/>
    <n v="55993.991594411818"/>
    <n v="33.538255820000003"/>
    <n v="-112.15063069999999"/>
    <x v="38"/>
    <x v="2"/>
    <n v="0"/>
  </r>
  <r>
    <s v="Pebble &amp; Pine Pharmacy 5505 :  3502 W CAMELBACK RD, PHOENIX, AZ"/>
    <x v="29"/>
    <x v="2"/>
    <n v="55993.991594411818"/>
    <n v="33.50958713"/>
    <n v="-112.1342083"/>
    <x v="38"/>
    <x v="2"/>
    <n v="0"/>
  </r>
  <r>
    <s v="Pebble &amp; Pine Pharmacy 5569 :  1315 E CHANDLER BLVD, PHOENIX, AZ"/>
    <x v="900"/>
    <x v="2"/>
    <n v="55993.991594411818"/>
    <n v="33.305541499999997"/>
    <n v="-112.0546173"/>
    <x v="38"/>
    <x v="2"/>
    <n v="0"/>
  </r>
  <r>
    <s v="Pebble &amp; Pine Pharmacy 5668 :  8301 W CAMELBACK RD, PHOENIX, AZ"/>
    <x v="901"/>
    <x v="2"/>
    <n v="55993.991594411818"/>
    <n v="33.508642870000003"/>
    <n v="-112.23806"/>
    <x v="38"/>
    <x v="2"/>
    <n v="0"/>
  </r>
  <r>
    <s v="Pebble &amp; Pine Pharmacy 5893 :  705 E MCDOWELL RD, PHOENIX, AZ"/>
    <x v="902"/>
    <x v="2"/>
    <n v="55993.991594411818"/>
    <n v="33.465586340000002"/>
    <n v="-112.0633509"/>
    <x v="38"/>
    <x v="2"/>
    <n v="0"/>
  </r>
  <r>
    <s v="Pebble &amp; Pine Pharmacy 5937 :  4315 W MCDOWELL RD, PHOENIX, AZ"/>
    <x v="903"/>
    <x v="2"/>
    <n v="55993.991594411818"/>
    <n v="33.465812870000001"/>
    <n v="-112.15292239999999"/>
    <x v="38"/>
    <x v="2"/>
    <n v="0"/>
  </r>
  <r>
    <s v="Pebble &amp; Pine Pharmacy 5938 :  4134 N 44TH ST, PHOENIX, AZ"/>
    <x v="904"/>
    <x v="2"/>
    <n v="55993.991594411818"/>
    <n v="33.496124350000002"/>
    <n v="-111.98710440000001"/>
    <x v="38"/>
    <x v="2"/>
    <n v="0"/>
  </r>
  <r>
    <s v="Pebble &amp; Pine Pharmacy 6021 :  1620 N 59TH AVE, PHOENIX, AZ"/>
    <x v="905"/>
    <x v="2"/>
    <n v="55993.991594411818"/>
    <n v="33.466155710000002"/>
    <n v="-112.18667670000001"/>
    <x v="38"/>
    <x v="2"/>
    <n v="0"/>
  </r>
  <r>
    <s v="Pebble &amp; Pine Pharmacy 6063 :  1825 W BETHANY HOME RD, PHOENIX, AZ"/>
    <x v="906"/>
    <x v="2"/>
    <n v="55993.991594411818"/>
    <n v="33.523959990000002"/>
    <n v="-112.0984579"/>
    <x v="38"/>
    <x v="2"/>
    <n v="0"/>
  </r>
  <r>
    <s v="Pebble &amp; Pine Pharmacy 6095 :  9045 W INDIAN SCHOOL RD, PHOENIX, AZ"/>
    <x v="29"/>
    <x v="2"/>
    <n v="55993.991594411818"/>
    <n v="33.494102869999999"/>
    <n v="-112.25356650000001"/>
    <x v="38"/>
    <x v="2"/>
    <n v="0"/>
  </r>
  <r>
    <s v="Pebble &amp; Pine Pharmacy 6400 :  8030 N 19TH AVE, PHOENIX, AZ"/>
    <x v="907"/>
    <x v="2"/>
    <n v="55993.991594411818"/>
    <n v="33.554631430000001"/>
    <n v="-112.09982460000001"/>
    <x v="38"/>
    <x v="2"/>
    <n v="0"/>
  </r>
  <r>
    <s v="Pebble &amp; Pine Pharmacy 6527 :  710 E CAMELBACK RD, PHOENIX, AZ"/>
    <x v="908"/>
    <x v="2"/>
    <n v="55993.991594411818"/>
    <n v="33.509367130000001"/>
    <n v="-112.0646917"/>
    <x v="38"/>
    <x v="2"/>
    <n v="0"/>
  </r>
  <r>
    <s v="Pebble &amp; Pine Pharmacy 6535 :  2420 E BASELINE RD, PHOENIX, AZ"/>
    <x v="909"/>
    <x v="2"/>
    <n v="55993.991594411818"/>
    <n v="33.378003370000002"/>
    <n v="-112.0295689"/>
    <x v="38"/>
    <x v="2"/>
    <n v="0"/>
  </r>
  <r>
    <s v="Pebble &amp; Pine Pharmacy 6599 :  13227 N 7TH ST, PHOENIX, AZ"/>
    <x v="910"/>
    <x v="2"/>
    <n v="55993.991594411818"/>
    <n v="33.605893430000002"/>
    <n v="-112.0648544"/>
    <x v="38"/>
    <x v="2"/>
    <n v="0"/>
  </r>
  <r>
    <s v="Pebble &amp; Pine Pharmacy 6697 :  7606 S 7TH ST, PHOENIX, AZ"/>
    <x v="911"/>
    <x v="2"/>
    <n v="55993.991594411818"/>
    <n v="33.376860540000003"/>
    <n v="-112.06479469999999"/>
    <x v="38"/>
    <x v="2"/>
    <n v="0"/>
  </r>
  <r>
    <s v="Pebble &amp; Pine Pharmacy 6872 :  2930 N 67TH AVE, PHOENIX, AZ"/>
    <x v="912"/>
    <x v="2"/>
    <n v="55993.991594411818"/>
    <n v="33.481180000000002"/>
    <n v="-112.20343440000001"/>
    <x v="38"/>
    <x v="2"/>
    <n v="0"/>
  </r>
  <r>
    <s v="Pebble &amp; Pine Pharmacy 7018 :  6838 N 7TH ST, PHOENIX, AZ"/>
    <x v="913"/>
    <x v="2"/>
    <n v="55993.991594411818"/>
    <n v="33.537443070000002"/>
    <n v="-112.0652154"/>
    <x v="38"/>
    <x v="2"/>
    <n v="0"/>
  </r>
  <r>
    <s v="Pebble &amp; Pine Pharmacy 7375 :  1840 W SOUTHERN AVE, PHOENIX, AZ"/>
    <x v="29"/>
    <x v="2"/>
    <n v="55993.991594411818"/>
    <n v="33.392397129999999"/>
    <n v="-112.0967491"/>
    <x v="38"/>
    <x v="2"/>
    <n v="0"/>
  </r>
  <r>
    <s v="Pebble &amp; Pine Pharmacy 7663 :  8280 W LOWER BUCKEYE RD, PHOENIX, AZ"/>
    <x v="914"/>
    <x v="2"/>
    <n v="55993.991594411818"/>
    <n v="33.423127129999997"/>
    <n v="-112.237936"/>
    <x v="38"/>
    <x v="2"/>
    <n v="0"/>
  </r>
  <r>
    <s v="Pebble &amp; Pine Pharmacy 809 :  8911 N 7TH ST, PHOENIX, AZ"/>
    <x v="29"/>
    <x v="2"/>
    <n v="55993.991594411818"/>
    <n v="33.566877140000003"/>
    <n v="-112.0650555"/>
    <x v="38"/>
    <x v="2"/>
    <n v="0"/>
  </r>
  <r>
    <s v="Pebble &amp; Pine Pharmacy 9057 :  18433 N 19TH AVE, PHOENIX, AZ"/>
    <x v="915"/>
    <x v="2"/>
    <n v="55993.991594411818"/>
    <n v="33.653111520000003"/>
    <n v="-112.0995588"/>
    <x v="38"/>
    <x v="2"/>
    <n v="0"/>
  </r>
  <r>
    <s v="Pebble &amp; Pine Pharmacy 9261 :  4710 E ROSE GARDEN LN, PHOENIX, AZ"/>
    <x v="916"/>
    <x v="2"/>
    <n v="55993.991594411818"/>
    <n v="33.676937129999999"/>
    <n v="-111.97951449999999"/>
    <x v="38"/>
    <x v="2"/>
    <n v="0"/>
  </r>
  <r>
    <s v="Pebble &amp; Pine Pharmacy 9472 :  2707 W CAREFREE HWY, PHOENIX, AZ"/>
    <x v="917"/>
    <x v="2"/>
    <n v="55993.991594411818"/>
    <n v="33.798202869999997"/>
    <n v="-112.11866759999999"/>
    <x v="38"/>
    <x v="2"/>
    <n v="0"/>
  </r>
  <r>
    <s v="Iron Pine Outpost 46 :  23760 S POWER RD, QUEEN CREEK, AZ"/>
    <x v="918"/>
    <x v="2"/>
    <n v="55993.991594411818"/>
    <n v="33.232881380000002"/>
    <n v="-111.685682"/>
    <x v="39"/>
    <x v="2"/>
    <n v="0"/>
  </r>
  <r>
    <s v="Bluebell Bazaar 2705285 :  23447 S POWER RD, QUEEN CREEK, AZ"/>
    <x v="919"/>
    <x v="2"/>
    <n v="55993.991594411818"/>
    <n v="33.235921040000001"/>
    <n v="-111.68564600000001"/>
    <x v="39"/>
    <x v="2"/>
    <n v="0"/>
  </r>
  <r>
    <s v="Bluebell Bazaar 2705918 :  320 HUNT HWY, QUEEN CREEK, AZ"/>
    <x v="920"/>
    <x v="2"/>
    <n v="55993.991594411818"/>
    <n v="33.161616109999997"/>
    <n v="-111.5631776"/>
    <x v="39"/>
    <x v="2"/>
    <n v="1"/>
  </r>
  <r>
    <s v="Bluebell Bazaar 2708593 :  21895 S ELLSWORTH RD, QUEEN CREEK, AZ"/>
    <x v="921"/>
    <x v="2"/>
    <n v="55993.991594411818"/>
    <n v="33.248991670000002"/>
    <n v="-111.634336"/>
    <x v="39"/>
    <x v="2"/>
    <n v="0"/>
  </r>
  <r>
    <s v="Bluebell Bazaar 2709549 :  18501 E RIGGS RD, QUEEN CREEK, AZ"/>
    <x v="922"/>
    <x v="2"/>
    <n v="55993.991594411818"/>
    <s v="N/A"/>
    <s v="N/A"/>
    <x v="39"/>
    <x v="2"/>
    <n v="1"/>
  </r>
  <r>
    <s v="Bluebell Bazaar 2709560 :  23024 E RIGGS RD, QUEEN CREEK, AZ"/>
    <x v="923"/>
    <x v="2"/>
    <n v="55993.991594411818"/>
    <n v="33.219862849999998"/>
    <n v="-111.5942005"/>
    <x v="39"/>
    <x v="2"/>
    <n v="1"/>
  </r>
  <r>
    <s v="Bluebell Bazaar 2741610 :  35850 N GARY RD, QUEEN CREEK, AZ"/>
    <x v="924"/>
    <x v="2"/>
    <n v="55993.991594411818"/>
    <n v="33.170279999999998"/>
    <n v="-111.65497000000001"/>
    <x v="39"/>
    <x v="2"/>
    <n v="1"/>
  </r>
  <r>
    <s v="Mossy Hollow Market 656 :  22265 E QUEEN CREEK RD, QUEEN CREEK, AZ"/>
    <x v="925"/>
    <x v="2"/>
    <n v="55993.991594411818"/>
    <n v="33.262909270000002"/>
    <n v="-111.6031938"/>
    <x v="39"/>
    <x v="2"/>
    <n v="1"/>
  </r>
  <r>
    <s v="Mossy Hollow Market 693 :  25105 S ELLSWORTH RD, QUEEN CREEK, AZ"/>
    <x v="926"/>
    <x v="2"/>
    <n v="55993.991594411818"/>
    <n v="33.220426779999997"/>
    <n v="-111.6342061"/>
    <x v="39"/>
    <x v="2"/>
    <n v="1"/>
  </r>
  <r>
    <s v="Haven Hearth Goods 1819 :  18495 E QUEEN CREEK RD, QUEEN CREEK, AZ"/>
    <x v="927"/>
    <x v="2"/>
    <n v="55993.991594411818"/>
    <n v="33.266103129999998"/>
    <n v="-111.68402020000001"/>
    <x v="39"/>
    <x v="2"/>
    <n v="1"/>
  </r>
  <r>
    <s v="Jellybean Junction 2365 :  21398 S ELLSWORTH LOOP RD, QUEEN CREEK, AZ"/>
    <x v="928"/>
    <x v="2"/>
    <n v="55993.991594411818"/>
    <n v="33.254221919999999"/>
    <n v="-111.63824390000001"/>
    <x v="39"/>
    <x v="2"/>
    <n v="1"/>
  </r>
  <r>
    <s v="Pebble &amp; Pine Pharmacy 11116 :  21212 E OCOTILLO RD, QUEEN CREEK, AZ"/>
    <x v="929"/>
    <x v="2"/>
    <n v="55993.991594411818"/>
    <n v="33.248837109999997"/>
    <n v="-111.62567730000001"/>
    <x v="39"/>
    <x v="2"/>
    <n v="0"/>
  </r>
  <r>
    <s v="Pebble &amp; Pine Pharmacy 9840 :  3111 W HUNT HWY, QUEEN CREEK, AZ"/>
    <x v="930"/>
    <x v="2"/>
    <n v="55993.991594411818"/>
    <n v="33.190119879999997"/>
    <n v="-111.59946100000001"/>
    <x v="39"/>
    <x v="2"/>
    <n v="0"/>
  </r>
  <r>
    <s v="Bluebell Bazaar 2703388 :  4295 W HUNT HWY, SAN TAN VALLEY, AZ"/>
    <x v="931"/>
    <x v="2"/>
    <n v="55993.991594411818"/>
    <n v="33.198924069999997"/>
    <n v="-111.6153695"/>
    <x v="40"/>
    <x v="2"/>
    <n v="1"/>
  </r>
  <r>
    <s v="Mr Fantastic's Emporium 25845 :  8402 E MCDOWELL RD, SCOTTSDALE, AZ"/>
    <x v="932"/>
    <x v="2"/>
    <n v="55993.991594411818"/>
    <n v="33.466048729999997"/>
    <n v="-111.9002546"/>
    <x v="41"/>
    <x v="2"/>
    <n v="0"/>
  </r>
  <r>
    <s v="Mr Fantastic's Emporium 26411 :  8410 E MCDONALD, SCOTTSDALE, AZ"/>
    <x v="933"/>
    <x v="2"/>
    <n v="55993.991594411818"/>
    <n v="33.524037130000004"/>
    <n v="-111.89991000000001"/>
    <x v="41"/>
    <x v="2"/>
    <n v="0"/>
  </r>
  <r>
    <s v="Snap &amp; Go 118 :  15031 N THOMPSON PEAK PKWY, SCOTTSDALE, AZ"/>
    <x v="934"/>
    <x v="2"/>
    <n v="55993.991594411818"/>
    <n v="33.62236953"/>
    <n v="-111.8742331"/>
    <x v="41"/>
    <x v="2"/>
    <n v="0"/>
  </r>
  <r>
    <s v="Snap &amp; Go 173 :  18271 N PIMA RD, SCOTTSDALE, AZ"/>
    <x v="935"/>
    <x v="2"/>
    <n v="55993.991594411818"/>
    <n v="33.650384410000001"/>
    <n v="-111.8876478"/>
    <x v="41"/>
    <x v="2"/>
    <n v="0"/>
  </r>
  <r>
    <s v="Snap &amp; Go 63 :  7141 E LINCOLN DR, SCOTTSDALE, AZ"/>
    <x v="936"/>
    <x v="2"/>
    <n v="55993.991594411818"/>
    <n v="33.53121402"/>
    <n v="-111.9281124"/>
    <x v="41"/>
    <x v="2"/>
    <n v="0"/>
  </r>
  <r>
    <s v="Snap &amp; Go 75 :  23251 N PIMA RD, SCOTTSDALE, AZ"/>
    <x v="937"/>
    <x v="2"/>
    <n v="55993.991594411818"/>
    <n v="33.696934980000002"/>
    <n v="-111.8903352"/>
    <x v="41"/>
    <x v="2"/>
    <n v="0"/>
  </r>
  <r>
    <s v="Snap &amp; Go 90 :  31311 N SCOTTSDALE RD, SCOTTSDALE, AZ"/>
    <x v="938"/>
    <x v="2"/>
    <n v="55993.991594411818"/>
    <n v="33.768769120000002"/>
    <n v="-111.92564539999999"/>
    <x v="41"/>
    <x v="2"/>
    <n v="0"/>
  </r>
  <r>
    <s v="Driftwood Market 197 :  11475 E VIA LINDA, SCOTTSDALE, AZ"/>
    <x v="939"/>
    <x v="2"/>
    <n v="55993.991594411818"/>
    <n v="33.589524730000001"/>
    <n v="-111.8344329"/>
    <x v="41"/>
    <x v="2"/>
    <n v="0"/>
  </r>
  <r>
    <s v="Driftwood Market 2955 :  2785 N SCOTTSDALE RD, SCOTTSDALE, AZ"/>
    <x v="940"/>
    <x v="2"/>
    <n v="55993.991594411818"/>
    <n v="33.478928889999999"/>
    <n v="-111.9259856"/>
    <x v="41"/>
    <x v="2"/>
    <n v="1"/>
  </r>
  <r>
    <s v="Driftwood Market 966 :  6965 N HAYDEN RD, SCOTTSDALE, AZ"/>
    <x v="941"/>
    <x v="2"/>
    <n v="55993.991594411818"/>
    <n v="33.53779548"/>
    <n v="-111.908357"/>
    <x v="41"/>
    <x v="2"/>
    <n v="0"/>
  </r>
  <r>
    <s v="Iron Pine Outpost 16 :  8423 E MCDONALD DR, SCOTTSDALE, AZ"/>
    <x v="942"/>
    <x v="2"/>
    <n v="55993.991594411818"/>
    <n v="33.523762869999999"/>
    <n v="-111.89933069999999"/>
    <x v="41"/>
    <x v="2"/>
    <n v="0"/>
  </r>
  <r>
    <s v="Iron Pine Outpost 7 :  8035 E INDIAN SCHOOL RD, SCOTTSDALE, AZ"/>
    <x v="943"/>
    <x v="2"/>
    <n v="55993.991594411818"/>
    <n v="33.494655479999999"/>
    <n v="-111.90794150000001"/>
    <x v="41"/>
    <x v="2"/>
    <n v="0"/>
  </r>
  <r>
    <s v="Iron Pine Outpost 99 :  10111 E BELL RD, SCOTTSDALE, AZ"/>
    <x v="944"/>
    <x v="2"/>
    <n v="55993.991594411818"/>
    <n v="33.639862870000002"/>
    <n v="-111.8626556"/>
    <x v="41"/>
    <x v="2"/>
    <n v="0"/>
  </r>
  <r>
    <s v="Bluebell Bazaar 2700079 :  3050 N 68TH ST, SCOTTSDALE, AZ"/>
    <x v="945"/>
    <x v="2"/>
    <n v="55993.991594411818"/>
    <n v="33.48290429"/>
    <n v="-111.9349244"/>
    <x v="41"/>
    <x v="2"/>
    <n v="0"/>
  </r>
  <r>
    <s v="Bluebell Bazaar 2700127 :  4440 N MILLER RD, SCOTTSDALE, AZ"/>
    <x v="946"/>
    <x v="2"/>
    <n v="55993.991594411818"/>
    <n v="33.501456879999999"/>
    <n v="-111.91768449999999"/>
    <x v="41"/>
    <x v="2"/>
    <n v="1"/>
  </r>
  <r>
    <s v="Bluebell Bazaar 2700248 :  6901 E INDIAN SCHOOL RD, SCOTTSDALE, AZ"/>
    <x v="947"/>
    <x v="2"/>
    <n v="55993.991594411818"/>
    <n v="33.494612869999997"/>
    <n v="-111.93247"/>
    <x v="41"/>
    <x v="2"/>
    <n v="0"/>
  </r>
  <r>
    <s v="Bluebell Bazaar 2701613 :  8001 E THOMAS RD, SCOTTSDALE, AZ"/>
    <x v="948"/>
    <x v="2"/>
    <n v="55993.991594411818"/>
    <n v="33.480262869999997"/>
    <n v="-111.90894"/>
    <x v="41"/>
    <x v="2"/>
    <n v="0"/>
  </r>
  <r>
    <s v="Bluebell Bazaar 2701728 :  6744 E MCDOWELL RD, SCOTTSDALE, AZ"/>
    <x v="949"/>
    <x v="2"/>
    <n v="55993.991594411818"/>
    <n v="33.4658236"/>
    <n v="-111.9354647"/>
    <x v="41"/>
    <x v="2"/>
    <n v="0"/>
  </r>
  <r>
    <s v="Bluebell Bazaar 2701797 :  7602 E MCKELLIPS, SCOTTSDALE, AZ"/>
    <x v="950"/>
    <x v="2"/>
    <n v="55993.991594411818"/>
    <n v="33.451397129999997"/>
    <n v="-111.9178567"/>
    <x v="41"/>
    <x v="2"/>
    <n v="0"/>
  </r>
  <r>
    <s v="Bluebell Bazaar 2703745 :  3410 N HAYDEN RD, SCOTTSDALE, AZ"/>
    <x v="951"/>
    <x v="2"/>
    <n v="55993.991594411818"/>
    <n v="33.488141329999998"/>
    <n v="-111.90906440000001"/>
    <x v="41"/>
    <x v="2"/>
    <n v="0"/>
  </r>
  <r>
    <s v="Bluebell Bazaar 2705027 :  7140 E SHEA BLVD, SCOTTSDALE, AZ"/>
    <x v="952"/>
    <x v="2"/>
    <n v="55993.991594411818"/>
    <n v="33.582357129999998"/>
    <n v="-111.9270909"/>
    <x v="41"/>
    <x v="2"/>
    <n v="0"/>
  </r>
  <r>
    <s v="Bluebell Bazaar 2705296 :  13880 N FRANK LLOYD WRIGHT, SCOTTSDALE, AZ"/>
    <x v="953"/>
    <x v="2"/>
    <n v="55993.991594411818"/>
    <n v="33.612079870000002"/>
    <n v="-111.8651531"/>
    <x v="41"/>
    <x v="2"/>
    <n v="0"/>
  </r>
  <r>
    <s v="Bluebell Bazaar 2705410 :  8890 E SHEA BLVD, SCOTTSDALE, AZ"/>
    <x v="954"/>
    <x v="2"/>
    <n v="55993.991594411818"/>
    <n v="33.582742400000001"/>
    <n v="-111.88844760000001"/>
    <x v="41"/>
    <x v="2"/>
    <n v="1"/>
  </r>
  <r>
    <s v="Bluebell Bazaar 2705915 :  20721 N SCOTTSDALE RD, SCOTTSDALE, AZ"/>
    <x v="955"/>
    <x v="2"/>
    <n v="55993.991594411818"/>
    <n v="33.675730000000001"/>
    <n v="-111.9251752"/>
    <x v="41"/>
    <x v="2"/>
    <n v="1"/>
  </r>
  <r>
    <s v="Bluebell Bazaar 2706347 :  8202 E MCDOWELL RD, SCOTTSDALE, AZ"/>
    <x v="956"/>
    <x v="2"/>
    <n v="55993.991594411818"/>
    <n v="33.46604713"/>
    <n v="-111.90317"/>
    <x v="41"/>
    <x v="2"/>
    <n v="0"/>
  </r>
  <r>
    <s v="Bluebell Bazaar 2706652 :  10989 E DYNAMITE BLVD, SCOTTSDALE, AZ"/>
    <x v="957"/>
    <x v="2"/>
    <n v="55993.991594411818"/>
    <n v="33.742331030000003"/>
    <n v="-111.8432487"/>
    <x v="41"/>
    <x v="2"/>
    <n v="1"/>
  </r>
  <r>
    <s v="Bluebell Bazaar 2708557 :  8001 E MCDOWELL RD, SCOTTSDALE, AZ"/>
    <x v="958"/>
    <x v="2"/>
    <n v="55993.991594411818"/>
    <n v="33.465572889999997"/>
    <n v="-111.9087473"/>
    <x v="41"/>
    <x v="2"/>
    <n v="0"/>
  </r>
  <r>
    <s v="Bluebell Bazaar 2709167 :  9709 N HAYDEN RD, SCOTTSDALE, AZ"/>
    <x v="959"/>
    <x v="2"/>
    <n v="55993.991594411818"/>
    <n v="33.574369560000001"/>
    <n v="-111.9055765"/>
    <x v="41"/>
    <x v="2"/>
    <n v="0"/>
  </r>
  <r>
    <s v="Bluebell Bazaar 2709169 :  4101 N HAYDEN RD, SCOTTSDALE, AZ"/>
    <x v="960"/>
    <x v="2"/>
    <n v="55993.991594411818"/>
    <n v="33.496131990000002"/>
    <n v="-111.9087047"/>
    <x v="41"/>
    <x v="2"/>
    <n v="1"/>
  </r>
  <r>
    <s v="Bluebell Bazaar 2709170 :  10200 N SCOTTSDALE RD, SCOTTSDALE, AZ"/>
    <x v="961"/>
    <x v="2"/>
    <n v="55993.991594411818"/>
    <n v="33.57846"/>
    <n v="-111.92629460000001"/>
    <x v="41"/>
    <x v="2"/>
    <n v="1"/>
  </r>
  <r>
    <s v="Bluebell Bazaar 2709174 :  10050 E MOUNTAIN VIEW RD, SCOTTSDALE, AZ"/>
    <x v="962"/>
    <x v="2"/>
    <n v="55993.991594411818"/>
    <n v="33.574128639999998"/>
    <n v="-111.8646081"/>
    <x v="41"/>
    <x v="2"/>
    <n v="0"/>
  </r>
  <r>
    <s v="Bluebell Bazaar 2709529 :  5601 E BELL RD, SCOTTSDALE, AZ"/>
    <x v="963"/>
    <x v="2"/>
    <n v="55993.991594411818"/>
    <n v="33.640252869999998"/>
    <n v="-111.960021"/>
    <x v="41"/>
    <x v="2"/>
    <n v="1"/>
  </r>
  <r>
    <s v="Bluebell Bazaar 2741711 :  2865 N SCOTTSDALE RD, SCOTTSDALE, AZ"/>
    <x v="964"/>
    <x v="2"/>
    <n v="55993.991594411818"/>
    <n v="33.479845130000001"/>
    <n v="-111.92588170000001"/>
    <x v="41"/>
    <x v="2"/>
    <n v="0"/>
  </r>
  <r>
    <s v="Mossy Hollow Market 120 :  6321 E GREENWAY, SCOTTSDALE, AZ"/>
    <x v="965"/>
    <x v="2"/>
    <n v="55993.991594411818"/>
    <n v="33.62573287"/>
    <n v="-111.94438"/>
    <x v="41"/>
    <x v="2"/>
    <n v="1"/>
  </r>
  <r>
    <s v="Mossy Hollow Market 125 :  10450 N 90TH ST, SCOTTSDALE, AZ"/>
    <x v="966"/>
    <x v="2"/>
    <n v="55993.991594411818"/>
    <n v="33.58057659"/>
    <n v="-111.8866764"/>
    <x v="41"/>
    <x v="2"/>
    <n v="1"/>
  </r>
  <r>
    <s v="Mossy Hollow Market 25 :  7628 A E INDIAN SCHOOL RD, SCOTTSDALE, AZ"/>
    <x v="29"/>
    <x v="2"/>
    <n v="55993.991594411818"/>
    <n v="33.494520000000001"/>
    <n v="-111.92093"/>
    <x v="41"/>
    <x v="2"/>
    <n v="0"/>
  </r>
  <r>
    <s v="Mossy Hollow Market 5 :  7770 E MCDOWELL, SCOTTSDALE, AZ"/>
    <x v="967"/>
    <x v="2"/>
    <n v="55993.991594411818"/>
    <n v="33.466005180000003"/>
    <n v="-111.9131144"/>
    <x v="41"/>
    <x v="2"/>
    <n v="1"/>
  </r>
  <r>
    <s v="Mossy Hollow Market 54 :  4842 E BELL RD, SCOTTSDALE, AZ"/>
    <x v="968"/>
    <x v="2"/>
    <n v="55993.991594411818"/>
    <n v="33.640769089999999"/>
    <n v="-111.9760201"/>
    <x v="41"/>
    <x v="2"/>
    <n v="1"/>
  </r>
  <r>
    <s v="Mossy Hollow Market 621 :  8900 E VIA LINDA, SCOTTSDALE, AZ"/>
    <x v="969"/>
    <x v="2"/>
    <n v="55993.991594411818"/>
    <n v="33.568957109999999"/>
    <n v="-111.88864030000001"/>
    <x v="41"/>
    <x v="2"/>
    <n v="1"/>
  </r>
  <r>
    <s v="Mossy Hollow Market 673 :  20427 N HAYDEN RD, SCOTTSDALE, AZ"/>
    <x v="970"/>
    <x v="2"/>
    <n v="55993.991594411818"/>
    <n v="33.670571520000003"/>
    <n v="-111.90621489999999"/>
    <x v="41"/>
    <x v="2"/>
    <n v="1"/>
  </r>
  <r>
    <s v="Sunny Pebble Co. 805 :  16610 N SCOTTSDALE RD, SCOTTSDALE, AZ"/>
    <x v="971"/>
    <x v="2"/>
    <n v="55993.991594411818"/>
    <n v="33.637310550000002"/>
    <n v="-111.92564659999999"/>
    <x v="41"/>
    <x v="2"/>
    <n v="1"/>
  </r>
  <r>
    <s v="Sunny Pebble Co. 806 :  15515 N SCOTTSDALE RD, SCOTTSDALE, AZ"/>
    <x v="972"/>
    <x v="2"/>
    <n v="55993.991594411818"/>
    <n v="33.628576700000004"/>
    <n v="-111.92528540000001"/>
    <x v="41"/>
    <x v="2"/>
    <n v="1"/>
  </r>
  <r>
    <s v="Sunny Pebble Co. 807 :  14717 N NORTHSIGHT BLVD, SCOTTSDALE, AZ"/>
    <x v="973"/>
    <x v="2"/>
    <n v="55993.991594411818"/>
    <n v="33.61947"/>
    <n v="-111.8974753"/>
    <x v="41"/>
    <x v="2"/>
    <n v="1"/>
  </r>
  <r>
    <s v="Haven Hearth Goods 1253 :  23565 N SCOTTSDALE RD, SCOTTSDALE, AZ"/>
    <x v="974"/>
    <x v="2"/>
    <n v="55993.991594411818"/>
    <n v="33.70064343"/>
    <n v="-111.9251404"/>
    <x v="41"/>
    <x v="2"/>
    <n v="0"/>
  </r>
  <r>
    <s v="Haven Hearth Goods 1491 :  7920 E CHAPARRAL RD, SCOTTSDALE, AZ"/>
    <x v="975"/>
    <x v="2"/>
    <n v="55993.991594411818"/>
    <n v="33.509547130000001"/>
    <n v="-111.91065500000001"/>
    <x v="41"/>
    <x v="2"/>
    <n v="1"/>
  </r>
  <r>
    <s v="Haven Hearth Goods 1549 :  14696 N FRANK LLOYD WRIGHT B, SCOTTSDALE, AZ"/>
    <x v="976"/>
    <x v="2"/>
    <n v="55993.991594411818"/>
    <n v="33.620164699999997"/>
    <n v="-111.8743056"/>
    <x v="41"/>
    <x v="2"/>
    <n v="1"/>
  </r>
  <r>
    <s v="Haven Hearth Goods 1663 :  20901 N PIMA RD, SCOTTSDALE, AZ"/>
    <x v="977"/>
    <x v="2"/>
    <n v="55993.991594411818"/>
    <n v="33.6742287"/>
    <n v="-111.8902952"/>
    <x v="41"/>
    <x v="2"/>
    <n v="0"/>
  </r>
  <r>
    <s v="Haven Hearth Goods 1750 :  6501 E GREENWAY PKWY BLDG 4, SCOTTSDALE, AZ"/>
    <x v="978"/>
    <x v="2"/>
    <n v="55993.991594411818"/>
    <n v="33.625666279999997"/>
    <n v="-111.9415465"/>
    <x v="41"/>
    <x v="2"/>
    <n v="1"/>
  </r>
  <r>
    <s v="Haven Hearth Goods 1849 :  32551 N SCOTTSDALE RD, SCOTTSDALE, AZ"/>
    <x v="979"/>
    <x v="2"/>
    <n v="55993.991594411818"/>
    <n v="33.780722679999997"/>
    <n v="-111.925625"/>
    <x v="41"/>
    <x v="2"/>
    <n v="0"/>
  </r>
  <r>
    <s v="Haven Hearth Goods 2032 :  10773 N SCOTTSDALE RD, SCOTTSDALE, AZ"/>
    <x v="980"/>
    <x v="2"/>
    <n v="55993.991594411818"/>
    <n v="33.584150000000001"/>
    <n v="-111.9257454"/>
    <x v="41"/>
    <x v="2"/>
    <n v="1"/>
  </r>
  <r>
    <s v="Maplewood Mercantile 1327 :  32351 N SCOTTSDALE RD, SCOTTSDALE, AZ"/>
    <x v="981"/>
    <x v="2"/>
    <n v="55993.991594411818"/>
    <n v="33.779634469999998"/>
    <n v="-111.925625"/>
    <x v="41"/>
    <x v="2"/>
    <n v="0"/>
  </r>
  <r>
    <s v="Maplewood Mercantile 363 :  9000 E TALKING STICK WAY, SCOTTSDALE, AZ"/>
    <x v="982"/>
    <x v="2"/>
    <n v="55993.991594411818"/>
    <n v="33.538626090000001"/>
    <n v="-111.886894"/>
    <x v="41"/>
    <x v="2"/>
    <n v="1"/>
  </r>
  <r>
    <s v="Maplewood Mercantile 936 :  15444 N FRANK LLOYD WRIGHT, SCOTTSDALE, AZ"/>
    <x v="983"/>
    <x v="2"/>
    <n v="55993.991594411818"/>
    <n v="33.626686800000002"/>
    <n v="-111.8799933"/>
    <x v="41"/>
    <x v="2"/>
    <n v="1"/>
  </r>
  <r>
    <s v="Pebble &amp; Pine Pharmacy 13758 :  6200 N SCOTTSDALE RD, SCOTTSDALE, AZ"/>
    <x v="984"/>
    <x v="2"/>
    <n v="55993.991594411818"/>
    <n v="33.528799999999997"/>
    <n v="-111.9260045"/>
    <x v="41"/>
    <x v="2"/>
    <n v="0"/>
  </r>
  <r>
    <s v="Pebble &amp; Pine Pharmacy 1950 :  10135 E VIA LINDA, SCOTTSDALE, AZ"/>
    <x v="985"/>
    <x v="2"/>
    <n v="55993.991594411818"/>
    <n v="33.574418309999999"/>
    <n v="-111.86293860000001"/>
    <x v="41"/>
    <x v="2"/>
    <n v="0"/>
  </r>
  <r>
    <s v="Pebble &amp; Pine Pharmacy 2599 :  7337 N VIA PASEO DEL SUR, SCOTTSDALE, AZ"/>
    <x v="986"/>
    <x v="2"/>
    <n v="55993.991594411818"/>
    <n v="33.542743260000002"/>
    <n v="-111.9059204"/>
    <x v="41"/>
    <x v="2"/>
    <n v="0"/>
  </r>
  <r>
    <s v="Pebble &amp; Pine Pharmacy 3163 :  3420 N SCOTTSDALE RD, SCOTTSDALE, AZ"/>
    <x v="987"/>
    <x v="2"/>
    <n v="55993.991594411818"/>
    <n v="33.488180610000001"/>
    <n v="-111.92640280000001"/>
    <x v="41"/>
    <x v="2"/>
    <n v="0"/>
  </r>
  <r>
    <s v="Pebble &amp; Pine Pharmacy 3177 :  7011 E SHEA BLVD, SCOTTSDALE, AZ"/>
    <x v="988"/>
    <x v="2"/>
    <n v="55993.991594411818"/>
    <n v="33.581932870000003"/>
    <n v="-111.9299743"/>
    <x v="41"/>
    <x v="2"/>
    <n v="0"/>
  </r>
  <r>
    <s v="Pebble &amp; Pine Pharmacy 3602 :  8816 E PINNACLE PEAK RD, SCOTTSDALE, AZ"/>
    <x v="989"/>
    <x v="2"/>
    <n v="55993.991594411818"/>
    <n v="33.69883677"/>
    <n v="-111.8896779"/>
    <x v="41"/>
    <x v="2"/>
    <n v="0"/>
  </r>
  <r>
    <s v="Pebble &amp; Pine Pharmacy 3766 :  34402 N SCOTTSDALE RD, SCOTTSDALE, AZ"/>
    <x v="990"/>
    <x v="2"/>
    <n v="55993.991594411818"/>
    <n v="33.797506429999999"/>
    <n v="-111.92798019999999"/>
    <x v="41"/>
    <x v="2"/>
    <n v="0"/>
  </r>
  <r>
    <s v="Pebble &amp; Pine Pharmacy 4138 :  7923 E MCDOWELL RD, SCOTTSDALE, AZ"/>
    <x v="991"/>
    <x v="2"/>
    <n v="55993.991594411818"/>
    <n v="33.46557902"/>
    <n v="-111.9108354"/>
    <x v="41"/>
    <x v="2"/>
    <n v="0"/>
  </r>
  <r>
    <s v="Pebble &amp; Pine Pharmacy 4506 :  8015 E INDIAN SCHOOL RD, SCOTTSDALE, AZ"/>
    <x v="992"/>
    <x v="2"/>
    <n v="55993.991594411818"/>
    <n v="33.494648069999997"/>
    <n v="-111.9084156"/>
    <x v="41"/>
    <x v="2"/>
    <n v="0"/>
  </r>
  <r>
    <s v="Pebble &amp; Pine Pharmacy 4507 :  15025 N THOMPSON PEAK PKWY, SCOTTSDALE, AZ"/>
    <x v="993"/>
    <x v="2"/>
    <n v="55993.991594411818"/>
    <n v="33.622111160000003"/>
    <n v="-111.8746178"/>
    <x v="41"/>
    <x v="2"/>
    <n v="0"/>
  </r>
  <r>
    <s v="Pebble &amp; Pine Pharmacy 5453 :  6501 E GREENWAY PKWY, SCOTTSDALE, AZ"/>
    <x v="994"/>
    <x v="2"/>
    <n v="55993.991594411818"/>
    <n v="33.625666279999997"/>
    <n v="-111.9415465"/>
    <x v="41"/>
    <x v="2"/>
    <n v="0"/>
  </r>
  <r>
    <s v="Pebble &amp; Pine Pharmacy 5890 :  11250 E VIA LINDA, SCOTTSDALE, AZ"/>
    <x v="995"/>
    <x v="2"/>
    <n v="55993.991594411818"/>
    <n v="33.587505370000002"/>
    <n v="-111.8395696"/>
    <x v="41"/>
    <x v="2"/>
    <n v="0"/>
  </r>
  <r>
    <s v="Pebble &amp; Pine Pharmacy 6534 :  20631 N SCOTTSDALE RD, SCOTTSDALE, AZ"/>
    <x v="996"/>
    <x v="2"/>
    <n v="55993.991594411818"/>
    <n v="33.674366880000001"/>
    <n v="-111.9251752"/>
    <x v="41"/>
    <x v="2"/>
    <n v="0"/>
  </r>
  <r>
    <s v="Pebble &amp; Pine Pharmacy 6729 :  10929 E DYNAMITE BLVD, SCOTTSDALE, AZ"/>
    <x v="997"/>
    <x v="2"/>
    <n v="55993.991594411818"/>
    <n v="33.74260752"/>
    <n v="-111.8440202"/>
    <x v="41"/>
    <x v="2"/>
    <n v="0"/>
  </r>
  <r>
    <s v="Pebble &amp; Pine Pharmacy 9262 :  8469 E MCDONALD DR, SCOTTSDALE, AZ"/>
    <x v="998"/>
    <x v="2"/>
    <n v="55993.991594411818"/>
    <n v="33.523762869999999"/>
    <n v="-111.89776999999999"/>
    <x v="41"/>
    <x v="2"/>
    <n v="0"/>
  </r>
  <r>
    <s v="Cloudline Provisions 82718 :  10303 W GRAND AVE, SUN CITY, AZ"/>
    <x v="999"/>
    <x v="2"/>
    <n v="55993.991594411818"/>
    <n v="33.599925429999999"/>
    <n v="-112.28133"/>
    <x v="42"/>
    <x v="2"/>
    <n v="0"/>
  </r>
  <r>
    <s v="Bluebell Bazaar 2709165 :  9848 W BELL RD, SUN CITY, AZ"/>
    <x v="1000"/>
    <x v="2"/>
    <n v="55993.991594411818"/>
    <n v="33.638261069999999"/>
    <n v="-112.27215339999999"/>
    <x v="42"/>
    <x v="2"/>
    <n v="0"/>
  </r>
  <r>
    <s v="Mossy Hollow Market 122 :  10660 NW GRAND AVE, SUN CITY, AZ"/>
    <x v="1001"/>
    <x v="2"/>
    <n v="55993.991594411818"/>
    <n v="33.602538299999999"/>
    <n v="-112.2886639"/>
    <x v="42"/>
    <x v="2"/>
    <n v="1"/>
  </r>
  <r>
    <s v="Haven Hearth Goods 236 :  10926 W BELL RD, SUN CITY, AZ"/>
    <x v="1002"/>
    <x v="2"/>
    <n v="55993.991594411818"/>
    <n v="33.638227129999997"/>
    <n v="-112.29187"/>
    <x v="42"/>
    <x v="2"/>
    <n v="0"/>
  </r>
  <r>
    <s v="Pebble &amp; Pine Pharmacy 5568 :  10707 W PEORIA AVE, SUN CITY, AZ"/>
    <x v="1003"/>
    <x v="2"/>
    <n v="55993.991594411818"/>
    <n v="33.579903620000003"/>
    <n v="-112.29062279999999"/>
    <x v="42"/>
    <x v="2"/>
    <n v="0"/>
  </r>
  <r>
    <s v="Pebble &amp; Pine Pharmacy 813 :  15442 N 99TH AVE, SUN CITY, AZ"/>
    <x v="1004"/>
    <x v="2"/>
    <n v="55993.991594411818"/>
    <n v="33.623302899999999"/>
    <n v="-112.26979059999999"/>
    <x v="42"/>
    <x v="2"/>
    <n v="0"/>
  </r>
  <r>
    <s v="Iron Pine Outpost 128 :  13940 W MEEKER BLVD, SUN CITY WEST, AZ"/>
    <x v="1005"/>
    <x v="2"/>
    <n v="55993.991594411818"/>
    <n v="33.660553540000002"/>
    <n v="-112.3602054"/>
    <x v="43"/>
    <x v="2"/>
    <n v="0"/>
  </r>
  <r>
    <s v="Mossy Hollow Market 86 :  19403 N RH JOHNSON BLVD, SUN CITY WEST, AZ"/>
    <x v="1006"/>
    <x v="2"/>
    <n v="55993.991594411818"/>
    <n v="33.660228590000003"/>
    <n v="-112.3553273"/>
    <x v="43"/>
    <x v="2"/>
    <n v="0"/>
  </r>
  <r>
    <s v="Haven Hearth Goods 2054 :  13503 CM DEL SOL, SUN CITY WEST, AZ"/>
    <x v="1007"/>
    <x v="2"/>
    <n v="55993.991594411818"/>
    <n v="33.674419999999998"/>
    <n v="-112.35491"/>
    <x v="43"/>
    <x v="2"/>
    <n v="0"/>
  </r>
  <r>
    <s v="Pebble &amp; Pine Pharmacy 6128 :  19003 N R H JOHNSON BLVD, SUN CITY WEST, AZ"/>
    <x v="1008"/>
    <x v="2"/>
    <n v="55993.991594411818"/>
    <n v="33.657090289999999"/>
    <n v="-112.3508693"/>
    <x v="43"/>
    <x v="2"/>
    <n v="0"/>
  </r>
  <r>
    <s v="Iron Pine Outpost 43 :  10325 E RIGGS RD, SUN LAKES, AZ"/>
    <x v="1009"/>
    <x v="2"/>
    <n v="55993.991594411818"/>
    <n v="33.21809288"/>
    <n v="-111.8599081"/>
    <x v="44"/>
    <x v="2"/>
    <n v="0"/>
  </r>
  <r>
    <s v="Pebble &amp; Pine Pharmacy 3669 :  10324 E RIGGS RD, SUN LAKES, AZ"/>
    <x v="1010"/>
    <x v="2"/>
    <n v="55993.991594411818"/>
    <n v="33.218439070000002"/>
    <n v="-111.8606145"/>
    <x v="44"/>
    <x v="2"/>
    <n v="0"/>
  </r>
  <r>
    <s v="Mr Fantastic's Emporium 42300 :  13130 W BELL RD, SURPRISE, AZ"/>
    <x v="1011"/>
    <x v="2"/>
    <n v="55993.991594411818"/>
    <s v="N/A"/>
    <s v="N/A"/>
    <x v="45"/>
    <x v="2"/>
    <n v="1"/>
  </r>
  <r>
    <s v="Driftwood Market 977 :  14551 W GRAND AVE, SURPRISE, AZ"/>
    <x v="1012"/>
    <x v="2"/>
    <n v="55993.991594411818"/>
    <n v="33.656891309999999"/>
    <n v="-112.3740454"/>
    <x v="45"/>
    <x v="2"/>
    <n v="0"/>
  </r>
  <r>
    <s v="Iron Pine Outpost 137 :  15367 W WADDELL RD, SURPRISE, AZ"/>
    <x v="1013"/>
    <x v="2"/>
    <n v="55993.991594411818"/>
    <n v="33.609439170000002"/>
    <n v="-112.3915918"/>
    <x v="45"/>
    <x v="2"/>
    <n v="0"/>
  </r>
  <r>
    <s v="Bluebell Bazaar 2701184 :  12707 W GRAND AVE, SURPRISE, AZ"/>
    <x v="1014"/>
    <x v="2"/>
    <n v="55993.991594411818"/>
    <n v="33.625068679999998"/>
    <n v="-112.33348959999999"/>
    <x v="45"/>
    <x v="2"/>
    <n v="0"/>
  </r>
  <r>
    <s v="Bluebell Bazaar 2703395 :  16247 W BELL RD, SURPRISE, AZ"/>
    <x v="1015"/>
    <x v="2"/>
    <n v="55993.991594411818"/>
    <n v="33.638583130000001"/>
    <n v="-112.4087803"/>
    <x v="45"/>
    <x v="2"/>
    <n v="1"/>
  </r>
  <r>
    <s v="Bluebell Bazaar 2706285 :  11339 W BELL RD, SURPRISE, AZ"/>
    <x v="1016"/>
    <x v="2"/>
    <n v="55993.991594411818"/>
    <n v="33.638462869999998"/>
    <n v="-112.304615"/>
    <x v="45"/>
    <x v="2"/>
    <n v="0"/>
  </r>
  <r>
    <s v="Bluebell Bazaar 2709576 :  16934 W WADDELL RD, SURPRISE, AZ"/>
    <x v="1017"/>
    <x v="2"/>
    <n v="55993.991594411818"/>
    <s v="N/A"/>
    <s v="N/A"/>
    <x v="45"/>
    <x v="2"/>
    <n v="1"/>
  </r>
  <r>
    <s v="Bluebell Bazaar 2741641 :  13908 W BELL RD, SURPRISE, AZ"/>
    <x v="1018"/>
    <x v="2"/>
    <n v="55993.991594411818"/>
    <n v="33.638844769999999"/>
    <n v="-112.3596149"/>
    <x v="45"/>
    <x v="2"/>
    <n v="1"/>
  </r>
  <r>
    <s v="Bluebell Bazaar 2741712 :  14559 W GRAND AVE, SURPRISE, AZ"/>
    <x v="1019"/>
    <x v="2"/>
    <n v="55993.991594411818"/>
    <n v="33.657081750000003"/>
    <n v="-112.37429109999999"/>
    <x v="45"/>
    <x v="2"/>
    <n v="0"/>
  </r>
  <r>
    <s v="Bluebell Bazaar 2741713 :  16794 W BELL RD, SURPRISE, AZ"/>
    <x v="1020"/>
    <x v="2"/>
    <n v="55993.991594411818"/>
    <n v="33.639037129999998"/>
    <n v="-112.42112"/>
    <x v="45"/>
    <x v="2"/>
    <n v="0"/>
  </r>
  <r>
    <s v="Mossy Hollow Market 61 :  15510 W BELL RD, SURPRISE, AZ"/>
    <x v="1021"/>
    <x v="2"/>
    <n v="55993.991594411818"/>
    <n v="33.638922010000002"/>
    <n v="-112.39517309999999"/>
    <x v="45"/>
    <x v="2"/>
    <n v="1"/>
  </r>
  <r>
    <s v="Mossy Hollow Market 674 :  13982 W WADDELL RD, SURPRISE, AZ"/>
    <x v="1022"/>
    <x v="2"/>
    <n v="55993.991594411818"/>
    <n v="33.609330730000003"/>
    <n v="-112.3614188"/>
    <x v="45"/>
    <x v="2"/>
    <n v="1"/>
  </r>
  <r>
    <s v="Mossy Hollow Market 678 :  16400 N PAT TILLMAN BLVD, SURPRISE, AZ"/>
    <x v="1023"/>
    <x v="2"/>
    <n v="55993.991594411818"/>
    <n v="33.71123"/>
    <n v="-112.46876"/>
    <x v="45"/>
    <x v="2"/>
    <n v="1"/>
  </r>
  <r>
    <s v="Mossy Hollow Market 680 :  15215 N COTTON LN, SURPRISE, AZ"/>
    <x v="1024"/>
    <x v="2"/>
    <n v="55993.991594411818"/>
    <n v="33.622655000000002"/>
    <n v="-112.4266253"/>
    <x v="45"/>
    <x v="2"/>
    <n v="1"/>
  </r>
  <r>
    <s v="Haven Hearth Goods 1997 :  17049 W BELL RD, SURPRISE, AZ"/>
    <x v="1025"/>
    <x v="2"/>
    <n v="55993.991594411818"/>
    <n v="33.638642869999998"/>
    <n v="-112.4247225"/>
    <x v="45"/>
    <x v="2"/>
    <n v="1"/>
  </r>
  <r>
    <s v="Haven Hearth Goods 2699 :  13828 W WADDELL RD, SURPRISE, AZ"/>
    <x v="1026"/>
    <x v="2"/>
    <n v="55993.991594411818"/>
    <n v="33.609297089999998"/>
    <n v="-112.35779599999999"/>
    <x v="45"/>
    <x v="2"/>
    <n v="1"/>
  </r>
  <r>
    <s v="Haven Hearth Goods 48 :  17230 W PEORIA AVE, SURPRISE, AZ"/>
    <x v="1027"/>
    <x v="2"/>
    <n v="55993.991594411818"/>
    <n v="33.580831910000001"/>
    <n v="-112.4323715"/>
    <x v="45"/>
    <x v="2"/>
    <n v="1"/>
  </r>
  <r>
    <s v="Maplewood Mercantile 1335 :  13731 W BELL RD, SURPRISE, AZ"/>
    <x v="1028"/>
    <x v="2"/>
    <n v="55993.991594411818"/>
    <n v="33.638432870000003"/>
    <n v="-112.35380499999999"/>
    <x v="45"/>
    <x v="2"/>
    <n v="1"/>
  </r>
  <r>
    <s v="Maplewood Mercantile 2915 :  14101 N PRASADA PKWY, SURPRISE, AZ"/>
    <x v="1029"/>
    <x v="2"/>
    <n v="55993.991594411818"/>
    <s v="N/A"/>
    <s v="N/A"/>
    <x v="45"/>
    <x v="2"/>
    <n v="0"/>
  </r>
  <r>
    <s v="Pebble &amp; Pine Pharmacy 12087 :  13723 N LITCHFIELD RD, SURPRISE, AZ"/>
    <x v="1030"/>
    <x v="2"/>
    <n v="55993.991594411818"/>
    <n v="33.609047109999999"/>
    <n v="-112.3589644"/>
    <x v="45"/>
    <x v="2"/>
    <n v="0"/>
  </r>
  <r>
    <s v="Pebble &amp; Pine Pharmacy 4620 :  15490 W BELL RD, SURPRISE, AZ"/>
    <x v="1031"/>
    <x v="2"/>
    <n v="55993.991594411818"/>
    <n v="33.638907119999999"/>
    <n v="-112.3932677"/>
    <x v="45"/>
    <x v="2"/>
    <n v="0"/>
  </r>
  <r>
    <s v="Pebble &amp; Pine Pharmacy 4791 :  14285 W GRAND AVE, SURPRISE, AZ"/>
    <x v="1032"/>
    <x v="2"/>
    <n v="55993.991594411818"/>
    <n v="33.65285883"/>
    <n v="-112.3688865"/>
    <x v="45"/>
    <x v="2"/>
    <n v="0"/>
  </r>
  <r>
    <s v="Pebble &amp; Pine Pharmacy 6806 :  17088 W BELL RD, SURPRISE, AZ"/>
    <x v="1033"/>
    <x v="2"/>
    <n v="55993.991594411818"/>
    <n v="33.639067130000001"/>
    <n v="-112.42609330000001"/>
    <x v="45"/>
    <x v="2"/>
    <n v="0"/>
  </r>
  <r>
    <s v="Pebble &amp; Pine Pharmacy 7933 :  15514 W WADDELL RD, SURPRISE, AZ"/>
    <x v="1034"/>
    <x v="2"/>
    <n v="55993.991594411818"/>
    <n v="33.609757129999998"/>
    <n v="-112.394435"/>
    <x v="45"/>
    <x v="2"/>
    <n v="0"/>
  </r>
  <r>
    <s v="Mr Fantastic's Emporium 13017 :  1006 S MCCLINTOCK DR, TEMPE, AZ"/>
    <x v="1035"/>
    <x v="2"/>
    <n v="55993.991594411818"/>
    <n v="33.417978339999998"/>
    <n v="-111.9092292"/>
    <x v="46"/>
    <x v="2"/>
    <n v="0"/>
  </r>
  <r>
    <s v="Mr Fantastic's Emporium 26096 :  5125 S MILL AVE, TEMPE, AZ"/>
    <x v="1036"/>
    <x v="2"/>
    <n v="55993.991594411818"/>
    <n v="33.378855139999999"/>
    <n v="-111.9391868"/>
    <x v="46"/>
    <x v="2"/>
    <n v="0"/>
  </r>
  <r>
    <s v="Mr Fantastic's Emporium 32265 :  485 W WARNER RD, TEMPE, AZ"/>
    <x v="1037"/>
    <x v="2"/>
    <n v="55993.991594411818"/>
    <n v="33.334472869999999"/>
    <n v="-111.9448778"/>
    <x v="46"/>
    <x v="2"/>
    <n v="0"/>
  </r>
  <r>
    <s v="Cloudline Provisions 82527 :  980 W UNIVERSITY DR, TEMPE, AZ"/>
    <x v="1038"/>
    <x v="2"/>
    <n v="55993.991594411818"/>
    <n v="33.422033020000001"/>
    <n v="-111.9518956"/>
    <x v="46"/>
    <x v="2"/>
    <n v="1"/>
  </r>
  <r>
    <s v="Iron Pine Outpost 48 :  1761 E WARNER RD, TEMPE, AZ"/>
    <x v="1039"/>
    <x v="2"/>
    <n v="55993.991594411818"/>
    <n v="33.334492869999998"/>
    <n v="-111.9117073"/>
    <x v="46"/>
    <x v="2"/>
    <n v="0"/>
  </r>
  <r>
    <s v="Rusty Cart Grocers 157 :  725 W BASELINE RD, TEMPE, AZ"/>
    <x v="1040"/>
    <x v="2"/>
    <n v="55993.991594411818"/>
    <n v="33.378072869999997"/>
    <n v="-111.9501606"/>
    <x v="46"/>
    <x v="2"/>
    <n v="0"/>
  </r>
  <r>
    <s v="Rusty Cart Grocers 41 :  1845 N SCOTTSDALE RD, TEMPE, AZ"/>
    <x v="1041"/>
    <x v="2"/>
    <n v="55993.991594411818"/>
    <n v="33.449449999999999"/>
    <n v="-111.9262056"/>
    <x v="46"/>
    <x v="2"/>
    <n v="0"/>
  </r>
  <r>
    <s v="Bluebell Bazaar 2700787 :  939 W BASELINE RD, TEMPE, AZ"/>
    <x v="1042"/>
    <x v="2"/>
    <n v="55993.991594411818"/>
    <n v="33.378092870000003"/>
    <n v="-111.9546567"/>
    <x v="46"/>
    <x v="2"/>
    <n v="0"/>
  </r>
  <r>
    <s v="Bluebell Bazaar 2701346 :  1330 W UNIVERSITY DR, TEMPE, AZ"/>
    <x v="1043"/>
    <x v="2"/>
    <n v="55993.991594411818"/>
    <n v="33.422057129999999"/>
    <n v="-111.9592945"/>
    <x v="46"/>
    <x v="2"/>
    <n v="0"/>
  </r>
  <r>
    <s v="Bluebell Bazaar 2701502 :  1323 W SOUTHERN AVE, TEMPE, AZ"/>
    <x v="1044"/>
    <x v="2"/>
    <n v="55993.991594411818"/>
    <n v="33.39272287"/>
    <n v="-111.9595767"/>
    <x v="46"/>
    <x v="2"/>
    <n v="0"/>
  </r>
  <r>
    <s v="Bluebell Bazaar 2701503 :  905 E GUADALUPE RD, TEMPE, AZ"/>
    <x v="1045"/>
    <x v="2"/>
    <n v="55993.991594411818"/>
    <n v="33.36362287"/>
    <n v="-111.928235"/>
    <x v="46"/>
    <x v="2"/>
    <n v="0"/>
  </r>
  <r>
    <s v="Bluebell Bazaar 2701572 :  904 W BROADWAY RD, TEMPE, AZ"/>
    <x v="1046"/>
    <x v="2"/>
    <n v="55993.991594411818"/>
    <n v="33.407525679999999"/>
    <n v="-111.95226289999999"/>
    <x v="46"/>
    <x v="2"/>
    <n v="0"/>
  </r>
  <r>
    <s v="Bluebell Bazaar 2701621 :  1406 W BROADWAY RD, TEMPE, AZ"/>
    <x v="1047"/>
    <x v="2"/>
    <n v="55993.991594411818"/>
    <n v="33.407627130000002"/>
    <n v="-111.9620875"/>
    <x v="46"/>
    <x v="2"/>
    <n v="0"/>
  </r>
  <r>
    <s v="Bluebell Bazaar 2701636 :  15 W SOUTHERN AVE, TEMPE, AZ"/>
    <x v="1048"/>
    <x v="2"/>
    <n v="55993.991594411818"/>
    <n v="33.392724289999997"/>
    <n v="-111.93973680000001"/>
    <x v="46"/>
    <x v="2"/>
    <n v="0"/>
  </r>
  <r>
    <s v="Bluebell Bazaar 2702844 :  119 W UNIVERSITY DR, TEMPE, AZ"/>
    <x v="1049"/>
    <x v="2"/>
    <n v="55993.991594411818"/>
    <n v="33.421782870000001"/>
    <n v="-111.94146050000001"/>
    <x v="46"/>
    <x v="2"/>
    <n v="0"/>
  </r>
  <r>
    <s v="Bluebell Bazaar 2703379 :  507 W BROADWAY RD, TEMPE, AZ"/>
    <x v="1050"/>
    <x v="2"/>
    <n v="55993.991594411818"/>
    <n v="33.407231240000002"/>
    <n v="-111.94661859999999"/>
    <x v="46"/>
    <x v="2"/>
    <n v="1"/>
  </r>
  <r>
    <s v="Bluebell Bazaar 2703398 :  5240 S RURAL RD, TEMPE, AZ"/>
    <x v="1051"/>
    <x v="2"/>
    <n v="55993.991594411818"/>
    <n v="33.377851900000003"/>
    <n v="-111.92882419999999"/>
    <x v="46"/>
    <x v="2"/>
    <n v="1"/>
  </r>
  <r>
    <s v="Bluebell Bazaar 2703747 :  2730 N SCOTTSDALE RD, TEMPE, AZ"/>
    <x v="1052"/>
    <x v="2"/>
    <n v="55993.991594411818"/>
    <n v="33.457856669999998"/>
    <n v="-111.9265844"/>
    <x v="46"/>
    <x v="2"/>
    <n v="0"/>
  </r>
  <r>
    <s v="Bluebell Bazaar 2705290 :  1501 W WARNER RD, TEMPE, AZ"/>
    <x v="1053"/>
    <x v="2"/>
    <n v="55993.991594411818"/>
    <n v="33.334402869999998"/>
    <n v="-111.96421789999999"/>
    <x v="46"/>
    <x v="2"/>
    <n v="1"/>
  </r>
  <r>
    <s v="Bluebell Bazaar 2705300 :  7530 S PRIEST DR, TEMPE, AZ"/>
    <x v="1054"/>
    <x v="2"/>
    <n v="55993.991594411818"/>
    <n v="33.35007581"/>
    <n v="-111.9633671"/>
    <x v="46"/>
    <x v="2"/>
    <n v="1"/>
  </r>
  <r>
    <s v="Bluebell Bazaar 2706348 :  995 W ELLIOT RD, TEMPE, AZ"/>
    <x v="1055"/>
    <x v="2"/>
    <n v="55993.991594411818"/>
    <n v="33.348942870000002"/>
    <n v="-111.95372"/>
    <x v="46"/>
    <x v="2"/>
    <n v="0"/>
  </r>
  <r>
    <s v="Bluebell Bazaar 2706460 :  2174 E UNIVERSITY DR, TEMPE, AZ"/>
    <x v="1056"/>
    <x v="2"/>
    <n v="55993.991594411818"/>
    <n v="33.422237129999999"/>
    <n v="-111.89261999999999"/>
    <x v="46"/>
    <x v="2"/>
    <n v="0"/>
  </r>
  <r>
    <s v="Bluebell Bazaar 2706663 :  6349 S MCCLINTOCK DR, TEMPE, AZ"/>
    <x v="1057"/>
    <x v="2"/>
    <n v="55993.991594411818"/>
    <n v="33.364262740000001"/>
    <n v="-111.9110458"/>
    <x v="46"/>
    <x v="2"/>
    <n v="0"/>
  </r>
  <r>
    <s v="Bluebell Bazaar 2708591 :  505 W GUADALUPE RD, TEMPE, AZ"/>
    <x v="1058"/>
    <x v="2"/>
    <n v="55993.991594411818"/>
    <n v="33.363524310000003"/>
    <n v="-111.9460048"/>
    <x v="46"/>
    <x v="2"/>
    <n v="0"/>
  </r>
  <r>
    <s v="Bluebell Bazaar 2708592 :  2196 E APACHE BLVD, TEMPE, AZ"/>
    <x v="1059"/>
    <x v="2"/>
    <n v="55993.991594411818"/>
    <n v="33.415024709999997"/>
    <n v="-111.8920004"/>
    <x v="46"/>
    <x v="2"/>
    <n v="0"/>
  </r>
  <r>
    <s v="Bluebell Bazaar 2708774 :  1802 E UNIVERSITY DR, TEMPE, AZ"/>
    <x v="1060"/>
    <x v="2"/>
    <n v="55993.991594411818"/>
    <n v="33.422107130000001"/>
    <n v="-111.90861"/>
    <x v="46"/>
    <x v="2"/>
    <n v="1"/>
  </r>
  <r>
    <s v="Bluebell Bazaar 2709172 :  1435 W BASELINE RD, TEMPE, AZ"/>
    <x v="1061"/>
    <x v="2"/>
    <n v="55993.991594411818"/>
    <n v="33.378052869999998"/>
    <n v="-111.96281"/>
    <x v="46"/>
    <x v="2"/>
    <n v="0"/>
  </r>
  <r>
    <s v="Bluebell Bazaar 2709537 :  1900 N SCOTTSDALE RD, TEMPE, AZ"/>
    <x v="1062"/>
    <x v="2"/>
    <n v="55993.991594411818"/>
    <n v="33.450143679999996"/>
    <n v="-111.9266944"/>
    <x v="46"/>
    <x v="2"/>
    <n v="0"/>
  </r>
  <r>
    <s v="Bluebell Bazaar 2741653 :  7550 S RURAL RD, TEMPE, AZ"/>
    <x v="1063"/>
    <x v="2"/>
    <n v="55993.991594411818"/>
    <n v="33.34986"/>
    <n v="-111.9286342"/>
    <x v="46"/>
    <x v="2"/>
    <n v="0"/>
  </r>
  <r>
    <s v="Mossy Hollow Market 101 :  3232 E MILL AVE, TEMPE, AZ"/>
    <x v="1064"/>
    <x v="2"/>
    <n v="55993.991594411818"/>
    <n v="33.39427311"/>
    <n v="-111.9397577"/>
    <x v="46"/>
    <x v="2"/>
    <n v="1"/>
  </r>
  <r>
    <s v="Mossy Hollow Market 124 :  3255 S RURAL RD, TEMPE, AZ"/>
    <x v="1065"/>
    <x v="2"/>
    <n v="55993.991594411818"/>
    <n v="33.393859999999997"/>
    <n v="-111.9261458"/>
    <x v="46"/>
    <x v="2"/>
    <n v="1"/>
  </r>
  <r>
    <s v="Mossy Hollow Market 22 :  1835 E GUADALUPE, TEMPE, AZ"/>
    <x v="1066"/>
    <x v="2"/>
    <n v="55993.991594411818"/>
    <n v="33.363626349999997"/>
    <n v="-111.9099662"/>
    <x v="46"/>
    <x v="2"/>
    <n v="1"/>
  </r>
  <r>
    <s v="Mossy Hollow Market 43 :  2700 W BASELINE, TEMPE, AZ"/>
    <x v="1067"/>
    <x v="2"/>
    <n v="55993.991594411818"/>
    <n v="33.37832658"/>
    <n v="-111.9769668"/>
    <x v="46"/>
    <x v="2"/>
    <n v="1"/>
  </r>
  <r>
    <s v="Mossy Hollow Market 607 :  5100 S MCCLINTOCK DRI, TEMPE, AZ"/>
    <x v="1068"/>
    <x v="2"/>
    <n v="55993.991594411818"/>
    <n v="33.378976180000002"/>
    <n v="-111.90939419999999"/>
    <x v="46"/>
    <x v="2"/>
    <n v="1"/>
  </r>
  <r>
    <s v="Mossy Hollow Market 627 :  9900 S RURAL RD, TEMPE, AZ"/>
    <x v="1069"/>
    <x v="2"/>
    <n v="55993.991594411818"/>
    <n v="33.32203174"/>
    <n v="-111.92836440000001"/>
    <x v="46"/>
    <x v="2"/>
    <n v="1"/>
  </r>
  <r>
    <s v="Sunny Pebble Co. 810 :  2096 E RIO SALADO PKWY, TEMPE, AZ"/>
    <x v="1070"/>
    <x v="2"/>
    <n v="55993.991594411818"/>
    <n v="33.429567130000002"/>
    <n v="-111.8960235"/>
    <x v="46"/>
    <x v="2"/>
    <n v="1"/>
  </r>
  <r>
    <s v="Haven Hearth Goods 1487 :  926 E BROADWAY RD, TEMPE, AZ"/>
    <x v="1071"/>
    <x v="2"/>
    <n v="55993.991594411818"/>
    <n v="33.407697130000003"/>
    <n v="-111.9253157"/>
    <x v="46"/>
    <x v="2"/>
    <n v="1"/>
  </r>
  <r>
    <s v="Haven Hearth Goods 1535 :  1515 E ELLIOT RD, TEMPE, AZ"/>
    <x v="1072"/>
    <x v="2"/>
    <n v="55993.991594411818"/>
    <n v="33.348912890000001"/>
    <n v="-111.91332300000001"/>
    <x v="46"/>
    <x v="2"/>
    <n v="0"/>
  </r>
  <r>
    <s v="Maplewood Mercantile 2176 :  1800 E RIO SALADO PKWY, TEMPE, AZ"/>
    <x v="1073"/>
    <x v="2"/>
    <n v="55993.991594411818"/>
    <n v="33.429467000000002"/>
    <n v="-111.90903710000001"/>
    <x v="46"/>
    <x v="2"/>
    <n v="1"/>
  </r>
  <r>
    <s v="Maplewood Mercantile 319 :  1818 E BASELINE RD, TEMPE, AZ"/>
    <x v="1074"/>
    <x v="2"/>
    <n v="55993.991594411818"/>
    <n v="33.37856713"/>
    <n v="-111.9072467"/>
    <x v="46"/>
    <x v="2"/>
    <n v="1"/>
  </r>
  <r>
    <s v="Pebble &amp; Pine Pharmacy 11610 :  2000 S MILL AVE, TEMPE, AZ"/>
    <x v="1075"/>
    <x v="2"/>
    <n v="55993.991594411818"/>
    <n v="33.407266739999997"/>
    <n v="-111.94001419999999"/>
    <x v="46"/>
    <x v="2"/>
    <n v="0"/>
  </r>
  <r>
    <s v="Pebble &amp; Pine Pharmacy 1197 :  1745 E SOUTHERN AVE, TEMPE, AZ"/>
    <x v="1076"/>
    <x v="2"/>
    <n v="55993.991594411818"/>
    <n v="33.39281287"/>
    <n v="-111.91039000000001"/>
    <x v="46"/>
    <x v="2"/>
    <n v="0"/>
  </r>
  <r>
    <s v="Pebble &amp; Pine Pharmacy 2398 :  925 W BASELINE RD, TEMPE, AZ"/>
    <x v="1077"/>
    <x v="2"/>
    <n v="55993.991594411818"/>
    <n v="33.378082880000001"/>
    <n v="-111.9532122"/>
    <x v="46"/>
    <x v="2"/>
    <n v="0"/>
  </r>
  <r>
    <s v="Pebble &amp; Pine Pharmacy 3768 :  6404 S MCCLINTOCK DR, TEMPE, AZ"/>
    <x v="1078"/>
    <x v="2"/>
    <n v="55993.991594411818"/>
    <n v="33.363030000000002"/>
    <n v="-111.91136419999999"/>
    <x v="46"/>
    <x v="2"/>
    <n v="0"/>
  </r>
  <r>
    <s v="Pebble &amp; Pine Pharmacy 4376 :  1825 E WARNER RD, TEMPE, AZ"/>
    <x v="1079"/>
    <x v="2"/>
    <n v="55993.991594411818"/>
    <n v="33.334498089999997"/>
    <n v="-111.9099346"/>
    <x v="46"/>
    <x v="2"/>
    <n v="0"/>
  </r>
  <r>
    <s v="Bluebell Bazaar 2701130 :  11450 W SOUTHERN, TOLLESON, AZ"/>
    <x v="1080"/>
    <x v="2"/>
    <n v="55993.991594411818"/>
    <n v="33.391878779999999"/>
    <n v="-112.3060042"/>
    <x v="47"/>
    <x v="2"/>
    <n v="0"/>
  </r>
  <r>
    <s v="Bluebell Bazaar 2705189 :  298 N 83RD AVE, TOLLESON, AZ"/>
    <x v="1081"/>
    <x v="2"/>
    <n v="55993.991594411818"/>
    <n v="33.451790000000003"/>
    <n v="-112.23817560000001"/>
    <x v="47"/>
    <x v="2"/>
    <n v="1"/>
  </r>
  <r>
    <s v="Bluebell Bazaar 2708558 :  8303 W MCDOWELL RD, TOLLESON, AZ"/>
    <x v="1082"/>
    <x v="2"/>
    <n v="55993.991594411818"/>
    <n v="33.465187890000003"/>
    <n v="-112.2385618"/>
    <x v="47"/>
    <x v="2"/>
    <n v="0"/>
  </r>
  <r>
    <s v="Bluebell Bazaar 2708872 :  9110 W VAN BUREN, TOLLESON, AZ"/>
    <x v="1083"/>
    <x v="2"/>
    <n v="55993.991594411818"/>
    <n v="33.450517130000001"/>
    <n v="-112.2555873"/>
    <x v="47"/>
    <x v="2"/>
    <n v="0"/>
  </r>
  <r>
    <s v="Bluebell Bazaar 2741675 :  1025 N 99TH, TOLLESON, AZ"/>
    <x v="1084"/>
    <x v="2"/>
    <n v="55993.991594411818"/>
    <n v="33.459022079999997"/>
    <n v="-112.2723206"/>
    <x v="47"/>
    <x v="2"/>
    <n v="1"/>
  </r>
  <r>
    <s v="Crimson Ridge Depot 659 :  8313 ROOSEVELT ST, TOLLESON, AZ"/>
    <x v="1085"/>
    <x v="2"/>
    <n v="55993.991594411818"/>
    <n v="33.458972869999997"/>
    <n v="-112.23852429999999"/>
    <x v="47"/>
    <x v="2"/>
    <n v="1"/>
  </r>
  <r>
    <s v="Maplewood Mercantile 2149 :  9830 W LOWER BUCKEYE RD, TOLLESON, AZ"/>
    <x v="1086"/>
    <x v="2"/>
    <n v="55993.991594411818"/>
    <n v="33.421381119999999"/>
    <n v="-112.2698221"/>
    <x v="47"/>
    <x v="2"/>
    <n v="1"/>
  </r>
  <r>
    <s v="Timberline Market 1180 :  41112 W INDIAN SCHOOL RD, TONOPAH, AZ"/>
    <x v="1087"/>
    <x v="2"/>
    <n v="55993.991594411818"/>
    <n v="33.493827539999998"/>
    <n v="-112.937152"/>
    <x v="48"/>
    <x v="2"/>
    <n v="1"/>
  </r>
  <r>
    <s v="Iron Pine Outpost 55 :  275 N TEGNER # 17, WICKENBURG, AZ"/>
    <x v="1088"/>
    <x v="2"/>
    <n v="55993.991594411818"/>
    <n v="33.970965929999998"/>
    <n v="-112.7326255"/>
    <x v="49"/>
    <x v="2"/>
    <n v="0"/>
  </r>
  <r>
    <s v="Bluebell Bazaar 2701286 :  104 E WICKENBURG WAY, WICKENBURG, AZ"/>
    <x v="1089"/>
    <x v="2"/>
    <n v="55993.991594411818"/>
    <n v="33.969038599999998"/>
    <n v="-112.73009"/>
    <x v="49"/>
    <x v="2"/>
    <n v="0"/>
  </r>
  <r>
    <s v="Haven Hearth Goods 1584 :  1999 W WICKENBURG WAY, WICKENBURG, AZ"/>
    <x v="1090"/>
    <x v="2"/>
    <n v="55993.991594411818"/>
    <n v="33.96209288"/>
    <n v="-112.7717519"/>
    <x v="49"/>
    <x v="2"/>
    <n v="0"/>
  </r>
  <r>
    <s v="Mr Fantastic's Emporium 17596 :  10722 E ALAMEDA, AURORA, CO"/>
    <x v="1091"/>
    <x v="3"/>
    <n v="60276.750735897454"/>
    <n v="39.710858209999998"/>
    <n v="-104.8633918"/>
    <x v="50"/>
    <x v="1"/>
    <n v="1"/>
  </r>
  <r>
    <s v="Mr Fantastic's Emporium 21494 :  3005 S PEORIA, AURORA, CO"/>
    <x v="1092"/>
    <x v="3"/>
    <n v="60276.750735897454"/>
    <n v="39.658467129999998"/>
    <n v="-104.8485592"/>
    <x v="50"/>
    <x v="1"/>
    <n v="0"/>
  </r>
  <r>
    <s v="Mr Fantastic's Emporium 23154 :  13790 E QUINCY, AURORA, CO"/>
    <x v="1093"/>
    <x v="3"/>
    <n v="60276.750735897454"/>
    <n v="39.638352869999999"/>
    <n v="-104.8274409"/>
    <x v="50"/>
    <x v="1"/>
    <n v="0"/>
  </r>
  <r>
    <s v="Mr Fantastic's Emporium 25718 :  2220 S PEORIA, AURORA, CO"/>
    <x v="1094"/>
    <x v="3"/>
    <n v="60276.750735897454"/>
    <n v="39.65818033"/>
    <n v="-104.84819330000001"/>
    <x v="50"/>
    <x v="1"/>
    <n v="0"/>
  </r>
  <r>
    <s v="Mr Fantastic's Emporium 25740 :  18883 E HAMPDEN, AURORA, CO"/>
    <x v="1095"/>
    <x v="3"/>
    <n v="60276.750735897454"/>
    <n v="39.653217130000002"/>
    <n v="-104.767015"/>
    <x v="50"/>
    <x v="1"/>
    <n v="0"/>
  </r>
  <r>
    <s v="Mr Fantastic's Emporium 26574 :  13190 E MISSISSIPPI AVE, AURORA, CO"/>
    <x v="1096"/>
    <x v="3"/>
    <n v="60276.750735897454"/>
    <n v="39.696386910000001"/>
    <n v="-104.83589980000001"/>
    <x v="50"/>
    <x v="1"/>
    <n v="0"/>
  </r>
  <r>
    <s v="Mr Fantastic's Emporium 26682 :  14593 E MISSISSIPPI, AURORA, CO"/>
    <x v="1097"/>
    <x v="3"/>
    <n v="60276.750735897454"/>
    <n v="39.696807130000003"/>
    <n v="-104.817984"/>
    <x v="50"/>
    <x v="1"/>
    <n v="1"/>
  </r>
  <r>
    <s v="Mr Fantastic's Emporium 27213 :  16601 E SMOKEY HL, AURORA, CO"/>
    <x v="1098"/>
    <x v="3"/>
    <n v="60276.750735897454"/>
    <n v="39.623420000000003"/>
    <n v="-104.77104"/>
    <x v="50"/>
    <x v="1"/>
    <n v="0"/>
  </r>
  <r>
    <s v="Mr Fantastic's Emporium 33044 :  14250 E ILIFF AVE, AURORA, CO"/>
    <x v="1099"/>
    <x v="3"/>
    <n v="60276.750735897454"/>
    <n v="39.67462287"/>
    <n v="-104.8212"/>
    <x v="50"/>
    <x v="1"/>
    <n v="1"/>
  </r>
  <r>
    <s v="Mr Fantastic's Emporium 34131 :  19390 E QUINCY AVE, AURORA, CO"/>
    <x v="1100"/>
    <x v="3"/>
    <n v="60276.750735897454"/>
    <n v="39.638422050000003"/>
    <n v="-104.7600207"/>
    <x v="50"/>
    <x v="1"/>
    <n v="1"/>
  </r>
  <r>
    <s v="Mr Fantastic's Emporium 34181 :  21405 E QUINCY, AURORA, CO"/>
    <x v="1101"/>
    <x v="3"/>
    <n v="60276.750735897454"/>
    <n v="39.638637129999999"/>
    <n v="-104.7373"/>
    <x v="50"/>
    <x v="1"/>
    <n v="1"/>
  </r>
  <r>
    <s v="Mr Fantastic's Emporium 34441 :  13697 E ILIFF AVE, AURORA, CO"/>
    <x v="29"/>
    <x v="3"/>
    <n v="60276.750735897454"/>
    <n v="39.675106980000002"/>
    <n v="-104.8308315"/>
    <x v="50"/>
    <x v="1"/>
    <n v="0"/>
  </r>
  <r>
    <s v="Mr Fantastic's Emporium 34675 :  1910 S HAVANA ST, AURORA, CO"/>
    <x v="1102"/>
    <x v="3"/>
    <n v="60276.750735897454"/>
    <n v="39.681828879999998"/>
    <n v="-104.8657353"/>
    <x v="50"/>
    <x v="1"/>
    <n v="0"/>
  </r>
  <r>
    <s v="Mr Fantastic's Emporium 36956 :  18351 E COLFAX AVE, AURORA, CO"/>
    <x v="1103"/>
    <x v="3"/>
    <n v="60276.750735897454"/>
    <n v="39.74038899"/>
    <n v="-104.77480300000001"/>
    <x v="50"/>
    <x v="1"/>
    <n v="1"/>
  </r>
  <r>
    <s v="Mr Fantastic's Emporium 37198 :  2093 S CATHAY WAY, AURORA, CO"/>
    <x v="1104"/>
    <x v="3"/>
    <n v="60276.750735897454"/>
    <n v="39.678812469999997"/>
    <n v="-104.7672682"/>
    <x v="50"/>
    <x v="1"/>
    <n v="1"/>
  </r>
  <r>
    <s v="Mr Fantastic's Emporium 39528 :  16310 E QUINCY AVE, AURORA, CO"/>
    <x v="1105"/>
    <x v="3"/>
    <n v="60276.750735897454"/>
    <n v="39.638279259999997"/>
    <n v="-104.7990681"/>
    <x v="50"/>
    <x v="1"/>
    <n v="0"/>
  </r>
  <r>
    <s v="Mr Fantastic's Emporium 39622 :  15296 E HAMPDEN AVE, AURORA, CO"/>
    <x v="1106"/>
    <x v="3"/>
    <n v="60276.750735897454"/>
    <n v="39.65286287"/>
    <n v="-104.810097"/>
    <x v="50"/>
    <x v="1"/>
    <n v="1"/>
  </r>
  <r>
    <s v="Mr Fantastic's Emporium 39729 :  2299 S HAVANA ST, AURORA, CO"/>
    <x v="1107"/>
    <x v="3"/>
    <n v="60276.750735897454"/>
    <n v="39.674979999999998"/>
    <n v="-104.86612820000001"/>
    <x v="50"/>
    <x v="1"/>
    <n v="0"/>
  </r>
  <r>
    <s v="Mr Fantastic's Emporium 39732 :  13690 E ALAMEDA, AURORA, CO"/>
    <x v="1108"/>
    <x v="3"/>
    <n v="60276.750735897454"/>
    <n v="39.71095287"/>
    <n v="-104.8283788"/>
    <x v="50"/>
    <x v="1"/>
    <n v="1"/>
  </r>
  <r>
    <s v="Mr Fantastic's Emporium 39768 :  12085 E COLFAX AVE, AURORA, CO"/>
    <x v="1109"/>
    <x v="3"/>
    <n v="60276.750735897454"/>
    <n v="39.740344999999998"/>
    <n v="-104.8472519"/>
    <x v="50"/>
    <x v="1"/>
    <n v="1"/>
  </r>
  <r>
    <s v="Mr Fantastic's Emporium 42018 :  200 N GUN CLUB RD, AURORA, CO"/>
    <x v="1110"/>
    <x v="3"/>
    <n v="60276.750735897454"/>
    <n v="39.720019999999998"/>
    <n v="-104.7157917"/>
    <x v="50"/>
    <x v="1"/>
    <n v="1"/>
  </r>
  <r>
    <s v="Bluebell Bazaar 2709852 :  15291 E HAMPDEN AVE, AURORA, CO"/>
    <x v="1111"/>
    <x v="3"/>
    <n v="60276.750735897454"/>
    <n v="39.653287130000002"/>
    <n v="-104.8101289"/>
    <x v="50"/>
    <x v="1"/>
    <n v="1"/>
  </r>
  <r>
    <s v="Bluebell Bazaar 2709853 :  15593 E ILIFF AVE, AURORA, CO"/>
    <x v="1112"/>
    <x v="3"/>
    <n v="60276.750735897454"/>
    <n v="39.674755930000003"/>
    <n v="-104.8063815"/>
    <x v="50"/>
    <x v="1"/>
    <n v="0"/>
  </r>
  <r>
    <s v="Bluebell Bazaar 2709864 :  298 S POTOMAC ST, AURORA, CO"/>
    <x v="1113"/>
    <x v="3"/>
    <n v="60276.750735897454"/>
    <n v="39.711669999999998"/>
    <n v="-104.8281217"/>
    <x v="50"/>
    <x v="1"/>
    <n v="0"/>
  </r>
  <r>
    <s v="Bluebell Bazaar 2709872 :  4200 S PARKER RD, AURORA, CO"/>
    <x v="1114"/>
    <x v="3"/>
    <n v="60276.750735897454"/>
    <n v="39.639847510000003"/>
    <n v="-104.828582"/>
    <x v="50"/>
    <x v="1"/>
    <n v="1"/>
  </r>
  <r>
    <s v="Bluebell Bazaar 2740696 :  2190 S PEORIA ST, AURORA, CO"/>
    <x v="1115"/>
    <x v="3"/>
    <n v="60276.750735897454"/>
    <n v="39.676744620000001"/>
    <n v="-104.84697180000001"/>
    <x v="50"/>
    <x v="1"/>
    <n v="0"/>
  </r>
  <r>
    <s v="Bluebell Bazaar 2741128 :  2601 S TOWER RD, AURORA, CO"/>
    <x v="1116"/>
    <x v="3"/>
    <n v="60276.750735897454"/>
    <n v="39.66900674"/>
    <n v="-104.77272809999999"/>
    <x v="50"/>
    <x v="1"/>
    <n v="0"/>
  </r>
  <r>
    <s v="Bluebell Bazaar 2741136 :  2121 S CHAMBERS RD, AURORA, CO"/>
    <x v="1117"/>
    <x v="3"/>
    <n v="60276.750735897454"/>
    <n v="39.677715560000003"/>
    <n v="-104.8101882"/>
    <x v="50"/>
    <x v="1"/>
    <n v="0"/>
  </r>
  <r>
    <s v="Bluebell Bazaar 2741140 :  291 S SABLE BLVD, AURORA, CO"/>
    <x v="1118"/>
    <x v="3"/>
    <n v="60276.750735897454"/>
    <n v="39.71161343"/>
    <n v="-104.8195182"/>
    <x v="50"/>
    <x v="1"/>
    <n v="0"/>
  </r>
  <r>
    <s v="Bluebell Bazaar 2744052 :  3504 S TOWER RD, AURORA, CO"/>
    <x v="1119"/>
    <x v="3"/>
    <n v="60276.750735897454"/>
    <n v="39.65243736"/>
    <n v="-104.7721719"/>
    <x v="50"/>
    <x v="1"/>
    <n v="0"/>
  </r>
  <r>
    <s v="Wildroot Foods 10 :  15250 E MISSISSIPPI, AURORA, CO"/>
    <x v="1120"/>
    <x v="3"/>
    <n v="60276.750735897454"/>
    <n v="39.696392869999997"/>
    <n v="-104.8107725"/>
    <x v="50"/>
    <x v="1"/>
    <n v="1"/>
  </r>
  <r>
    <s v="Wildroot Foods 128 :  18211 E HAMPDEN AVE, AURORA, CO"/>
    <x v="1121"/>
    <x v="3"/>
    <n v="60276.750735897454"/>
    <n v="39.65325713"/>
    <n v="-104.77646"/>
    <x v="50"/>
    <x v="1"/>
    <n v="1"/>
  </r>
  <r>
    <s v="Wildroot Foods 139 :  3050 S PEORIA ST, AURORA, CO"/>
    <x v="1122"/>
    <x v="3"/>
    <n v="60276.750735897454"/>
    <n v="39.66088165"/>
    <n v="-104.84697629999999"/>
    <x v="50"/>
    <x v="1"/>
    <n v="1"/>
  </r>
  <r>
    <s v="Wildroot Foods 30 :  1155 S HAVANA, AURORA, CO"/>
    <x v="1123"/>
    <x v="3"/>
    <n v="60276.750735897454"/>
    <n v="39.695517019999997"/>
    <n v="-104.86612820000001"/>
    <x v="50"/>
    <x v="1"/>
    <n v="1"/>
  </r>
  <r>
    <s v="Wildroot Foods 49 :  17000 E ILIFF, AURORA, CO"/>
    <x v="1124"/>
    <x v="3"/>
    <n v="60276.750735897454"/>
    <n v="39.673433289999998"/>
    <n v="-104.790481"/>
    <x v="50"/>
    <x v="1"/>
    <n v="1"/>
  </r>
  <r>
    <s v="Wildroot Foods 69 :  4271 S BUCKLEY RD, AURORA, CO"/>
    <x v="1125"/>
    <x v="3"/>
    <n v="60276.750735897454"/>
    <n v="39.638864740000002"/>
    <n v="-104.7917333"/>
    <x v="50"/>
    <x v="1"/>
    <n v="1"/>
  </r>
  <r>
    <s v="Rocket Barrel 8923 :  21500 E QUINCY AVE, AURORA, CO"/>
    <x v="1126"/>
    <x v="3"/>
    <n v="60276.750735897454"/>
    <n v="39.638252870000002"/>
    <n v="-104.7400909"/>
    <x v="50"/>
    <x v="1"/>
    <n v="0"/>
  </r>
  <r>
    <s v="Haven Hearth Goods 137 :  12200 E MISSISSIPPI AVE, AURORA, CO"/>
    <x v="1127"/>
    <x v="3"/>
    <n v="60276.750735897454"/>
    <n v="39.69640467"/>
    <n v="-104.8459399"/>
    <x v="50"/>
    <x v="1"/>
    <n v="0"/>
  </r>
  <r>
    <s v="Haven Hearth Goods 1928 :  18730 E HAMPDEN AVE, AURORA, CO"/>
    <x v="1128"/>
    <x v="3"/>
    <n v="60276.750735897454"/>
    <n v="39.652812869999998"/>
    <n v="-104.77005250000001"/>
    <x v="50"/>
    <x v="1"/>
    <n v="0"/>
  </r>
  <r>
    <s v="Haven Hearth Goods 2612 :  1677 S HAVANA, AURORA, CO"/>
    <x v="1129"/>
    <x v="3"/>
    <n v="60276.750735897454"/>
    <n v="39.685992079999998"/>
    <n v="-104.86610930000001"/>
    <x v="50"/>
    <x v="1"/>
    <n v="1"/>
  </r>
  <r>
    <s v="Jellybean Junction 1471 :  14200 E ELLSWORTH AVE, AURORA, CO"/>
    <x v="1130"/>
    <x v="3"/>
    <n v="60276.750735897454"/>
    <n v="39.716442870000002"/>
    <n v="-104.8222882"/>
    <x v="50"/>
    <x v="1"/>
    <n v="1"/>
  </r>
  <r>
    <s v="Maplewood Mercantile 1413 :  1400 S HAVANA ST, AURORA, CO"/>
    <x v="1131"/>
    <x v="3"/>
    <n v="60276.750735897454"/>
    <n v="39.69190511"/>
    <n v="-104.86571189999999"/>
    <x v="50"/>
    <x v="1"/>
    <n v="1"/>
  </r>
  <r>
    <s v="Maplewood Mercantile 256 :  16910 E QUINCY AVE, AURORA, CO"/>
    <x v="1132"/>
    <x v="3"/>
    <n v="60276.750735897454"/>
    <n v="39.638272870000002"/>
    <n v="-104.7911362"/>
    <x v="50"/>
    <x v="1"/>
    <n v="0"/>
  </r>
  <r>
    <s v="Pebble &amp; Pine Pharmacy 10175 :  12011 E ILIFF AVE, AURORA, CO"/>
    <x v="1133"/>
    <x v="3"/>
    <n v="60276.750735897454"/>
    <n v="39.674977130000002"/>
    <n v="-104.8479687"/>
    <x v="50"/>
    <x v="1"/>
    <n v="0"/>
  </r>
  <r>
    <s v="Pebble &amp; Pine Pharmacy 12024 :  15320 E HAMPDEN AVE, AURORA, CO"/>
    <x v="29"/>
    <x v="3"/>
    <n v="60276.750735897454"/>
    <n v="39.652872870000003"/>
    <n v="-104.8097436"/>
    <x v="50"/>
    <x v="1"/>
    <n v="0"/>
  </r>
  <r>
    <s v="Pebble &amp; Pine Pharmacy 4307 :  12051 E MISSISSIPPI AVE, AURORA, CO"/>
    <x v="1134"/>
    <x v="3"/>
    <n v="60276.750735897454"/>
    <n v="39.69680554"/>
    <n v="-104.8478779"/>
    <x v="50"/>
    <x v="1"/>
    <n v="0"/>
  </r>
  <r>
    <s v="Pebble &amp; Pine Pharmacy 4470 :  20051 E SMOKY HILL RD, AURORA, CO"/>
    <x v="1135"/>
    <x v="3"/>
    <n v="60276.750735897454"/>
    <n v="39.61187864"/>
    <n v="-104.7547577"/>
    <x v="50"/>
    <x v="1"/>
    <n v="0"/>
  </r>
  <r>
    <s v="Pebble &amp; Pine Pharmacy 4610 :  18461 E HAMPDEN AVE, AURORA, CO"/>
    <x v="1136"/>
    <x v="3"/>
    <n v="60276.750735897454"/>
    <n v="39.653247100000002"/>
    <n v="-104.7729561"/>
    <x v="50"/>
    <x v="1"/>
    <n v="0"/>
  </r>
  <r>
    <s v="Pebble &amp; Pine Pharmacy 6513 :  15301 E ILIFF AVE, AURORA, CO"/>
    <x v="1137"/>
    <x v="3"/>
    <n v="60276.750735897454"/>
    <n v="39.675017130000001"/>
    <n v="-104.80982"/>
    <x v="50"/>
    <x v="1"/>
    <n v="0"/>
  </r>
  <r>
    <s v="Pebble &amp; Pine Pharmacy 6986 :  10601 E ALAMEDA AVE, AURORA, CO"/>
    <x v="1138"/>
    <x v="3"/>
    <n v="60276.750735897454"/>
    <n v="39.711262820000002"/>
    <n v="-104.8648736"/>
    <x v="50"/>
    <x v="1"/>
    <n v="0"/>
  </r>
  <r>
    <s v="Pebble &amp; Pine Pharmacy 7021 :  18620 E ILIFF AVE, AURORA, CO"/>
    <x v="1139"/>
    <x v="3"/>
    <n v="60276.750735897454"/>
    <n v="39.677044070000001"/>
    <n v="-104.7714265"/>
    <x v="50"/>
    <x v="1"/>
    <n v="0"/>
  </r>
  <r>
    <s v="Mr Fantastic's Emporium 39591 :  9355 E DRY CREEK RD, CENTENNIAL, CO"/>
    <x v="1140"/>
    <x v="3"/>
    <n v="60276.750735897454"/>
    <n v="39.580737130000003"/>
    <n v="-104.880375"/>
    <x v="51"/>
    <x v="1"/>
    <n v="1"/>
  </r>
  <r>
    <s v="Bluebell Bazaar 2709845 :  10553 E BRIARWOOD AVE, CENTENNIAL, CO"/>
    <x v="1141"/>
    <x v="3"/>
    <n v="60276.750735897454"/>
    <n v="39.593307129999999"/>
    <n v="-104.86615140000001"/>
    <x v="51"/>
    <x v="1"/>
    <n v="0"/>
  </r>
  <r>
    <s v="Bluebell Bazaar 2709878 :  7425 E ARAPAHOE RD, CENTENNIAL, CO"/>
    <x v="1142"/>
    <x v="3"/>
    <n v="60276.750735897454"/>
    <n v="39.595243879999998"/>
    <n v="-104.9022544"/>
    <x v="51"/>
    <x v="1"/>
    <n v="0"/>
  </r>
  <r>
    <s v="Bluebell Bazaar 2709879 :  7550 S UNIVERSITY BLVD, CENTENNIAL, CO"/>
    <x v="1143"/>
    <x v="3"/>
    <n v="60276.750735897454"/>
    <n v="39.57894125"/>
    <n v="-104.96012210000001"/>
    <x v="51"/>
    <x v="1"/>
    <n v="0"/>
  </r>
  <r>
    <s v="Bluebell Bazaar 2741109 :  6857 S BROADWAY, CENTENNIAL, CO"/>
    <x v="1144"/>
    <x v="3"/>
    <n v="60276.750735897454"/>
    <n v="39.592372689999998"/>
    <n v="-104.9884746"/>
    <x v="51"/>
    <x v="1"/>
    <n v="0"/>
  </r>
  <r>
    <s v="Bluebell Bazaar 2741166 :  18565 E SMOKY HILL RD, CENTENNIAL, CO"/>
    <x v="1145"/>
    <x v="3"/>
    <n v="60276.750735897454"/>
    <n v="39.617978280000003"/>
    <n v="-104.7705771"/>
    <x v="51"/>
    <x v="1"/>
    <n v="0"/>
  </r>
  <r>
    <s v="Bluebell Bazaar 2744127 :  5171 E ARAPAHOE RD, CENTENNIAL, CO"/>
    <x v="1146"/>
    <x v="3"/>
    <n v="60276.750735897454"/>
    <n v="39.59530221"/>
    <n v="-104.9274927"/>
    <x v="51"/>
    <x v="1"/>
    <n v="0"/>
  </r>
  <r>
    <s v="Wildroot Foods 16 :  19711 E SMOKY HILL RD, CENTENNIAL, CO"/>
    <x v="1147"/>
    <x v="3"/>
    <n v="60276.750735897454"/>
    <n v="39.614219579999997"/>
    <n v="-104.75900009999999"/>
    <x v="51"/>
    <x v="1"/>
    <n v="1"/>
  </r>
  <r>
    <s v="Wildroot Foods 38 :  5050 E ARAPAHOE RD, CENTENNIAL, CO"/>
    <x v="1148"/>
    <x v="3"/>
    <n v="60276.750735897454"/>
    <n v="39.594965160000001"/>
    <n v="-104.9291836"/>
    <x v="51"/>
    <x v="1"/>
    <n v="0"/>
  </r>
  <r>
    <s v="Wildroot Foods 47 :  7575 S UNIVERSITY, CENTENNIAL, CO"/>
    <x v="1149"/>
    <x v="3"/>
    <n v="60276.750735897454"/>
    <n v="39.57908647"/>
    <n v="-104.96063789999999"/>
    <x v="51"/>
    <x v="1"/>
    <n v="1"/>
  </r>
  <r>
    <s v="Wildroot Foods 63 :  8200 S HOLLY, CENTENNIAL, CO"/>
    <x v="1150"/>
    <x v="3"/>
    <n v="60276.750735897454"/>
    <n v="39.56776"/>
    <n v="-104.9228521"/>
    <x v="51"/>
    <x v="1"/>
    <n v="1"/>
  </r>
  <r>
    <s v="Rocket Barrel 8769 :  11005 E BRIARWOOD AVE, CENTENNIAL, CO"/>
    <x v="1151"/>
    <x v="3"/>
    <n v="60276.750735897454"/>
    <n v="39.593018559999997"/>
    <n v="-104.85898640000001"/>
    <x v="51"/>
    <x v="1"/>
    <n v="0"/>
  </r>
  <r>
    <s v="Haven Hearth Goods 8 :  7375 ARAPAHOE RD, CENTENNIAL, CO"/>
    <x v="1152"/>
    <x v="3"/>
    <n v="60276.750735897454"/>
    <n v="39.595247129999997"/>
    <n v="-104.90312950000001"/>
    <x v="51"/>
    <x v="1"/>
    <n v="0"/>
  </r>
  <r>
    <s v="Pebble &amp; Pine Pharmacy 10455 :  2281 E ARAPAHOE RD, CENTENNIAL, CO"/>
    <x v="1153"/>
    <x v="3"/>
    <n v="60276.750735897454"/>
    <n v="39.595317129999998"/>
    <n v="-104.9617303"/>
    <x v="51"/>
    <x v="1"/>
    <n v="0"/>
  </r>
  <r>
    <s v="Pebble &amp; Pine Pharmacy 10704 :  8959 E DRY CREEK RD, CENTENNIAL, CO"/>
    <x v="1154"/>
    <x v="3"/>
    <n v="60276.750735897454"/>
    <n v="39.580747129999999"/>
    <n v="-104.88481"/>
    <x v="51"/>
    <x v="1"/>
    <n v="0"/>
  </r>
  <r>
    <s v="Pebble &amp; Pine Pharmacy 13148 :  16950 E SMOKY HILL RD, CENTENNIAL, CO"/>
    <x v="1155"/>
    <x v="3"/>
    <n v="60276.750735897454"/>
    <n v="39.625489819999999"/>
    <n v="-104.79052900000001"/>
    <x v="51"/>
    <x v="1"/>
    <n v="0"/>
  </r>
  <r>
    <s v="Mr Fantastic's Emporium 13196 :  1277 E HAMPDEN, ENGLEWOOD, CO"/>
    <x v="1156"/>
    <x v="3"/>
    <n v="60276.750735897454"/>
    <n v="39.65326271"/>
    <n v="-104.97263700000001"/>
    <x v="52"/>
    <x v="1"/>
    <n v="0"/>
  </r>
  <r>
    <s v="Mr Fantastic's Emporium 13206 :  3900 S BROADWAY, ENGLEWOOD, CO"/>
    <x v="1157"/>
    <x v="3"/>
    <n v="60276.750735897454"/>
    <n v="39.645820000000001"/>
    <n v="-104.9874619"/>
    <x v="52"/>
    <x v="1"/>
    <n v="1"/>
  </r>
  <r>
    <s v="Mr Fantastic's Emporium 22533 :  4601 S BROADWAY, ENGLEWOOD, CO"/>
    <x v="1158"/>
    <x v="3"/>
    <n v="60276.750735897454"/>
    <n v="39.633121109999998"/>
    <n v="-104.98811809999999"/>
    <x v="52"/>
    <x v="1"/>
    <n v="0"/>
  </r>
  <r>
    <s v="Mr Fantastic's Emporium 29508 :  3131 S BROADWAY, ENGLEWOOD, CO"/>
    <x v="1159"/>
    <x v="3"/>
    <n v="60276.750735897454"/>
    <n v="39.659897100000002"/>
    <n v="-104.9878533"/>
    <x v="52"/>
    <x v="1"/>
    <n v="1"/>
  </r>
  <r>
    <s v="Mr Fantastic's Emporium 34057 :  11802 E OSWEGO ST, ENGLEWOOD, CO"/>
    <x v="1160"/>
    <x v="3"/>
    <n v="60276.750735897454"/>
    <n v="39.537777390000002"/>
    <n v="-104.8522383"/>
    <x v="52"/>
    <x v="1"/>
    <n v="1"/>
  </r>
  <r>
    <s v="Mr Fantastic's Emporium 35604 :  3391 W HAMPDEN AVE, ENGLEWOOD, CO"/>
    <x v="1161"/>
    <x v="3"/>
    <n v="60276.750735897454"/>
    <n v="39.653459239999997"/>
    <n v="-105.0320701"/>
    <x v="52"/>
    <x v="1"/>
    <n v="1"/>
  </r>
  <r>
    <s v="Mr Fantastic's Emporium 39034 :  4601 S SANTA FE, ENGLEWOOD, CO"/>
    <x v="1162"/>
    <x v="3"/>
    <n v="60276.750735897454"/>
    <n v="39.632325020000003"/>
    <n v="-105.0088622"/>
    <x v="52"/>
    <x v="1"/>
    <n v="1"/>
  </r>
  <r>
    <s v="Mr Fantastic's Emporium 39532 :  15550 E BRONCOS PKWY, ENGLEWOOD, CO"/>
    <x v="1163"/>
    <x v="3"/>
    <n v="60276.750735897454"/>
    <n v="39.575475879999999"/>
    <n v="-104.80889999999999"/>
    <x v="52"/>
    <x v="1"/>
    <n v="1"/>
  </r>
  <r>
    <s v="Bluebell Bazaar 2709876 :  5095 S FEDERAL BLVD, ENGLEWOOD, CO"/>
    <x v="1164"/>
    <x v="3"/>
    <n v="60276.750735897454"/>
    <n v="39.624534189999999"/>
    <n v="-105.02559050000001"/>
    <x v="52"/>
    <x v="1"/>
    <n v="0"/>
  </r>
  <r>
    <s v="Bluebell Bazaar 2709898 :  2200 W EVANS, ENGLEWOOD, CO"/>
    <x v="1165"/>
    <x v="3"/>
    <n v="60276.750735897454"/>
    <n v="39.678532869999998"/>
    <n v="-105.0133616"/>
    <x v="52"/>
    <x v="1"/>
    <n v="0"/>
  </r>
  <r>
    <s v="Bluebell Bazaar 2740691 :  2010 W EVANS AVE, ENGLEWOOD, CO"/>
    <x v="1166"/>
    <x v="3"/>
    <n v="60276.750735897454"/>
    <n v="39.678512900000001"/>
    <n v="-105.0115237"/>
    <x v="52"/>
    <x v="1"/>
    <n v="0"/>
  </r>
  <r>
    <s v="Bluebell Bazaar 2744098 :  4596 S BROADWAY, ENGLEWOOD, CO"/>
    <x v="1167"/>
    <x v="3"/>
    <n v="60276.750735897454"/>
    <n v="39.63315016"/>
    <n v="-104.98762139999999"/>
    <x v="52"/>
    <x v="1"/>
    <n v="0"/>
  </r>
  <r>
    <s v="Bluebell Bazaar 2744100 :  8263 S QUEBEC ST, ENGLEWOOD, CO"/>
    <x v="1168"/>
    <x v="3"/>
    <n v="60276.750735897454"/>
    <n v="39.566554770000003"/>
    <n v="-104.9046249"/>
    <x v="52"/>
    <x v="1"/>
    <n v="0"/>
  </r>
  <r>
    <s v="Penny’s Pantry 750803 :  490 W HAMPDEN AVE, ENGLEWOOD, CO"/>
    <x v="1169"/>
    <x v="3"/>
    <n v="60276.750735897454"/>
    <n v="39.653032869999997"/>
    <n v="-104.99348259999999"/>
    <x v="52"/>
    <x v="1"/>
    <n v="0"/>
  </r>
  <r>
    <s v="Wildroot Foods 109 :  5050 S FEDERAL BLVD, ENGLEWOOD, CO"/>
    <x v="1170"/>
    <x v="3"/>
    <n v="60276.750735897454"/>
    <n v="39.62639085"/>
    <n v="-105.025257"/>
    <x v="52"/>
    <x v="1"/>
    <n v="1"/>
  </r>
  <r>
    <s v="Wildroot Foods 111 :  3495 S UNIVERSITY BLVD, ENGLEWOOD, CO"/>
    <x v="1171"/>
    <x v="3"/>
    <n v="60276.750735897454"/>
    <n v="39.653571139999997"/>
    <n v="-104.9596774"/>
    <x v="52"/>
    <x v="1"/>
    <n v="0"/>
  </r>
  <r>
    <s v="Wildroot Foods 65 :  101 ENGLEWOOD PKWY, ENGLEWOOD, CO"/>
    <x v="1172"/>
    <x v="3"/>
    <n v="60276.750735897454"/>
    <n v="39.655127059999998"/>
    <n v="-104.9888559"/>
    <x v="52"/>
    <x v="1"/>
    <n v="1"/>
  </r>
  <r>
    <s v="Haven Hearth Goods 17 :  201 E JEFFERSON AVE, ENGLEWOOD, CO"/>
    <x v="1173"/>
    <x v="3"/>
    <n v="60276.750735897454"/>
    <n v="39.65137713"/>
    <n v="-104.98478"/>
    <x v="52"/>
    <x v="1"/>
    <n v="0"/>
  </r>
  <r>
    <s v="Pebble &amp; Pine Pharmacy 12423 :  123 E BELLEVIEW AVE, ENGLEWOOD, CO"/>
    <x v="1174"/>
    <x v="3"/>
    <n v="60276.750735897454"/>
    <n v="39.62426713"/>
    <n v="-104.98646669999999"/>
    <x v="52"/>
    <x v="1"/>
    <n v="0"/>
  </r>
  <r>
    <s v="Pebble &amp; Pine Pharmacy 3091 :  8151 S QUEBEC ST, ENGLEWOOD, CO"/>
    <x v="1175"/>
    <x v="3"/>
    <n v="60276.750735897454"/>
    <n v="39.568416360000001"/>
    <n v="-104.90457790000001"/>
    <x v="52"/>
    <x v="1"/>
    <n v="0"/>
  </r>
  <r>
    <s v="Pebble &amp; Pine Pharmacy 3298 :  3080 S BROADWAY, ENGLEWOOD, CO"/>
    <x v="29"/>
    <x v="3"/>
    <n v="60276.750735897454"/>
    <n v="39.661096059999998"/>
    <n v="-104.98735189999999"/>
    <x v="52"/>
    <x v="1"/>
    <n v="0"/>
  </r>
  <r>
    <s v="Mr Fantastic's Emporium 21242 :  6515 S DAYTON, GREENWOOD VILLAGE, CO"/>
    <x v="1176"/>
    <x v="3"/>
    <n v="60276.750735897454"/>
    <n v="39.59843326"/>
    <n v="-104.8763129"/>
    <x v="53"/>
    <x v="1"/>
    <n v="0"/>
  </r>
  <r>
    <s v="Mr Fantastic's Emporium 35622 :  6630 S YOSEMITE ST, GREENWOOD VILLAGE, CO"/>
    <x v="1177"/>
    <x v="3"/>
    <n v="60276.750735897454"/>
    <n v="39.596130000000002"/>
    <n v="-104.88865199999999"/>
    <x v="53"/>
    <x v="1"/>
    <n v="0"/>
  </r>
  <r>
    <s v="Mr Fantastic's Emporium 39847 :  9171 E ARAPAHOE RD, GREENWOOD VILLAGE, CO"/>
    <x v="1178"/>
    <x v="3"/>
    <n v="60276.750735897454"/>
    <n v="39.595287130000003"/>
    <n v="-104.8811274"/>
    <x v="53"/>
    <x v="1"/>
    <n v="0"/>
  </r>
  <r>
    <s v="Bluebell Bazaar 2709880 :  7701 E ORCHARD RD, GREENWOOD VILLAGE, CO"/>
    <x v="1179"/>
    <x v="3"/>
    <n v="60276.750735897454"/>
    <n v="39.609787130000001"/>
    <n v="-104.89873"/>
    <x v="53"/>
    <x v="1"/>
    <n v="1"/>
  </r>
  <r>
    <s v="Bluebell Bazaar 2744099 :  7296 E BELLEVIEW AVE, GREENWOOD VILLAGE, CO"/>
    <x v="1180"/>
    <x v="3"/>
    <n v="60276.750735897454"/>
    <n v="39.623697139999997"/>
    <n v="-104.9041264"/>
    <x v="53"/>
    <x v="1"/>
    <n v="1"/>
  </r>
  <r>
    <s v="Wildroot Foods 100 :  4910 S YOSEMITE, GREENWOOD VILLAGE, CO"/>
    <x v="1181"/>
    <x v="3"/>
    <n v="60276.750735897454"/>
    <n v="39.626109999999997"/>
    <n v="-104.885012"/>
    <x v="53"/>
    <x v="1"/>
    <n v="1"/>
  </r>
  <r>
    <s v="Wildroot Foods 96 :  6000 S HOLLY, GREENWOOD VILLAGE, CO"/>
    <x v="1182"/>
    <x v="3"/>
    <n v="60276.750735897454"/>
    <n v="39.607936670000001"/>
    <n v="-104.92258200000001"/>
    <x v="53"/>
    <x v="1"/>
    <n v="1"/>
  </r>
  <r>
    <s v="Maplewood Mercantile 147 :  6767 S CLINTON ST, GREENWOOD VILLAGE, CO"/>
    <x v="1183"/>
    <x v="3"/>
    <n v="60276.750735897454"/>
    <n v="39.593575829999999"/>
    <n v="-104.88093600000001"/>
    <x v="53"/>
    <x v="1"/>
    <n v="0"/>
  </r>
  <r>
    <s v="Mr Fantastic's Emporium 39317 :  3520 TOWN CENTER DR, HIGHLANDS RANCH, CO"/>
    <x v="1184"/>
    <x v="3"/>
    <n v="60276.750735897454"/>
    <n v="39.547552969999998"/>
    <n v="-105.0360567"/>
    <x v="54"/>
    <x v="1"/>
    <n v="1"/>
  </r>
  <r>
    <s v="Bluebell Bazaar 2709886 :  9275 S BROADWAY, HIGHLANDS RANCH, CO"/>
    <x v="1185"/>
    <x v="3"/>
    <n v="60276.750735897454"/>
    <n v="39.546909640000003"/>
    <n v="-104.99234389999999"/>
    <x v="54"/>
    <x v="1"/>
    <n v="1"/>
  </r>
  <r>
    <s v="Bluebell Bazaar 2741159 :  34 CENTENNIAL BLVD, HIGHLANDS RANCH, CO"/>
    <x v="1186"/>
    <x v="3"/>
    <n v="60276.750735897454"/>
    <n v="39.56210239"/>
    <n v="-104.9877063"/>
    <x v="54"/>
    <x v="1"/>
    <n v="1"/>
  </r>
  <r>
    <s v="Wildroot Foods 8 :  2205 W WILDCAT RESERVE PARK, HIGHLANDS RANCH, CO"/>
    <x v="1187"/>
    <x v="3"/>
    <n v="60276.750735897454"/>
    <n v="39.534996640000003"/>
    <n v="-105.0143765"/>
    <x v="54"/>
    <x v="1"/>
    <n v="1"/>
  </r>
  <r>
    <s v="Haven Hearth Goods 1480 :  9255 S BROADWAY, HIGHLANDS RANCH, CO"/>
    <x v="1188"/>
    <x v="3"/>
    <n v="60276.750735897454"/>
    <n v="39.547558510000002"/>
    <n v="-104.9923029"/>
    <x v="54"/>
    <x v="1"/>
    <n v="1"/>
  </r>
  <r>
    <s v="Jellybean Junction 2716 :  1265 SGT JON STILES DR, HIGHLANDS RANCH, CO"/>
    <x v="1189"/>
    <x v="3"/>
    <n v="60276.750735897454"/>
    <n v="39.54837697"/>
    <n v="-105.0057442"/>
    <x v="54"/>
    <x v="1"/>
    <n v="1"/>
  </r>
  <r>
    <s v="Pebble &amp; Pine Pharmacy 4952 :  9141 S BROADWAY, HIGHLANDS RANCH, CO"/>
    <x v="1190"/>
    <x v="3"/>
    <n v="60276.750735897454"/>
    <n v="39.550528929999999"/>
    <n v="-104.9918052"/>
    <x v="54"/>
    <x v="1"/>
    <n v="0"/>
  </r>
  <r>
    <s v="Mr Fantastic's Emporium 20182 :  1499 W LITTLETON BLVD, LITTLETON, CO"/>
    <x v="1191"/>
    <x v="3"/>
    <n v="60276.750735897454"/>
    <n v="39.613427129999998"/>
    <n v="-105.00552999999999"/>
    <x v="55"/>
    <x v="1"/>
    <n v="0"/>
  </r>
  <r>
    <s v="Mr Fantastic's Emporium 27033 :  5595 S BROADWAY, LITTLETON, CO"/>
    <x v="1192"/>
    <x v="3"/>
    <n v="60276.750735897454"/>
    <n v="39.615104440000003"/>
    <n v="-104.988308"/>
    <x v="55"/>
    <x v="1"/>
    <n v="0"/>
  </r>
  <r>
    <s v="Mr Fantastic's Emporium 34486 :  3099 W MINERAL AVE, LITTLETON, CO"/>
    <x v="1193"/>
    <x v="3"/>
    <n v="60276.750735897454"/>
    <n v="39.580240770000003"/>
    <n v="-105.0284564"/>
    <x v="55"/>
    <x v="1"/>
    <n v="1"/>
  </r>
  <r>
    <s v="Mr Fantastic's Emporium 37560 :  5898 S BROADWAY, LITTLETON, CO"/>
    <x v="1194"/>
    <x v="3"/>
    <n v="60276.750735897454"/>
    <n v="39.609608510000001"/>
    <n v="-104.98781200000001"/>
    <x v="55"/>
    <x v="1"/>
    <n v="0"/>
  </r>
  <r>
    <s v="Mr Fantastic's Emporium 39733 :  9010 PARK MEADOWS DR, LITTLETON, CO"/>
    <x v="1195"/>
    <x v="3"/>
    <n v="60276.750735897454"/>
    <n v="39.556133039999999"/>
    <n v="-104.8839189"/>
    <x v="55"/>
    <x v="1"/>
    <n v="0"/>
  </r>
  <r>
    <s v="Mr Fantastic's Emporium 39834 :  7505 E PARKWAY DR, LITTLETON, CO"/>
    <x v="1196"/>
    <x v="3"/>
    <n v="60276.750735897454"/>
    <n v="39.565466890000003"/>
    <n v="-104.9019656"/>
    <x v="55"/>
    <x v="1"/>
    <n v="1"/>
  </r>
  <r>
    <s v="Bluebell Bazaar 2744123 :  1599 W LITTLETON BLVD, LITTLETON, CO"/>
    <x v="1197"/>
    <x v="3"/>
    <n v="60276.750735897454"/>
    <n v="39.613427129999998"/>
    <n v="-105.00641"/>
    <x v="55"/>
    <x v="1"/>
    <n v="0"/>
  </r>
  <r>
    <s v="Wildroot Foods 122 :  7901 S BRDWAY ST, LITTLETON, CO"/>
    <x v="1198"/>
    <x v="3"/>
    <n v="60276.750735897454"/>
    <n v="39.580590000000001"/>
    <n v="-104.95573"/>
    <x v="55"/>
    <x v="1"/>
    <n v="1"/>
  </r>
  <r>
    <s v="Wildroot Foods 131 :  100 LITTLETON BLVD, LITTLETON, CO"/>
    <x v="1199"/>
    <x v="3"/>
    <n v="60276.750735897454"/>
    <n v="39.613032869999998"/>
    <n v="-104.98984"/>
    <x v="55"/>
    <x v="1"/>
    <n v="1"/>
  </r>
  <r>
    <s v="Rocket Barrel 8922 :  181 W LITTLETON BLVD, LITTLETON, CO"/>
    <x v="1200"/>
    <x v="3"/>
    <n v="60276.750735897454"/>
    <n v="39.613407129999999"/>
    <n v="-104.98995619999999"/>
    <x v="55"/>
    <x v="1"/>
    <n v="0"/>
  </r>
  <r>
    <s v="Haven Hearth Goods 2791 :  181 W MINERAL AVE, LITTLETON, CO"/>
    <x v="1201"/>
    <x v="3"/>
    <n v="60276.750735897454"/>
    <n v="39.573687130000003"/>
    <n v="-104.99194869999999"/>
    <x v="55"/>
    <x v="1"/>
    <n v="0"/>
  </r>
  <r>
    <s v="Pebble &amp; Pine Pharmacy 17807 :  100 E MINERAL DR, LITTLETON, CO"/>
    <x v="29"/>
    <x v="3"/>
    <n v="60276.750735897454"/>
    <n v="39.573262489999998"/>
    <n v="-104.9880272"/>
    <x v="55"/>
    <x v="1"/>
    <n v="0"/>
  </r>
  <r>
    <s v="Mr Fantastic's Emporium 33042 :  8750 S YOSEMITE ST, LONE TREE, CO"/>
    <x v="1202"/>
    <x v="3"/>
    <n v="60276.750735897454"/>
    <n v="39.557389610000001"/>
    <n v="-104.8816776"/>
    <x v="56"/>
    <x v="1"/>
    <n v="1"/>
  </r>
  <r>
    <s v="Haven Hearth Goods 1548 :  9229 E LINCOLN AVE, LONE TREE, CO"/>
    <x v="1203"/>
    <x v="3"/>
    <n v="60276.750735897454"/>
    <n v="39.53651713"/>
    <n v="-104.8823218"/>
    <x v="56"/>
    <x v="1"/>
    <n v="1"/>
  </r>
  <r>
    <s v="Jellybean Junction 2023 :  10001 COMMONS ST, LONE TREE, CO"/>
    <x v="1204"/>
    <x v="3"/>
    <n v="60276.750735897454"/>
    <n v="39.5351979"/>
    <n v="-104.8822413"/>
    <x v="56"/>
    <x v="1"/>
    <n v="1"/>
  </r>
  <r>
    <s v="Mr Fantastic's Emporium 19015 :  4096 S FEDERAL BLVD, SHERIDAN, CO"/>
    <x v="1205"/>
    <x v="3"/>
    <n v="60276.750735897454"/>
    <n v="39.642375999999999"/>
    <n v="-105.0251619"/>
    <x v="57"/>
    <x v="1"/>
    <n v="1"/>
  </r>
  <r>
    <s v="Mr Fantastic's Emporium 35598 :  3495 S FEDERAL BLVD, SHERIDAN, CO"/>
    <x v="1206"/>
    <x v="3"/>
    <n v="60276.750735897454"/>
    <n v="39.653390000000002"/>
    <n v="-105.0254381"/>
    <x v="57"/>
    <x v="1"/>
    <n v="1"/>
  </r>
  <r>
    <s v="Jellybean Junction 2261 :  3650 RIVERPOINT PKWY, SHERIDAN, CO"/>
    <x v="1207"/>
    <x v="3"/>
    <n v="60276.750735897454"/>
    <n v="39.649484639999997"/>
    <n v="-105.00871290000001"/>
    <x v="57"/>
    <x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09ECB7-4596-684F-AAC6-FA2839DBF089}" name="PivotTable1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tate">
  <location ref="A3:B7" firstHeaderRow="1" firstDataRow="1" firstDataCol="1"/>
  <pivotFields count="7">
    <pivotField showAll="0">
      <items count="1231">
        <item x="685"/>
        <item x="407"/>
        <item x="686"/>
        <item x="408"/>
        <item x="687"/>
        <item x="688"/>
        <item x="961"/>
        <item x="504"/>
        <item x="505"/>
        <item x="689"/>
        <item x="962"/>
        <item x="254"/>
        <item x="963"/>
        <item x="506"/>
        <item x="356"/>
        <item x="507"/>
        <item x="690"/>
        <item x="691"/>
        <item x="692"/>
        <item x="1059"/>
        <item x="268"/>
        <item x="255"/>
        <item x="508"/>
        <item x="293"/>
        <item x="596"/>
        <item x="597"/>
        <item x="1097"/>
        <item x="509"/>
        <item x="1031"/>
        <item x="269"/>
        <item x="693"/>
        <item x="510"/>
        <item x="694"/>
        <item x="256"/>
        <item x="511"/>
        <item x="1106"/>
        <item x="512"/>
        <item x="695"/>
        <item x="696"/>
        <item x="1060"/>
        <item x="697"/>
        <item x="513"/>
        <item x="1061"/>
        <item x="1062"/>
        <item x="698"/>
        <item x="699"/>
        <item x="700"/>
        <item x="701"/>
        <item x="1063"/>
        <item x="514"/>
        <item x="702"/>
        <item x="703"/>
        <item x="964"/>
        <item x="704"/>
        <item x="705"/>
        <item x="706"/>
        <item x="1064"/>
        <item x="707"/>
        <item x="1065"/>
        <item x="708"/>
        <item x="598"/>
        <item x="709"/>
        <item x="710"/>
        <item x="515"/>
        <item x="711"/>
        <item x="965"/>
        <item x="712"/>
        <item x="713"/>
        <item x="409"/>
        <item x="714"/>
        <item x="715"/>
        <item x="599"/>
        <item x="716"/>
        <item x="966"/>
        <item x="717"/>
        <item x="469"/>
        <item x="718"/>
        <item x="719"/>
        <item x="720"/>
        <item x="410"/>
        <item x="721"/>
        <item x="722"/>
        <item x="723"/>
        <item x="724"/>
        <item x="725"/>
        <item x="411"/>
        <item x="412"/>
        <item x="726"/>
        <item x="727"/>
        <item x="516"/>
        <item x="517"/>
        <item x="728"/>
        <item x="729"/>
        <item x="730"/>
        <item x="1066"/>
        <item x="294"/>
        <item x="731"/>
        <item x="732"/>
        <item x="413"/>
        <item x="733"/>
        <item x="734"/>
        <item x="735"/>
        <item x="736"/>
        <item x="257"/>
        <item x="518"/>
        <item x="357"/>
        <item x="600"/>
        <item x="358"/>
        <item x="359"/>
        <item x="295"/>
        <item x="414"/>
        <item x="1067"/>
        <item x="519"/>
        <item x="360"/>
        <item x="947"/>
        <item x="482"/>
        <item x="601"/>
        <item x="737"/>
        <item x="1032"/>
        <item x="738"/>
        <item x="270"/>
        <item x="1068"/>
        <item x="739"/>
        <item x="740"/>
        <item x="741"/>
        <item x="361"/>
        <item x="742"/>
        <item x="415"/>
        <item x="296"/>
        <item x="743"/>
        <item x="416"/>
        <item x="297"/>
        <item x="744"/>
        <item x="745"/>
        <item x="362"/>
        <item x="520"/>
        <item x="521"/>
        <item x="417"/>
        <item x="363"/>
        <item x="347"/>
        <item x="746"/>
        <item x="747"/>
        <item x="748"/>
        <item x="298"/>
        <item x="749"/>
        <item x="750"/>
        <item x="751"/>
        <item x="752"/>
        <item x="753"/>
        <item x="967"/>
        <item x="754"/>
        <item x="1069"/>
        <item x="755"/>
        <item x="756"/>
        <item x="968"/>
        <item x="341"/>
        <item x="299"/>
        <item x="757"/>
        <item x="1098"/>
        <item x="758"/>
        <item x="277"/>
        <item x="759"/>
        <item x="760"/>
        <item x="522"/>
        <item x="935"/>
        <item x="364"/>
        <item x="761"/>
        <item x="1070"/>
        <item x="300"/>
        <item x="365"/>
        <item x="366"/>
        <item x="367"/>
        <item x="762"/>
        <item x="969"/>
        <item x="763"/>
        <item x="1071"/>
        <item x="301"/>
        <item x="302"/>
        <item x="764"/>
        <item x="368"/>
        <item x="765"/>
        <item x="369"/>
        <item x="523"/>
        <item x="418"/>
        <item x="766"/>
        <item x="303"/>
        <item x="524"/>
        <item x="767"/>
        <item x="768"/>
        <item x="769"/>
        <item x="770"/>
        <item x="970"/>
        <item x="602"/>
        <item x="771"/>
        <item x="772"/>
        <item x="773"/>
        <item x="603"/>
        <item x="419"/>
        <item x="774"/>
        <item x="278"/>
        <item x="420"/>
        <item x="775"/>
        <item x="604"/>
        <item x="971"/>
        <item x="936"/>
        <item x="776"/>
        <item x="304"/>
        <item x="1033"/>
        <item x="525"/>
        <item x="526"/>
        <item x="972"/>
        <item x="1072"/>
        <item x="370"/>
        <item x="527"/>
        <item x="528"/>
        <item x="777"/>
        <item x="778"/>
        <item x="779"/>
        <item x="529"/>
        <item x="780"/>
        <item x="781"/>
        <item x="530"/>
        <item x="1073"/>
        <item x="531"/>
        <item x="605"/>
        <item x="483"/>
        <item x="782"/>
        <item x="532"/>
        <item x="533"/>
        <item x="783"/>
        <item x="784"/>
        <item x="258"/>
        <item x="468"/>
        <item x="785"/>
        <item x="786"/>
        <item x="534"/>
        <item x="305"/>
        <item x="973"/>
        <item x="787"/>
        <item x="421"/>
        <item x="535"/>
        <item x="422"/>
        <item x="423"/>
        <item x="536"/>
        <item x="537"/>
        <item x="788"/>
        <item x="1074"/>
        <item x="342"/>
        <item x="247"/>
        <item x="606"/>
        <item x="538"/>
        <item x="789"/>
        <item x="790"/>
        <item x="791"/>
        <item x="792"/>
        <item x="974"/>
        <item x="1099"/>
        <item x="1075"/>
        <item x="1076"/>
        <item x="937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539"/>
        <item x="804"/>
        <item x="1077"/>
        <item x="805"/>
        <item x="806"/>
        <item x="807"/>
        <item x="808"/>
        <item x="306"/>
        <item x="809"/>
        <item x="810"/>
        <item x="1100"/>
        <item x="811"/>
        <item x="812"/>
        <item x="813"/>
        <item x="540"/>
        <item x="814"/>
        <item x="607"/>
        <item x="307"/>
        <item x="308"/>
        <item x="309"/>
        <item x="310"/>
        <item x="815"/>
        <item x="1017"/>
        <item x="816"/>
        <item x="975"/>
        <item x="817"/>
        <item x="976"/>
        <item x="977"/>
        <item x="1078"/>
        <item x="541"/>
        <item x="978"/>
        <item x="608"/>
        <item x="455"/>
        <item x="542"/>
        <item x="456"/>
        <item x="424"/>
        <item x="311"/>
        <item x="312"/>
        <item x="818"/>
        <item x="259"/>
        <item x="313"/>
        <item x="248"/>
        <item x="819"/>
        <item x="543"/>
        <item x="249"/>
        <item x="820"/>
        <item x="821"/>
        <item x="457"/>
        <item x="979"/>
        <item x="1079"/>
        <item x="544"/>
        <item x="822"/>
        <item x="425"/>
        <item x="938"/>
        <item x="371"/>
        <item x="823"/>
        <item x="545"/>
        <item x="939"/>
        <item x="1034"/>
        <item x="824"/>
        <item x="1160"/>
        <item x="1129"/>
        <item x="1130"/>
        <item x="1131"/>
        <item x="1132"/>
        <item x="1183"/>
        <item x="1161"/>
        <item x="1162"/>
        <item x="1199"/>
        <item x="1205"/>
        <item x="1184"/>
        <item x="240"/>
        <item x="1185"/>
        <item x="1133"/>
        <item x="1163"/>
        <item x="1134"/>
        <item x="1135"/>
        <item x="1136"/>
        <item x="1206"/>
        <item x="1164"/>
        <item x="372"/>
        <item x="546"/>
        <item x="314"/>
        <item x="940"/>
        <item x="825"/>
        <item x="547"/>
        <item x="548"/>
        <item x="826"/>
        <item x="426"/>
        <item x="827"/>
        <item x="549"/>
        <item x="609"/>
        <item x="828"/>
        <item x="829"/>
        <item x="1035"/>
        <item x="373"/>
        <item x="830"/>
        <item x="1080"/>
        <item x="470"/>
        <item x="337"/>
        <item x="1101"/>
        <item x="550"/>
        <item x="610"/>
        <item x="315"/>
        <item x="476"/>
        <item x="551"/>
        <item x="980"/>
        <item x="1036"/>
        <item x="1037"/>
        <item x="1137"/>
        <item x="1186"/>
        <item x="1200"/>
        <item x="1187"/>
        <item x="1217"/>
        <item x="1165"/>
        <item x="831"/>
        <item x="880"/>
        <item x="217"/>
        <item x="78"/>
        <item x="427"/>
        <item x="173"/>
        <item x="174"/>
        <item x="175"/>
        <item x="176"/>
        <item x="8"/>
        <item x="177"/>
        <item x="41"/>
        <item x="2"/>
        <item x="76"/>
        <item x="42"/>
        <item x="61"/>
        <item x="43"/>
        <item x="178"/>
        <item x="142"/>
        <item x="54"/>
        <item x="143"/>
        <item x="5"/>
        <item x="658"/>
        <item x="144"/>
        <item x="145"/>
        <item x="6"/>
        <item x="146"/>
        <item x="147"/>
        <item x="20"/>
        <item x="96"/>
        <item x="148"/>
        <item x="149"/>
        <item x="81"/>
        <item x="150"/>
        <item x="151"/>
        <item x="34"/>
        <item x="59"/>
        <item x="152"/>
        <item x="35"/>
        <item x="153"/>
        <item x="154"/>
        <item x="1055"/>
        <item x="91"/>
        <item x="659"/>
        <item x="155"/>
        <item x="660"/>
        <item x="156"/>
        <item x="7"/>
        <item x="1016"/>
        <item x="289"/>
        <item x="661"/>
        <item x="662"/>
        <item x="157"/>
        <item x="97"/>
        <item x="158"/>
        <item x="159"/>
        <item x="98"/>
        <item x="36"/>
        <item x="160"/>
        <item x="161"/>
        <item x="37"/>
        <item x="75"/>
        <item x="0"/>
        <item x="162"/>
        <item x="163"/>
        <item x="164"/>
        <item x="165"/>
        <item x="290"/>
        <item x="82"/>
        <item x="166"/>
        <item x="99"/>
        <item x="21"/>
        <item x="167"/>
        <item x="38"/>
        <item x="168"/>
        <item x="354"/>
        <item x="169"/>
        <item x="170"/>
        <item x="70"/>
        <item x="39"/>
        <item x="40"/>
        <item x="663"/>
        <item x="664"/>
        <item x="594"/>
        <item x="1"/>
        <item x="171"/>
        <item x="172"/>
        <item x="83"/>
        <item x="60"/>
        <item x="858"/>
        <item x="273"/>
        <item x="348"/>
        <item x="321"/>
        <item x="1102"/>
        <item x="491"/>
        <item x="286"/>
        <item x="492"/>
        <item x="955"/>
        <item x="592"/>
        <item x="353"/>
        <item x="654"/>
        <item x="655"/>
        <item x="956"/>
        <item x="656"/>
        <item x="287"/>
        <item x="474"/>
        <item x="405"/>
        <item x="493"/>
        <item x="657"/>
        <item x="494"/>
        <item x="957"/>
        <item x="1029"/>
        <item x="495"/>
        <item x="288"/>
        <item x="593"/>
        <item x="47"/>
        <item x="210"/>
        <item x="211"/>
        <item x="212"/>
        <item x="213"/>
        <item x="73"/>
        <item x="237"/>
        <item x="236"/>
        <item x="24"/>
        <item x="72"/>
        <item x="62"/>
        <item x="63"/>
        <item x="190"/>
        <item x="191"/>
        <item x="55"/>
        <item x="192"/>
        <item x="56"/>
        <item x="10"/>
        <item x="193"/>
        <item x="100"/>
        <item x="44"/>
        <item x="194"/>
        <item x="106"/>
        <item x="881"/>
        <item x="566"/>
        <item x="214"/>
        <item x="86"/>
        <item x="215"/>
        <item x="87"/>
        <item x="216"/>
        <item x="23"/>
        <item x="184"/>
        <item x="9"/>
        <item x="185"/>
        <item x="84"/>
        <item x="186"/>
        <item x="187"/>
        <item x="188"/>
        <item x="189"/>
        <item x="864"/>
        <item x="991"/>
        <item x="202"/>
        <item x="344"/>
        <item x="1145"/>
        <item x="1208"/>
        <item x="1088"/>
        <item x="992"/>
        <item x="437"/>
        <item x="459"/>
        <item x="865"/>
        <item x="203"/>
        <item x="25"/>
        <item x="386"/>
        <item x="1089"/>
        <item x="281"/>
        <item x="1224"/>
        <item x="993"/>
        <item x="12"/>
        <item x="322"/>
        <item x="1107"/>
        <item x="866"/>
        <item x="323"/>
        <item x="324"/>
        <item x="561"/>
        <item x="45"/>
        <item x="867"/>
        <item x="618"/>
        <item x="994"/>
        <item x="1192"/>
        <item x="562"/>
        <item x="868"/>
        <item x="102"/>
        <item x="387"/>
        <item x="995"/>
        <item x="65"/>
        <item x="943"/>
        <item x="619"/>
        <item x="57"/>
        <item x="996"/>
        <item x="58"/>
        <item x="204"/>
        <item x="1146"/>
        <item x="869"/>
        <item x="870"/>
        <item x="1042"/>
        <item x="997"/>
        <item x="871"/>
        <item x="1024"/>
        <item x="872"/>
        <item x="205"/>
        <item x="206"/>
        <item x="1019"/>
        <item x="873"/>
        <item x="563"/>
        <item x="1147"/>
        <item x="460"/>
        <item x="564"/>
        <item x="874"/>
        <item x="207"/>
        <item x="208"/>
        <item x="1043"/>
        <item x="472"/>
        <item x="875"/>
        <item x="1221"/>
        <item x="620"/>
        <item x="438"/>
        <item x="565"/>
        <item x="209"/>
        <item x="461"/>
        <item x="250"/>
        <item x="876"/>
        <item x="1044"/>
        <item x="621"/>
        <item x="877"/>
        <item x="1171"/>
        <item x="242"/>
        <item x="46"/>
        <item x="595"/>
        <item x="665"/>
        <item x="496"/>
        <item x="666"/>
        <item x="1022"/>
        <item x="475"/>
        <item x="1030"/>
        <item x="667"/>
        <item x="497"/>
        <item x="668"/>
        <item x="958"/>
        <item x="291"/>
        <item x="355"/>
        <item x="1026"/>
        <item x="934"/>
        <item x="340"/>
        <item x="1056"/>
        <item x="498"/>
        <item x="1105"/>
        <item x="267"/>
        <item x="276"/>
        <item x="959"/>
        <item x="499"/>
        <item x="960"/>
        <item x="1148"/>
        <item x="567"/>
        <item x="388"/>
        <item x="1225"/>
        <item x="622"/>
        <item x="878"/>
        <item x="1228"/>
        <item x="879"/>
        <item x="944"/>
        <item x="462"/>
        <item x="1209"/>
        <item x="48"/>
        <item x="66"/>
        <item x="26"/>
        <item x="882"/>
        <item x="389"/>
        <item x="463"/>
        <item x="998"/>
        <item x="1045"/>
        <item x="883"/>
        <item x="439"/>
        <item x="568"/>
        <item x="1149"/>
        <item x="569"/>
        <item x="345"/>
        <item x="1203"/>
        <item x="246"/>
        <item x="218"/>
        <item x="325"/>
        <item x="884"/>
        <item x="219"/>
        <item x="1103"/>
        <item x="1090"/>
        <item x="885"/>
        <item x="440"/>
        <item x="103"/>
        <item x="220"/>
        <item x="570"/>
        <item x="1150"/>
        <item x="326"/>
        <item x="1046"/>
        <item x="221"/>
        <item x="222"/>
        <item x="223"/>
        <item x="1091"/>
        <item x="999"/>
        <item x="571"/>
        <item x="623"/>
        <item x="886"/>
        <item x="1000"/>
        <item x="887"/>
        <item x="428"/>
        <item x="1081"/>
        <item x="429"/>
        <item x="260"/>
        <item x="552"/>
        <item x="611"/>
        <item x="553"/>
        <item x="832"/>
        <item x="981"/>
        <item x="833"/>
        <item x="1018"/>
        <item x="554"/>
        <item x="1082"/>
        <item x="982"/>
        <item x="834"/>
        <item x="835"/>
        <item x="836"/>
        <item x="837"/>
        <item x="838"/>
        <item x="430"/>
        <item x="374"/>
        <item x="839"/>
        <item x="1083"/>
        <item x="555"/>
        <item x="983"/>
        <item x="431"/>
        <item x="840"/>
        <item x="432"/>
        <item x="316"/>
        <item x="841"/>
        <item x="1084"/>
        <item x="612"/>
        <item x="842"/>
        <item x="279"/>
        <item x="984"/>
        <item x="317"/>
        <item x="375"/>
        <item x="985"/>
        <item x="556"/>
        <item x="613"/>
        <item x="433"/>
        <item x="434"/>
        <item x="1085"/>
        <item x="843"/>
        <item x="1038"/>
        <item x="557"/>
        <item x="844"/>
        <item x="376"/>
        <item x="845"/>
        <item x="846"/>
        <item x="847"/>
        <item x="558"/>
        <item x="986"/>
        <item x="559"/>
        <item x="848"/>
        <item x="377"/>
        <item x="435"/>
        <item x="1086"/>
        <item x="849"/>
        <item x="378"/>
        <item x="850"/>
        <item x="379"/>
        <item x="941"/>
        <item x="614"/>
        <item x="380"/>
        <item x="261"/>
        <item x="477"/>
        <item x="318"/>
        <item x="280"/>
        <item x="381"/>
        <item x="987"/>
        <item x="1039"/>
        <item x="271"/>
        <item x="458"/>
        <item x="1040"/>
        <item x="1041"/>
        <item x="319"/>
        <item x="615"/>
        <item x="560"/>
        <item x="320"/>
        <item x="272"/>
        <item x="942"/>
        <item x="851"/>
        <item x="852"/>
        <item x="343"/>
        <item x="382"/>
        <item x="436"/>
        <item x="616"/>
        <item x="383"/>
        <item x="853"/>
        <item x="854"/>
        <item x="855"/>
        <item x="1023"/>
        <item x="471"/>
        <item x="856"/>
        <item x="262"/>
        <item x="857"/>
        <item x="283"/>
        <item x="1052"/>
        <item x="630"/>
        <item x="1175"/>
        <item x="1176"/>
        <item x="14"/>
        <item x="89"/>
        <item x="93"/>
        <item x="109"/>
        <item x="110"/>
        <item x="79"/>
        <item x="631"/>
        <item x="111"/>
        <item x="632"/>
        <item x="402"/>
        <item x="239"/>
        <item x="1108"/>
        <item x="633"/>
        <item x="112"/>
        <item x="53"/>
        <item x="1226"/>
        <item x="15"/>
        <item x="634"/>
        <item x="635"/>
        <item x="485"/>
        <item x="1211"/>
        <item x="636"/>
        <item x="637"/>
        <item x="638"/>
        <item x="639"/>
        <item x="640"/>
        <item x="1196"/>
        <item x="1109"/>
        <item x="486"/>
        <item x="1177"/>
        <item x="641"/>
        <item x="16"/>
        <item x="4"/>
        <item x="80"/>
        <item x="113"/>
        <item x="1110"/>
        <item x="642"/>
        <item x="114"/>
        <item x="115"/>
        <item x="116"/>
        <item x="107"/>
        <item x="243"/>
        <item x="117"/>
        <item x="643"/>
        <item x="118"/>
        <item x="119"/>
        <item x="17"/>
        <item x="1111"/>
        <item x="1112"/>
        <item x="948"/>
        <item x="644"/>
        <item x="645"/>
        <item x="1053"/>
        <item x="646"/>
        <item x="487"/>
        <item x="949"/>
        <item x="1113"/>
        <item x="120"/>
        <item x="488"/>
        <item x="591"/>
        <item x="1114"/>
        <item x="350"/>
        <item x="1212"/>
        <item x="489"/>
        <item x="1115"/>
        <item x="284"/>
        <item x="647"/>
        <item x="648"/>
        <item x="351"/>
        <item x="121"/>
        <item x="1178"/>
        <item x="1054"/>
        <item x="235"/>
        <item x="649"/>
        <item x="352"/>
        <item x="650"/>
        <item x="122"/>
        <item x="1223"/>
        <item x="1116"/>
        <item x="123"/>
        <item x="1179"/>
        <item x="1117"/>
        <item x="1118"/>
        <item x="1119"/>
        <item x="1213"/>
        <item x="124"/>
        <item x="18"/>
        <item x="125"/>
        <item x="1120"/>
        <item x="19"/>
        <item x="94"/>
        <item x="126"/>
        <item x="127"/>
        <item x="128"/>
        <item x="1227"/>
        <item x="1180"/>
        <item x="1197"/>
        <item x="129"/>
        <item x="1121"/>
        <item x="1122"/>
        <item x="130"/>
        <item x="1214"/>
        <item x="131"/>
        <item x="30"/>
        <item x="132"/>
        <item x="90"/>
        <item x="133"/>
        <item x="244"/>
        <item x="1181"/>
        <item x="134"/>
        <item x="74"/>
        <item x="1204"/>
        <item x="135"/>
        <item x="1123"/>
        <item x="1182"/>
        <item x="136"/>
        <item x="31"/>
        <item x="69"/>
        <item x="1159"/>
        <item x="1124"/>
        <item x="1125"/>
        <item x="1126"/>
        <item x="1215"/>
        <item x="1127"/>
        <item x="1216"/>
        <item x="1198"/>
        <item x="245"/>
        <item x="137"/>
        <item x="32"/>
        <item x="33"/>
        <item x="138"/>
        <item x="139"/>
        <item x="140"/>
        <item x="1128"/>
        <item x="95"/>
        <item x="141"/>
        <item x="1028"/>
        <item x="403"/>
        <item x="651"/>
        <item x="454"/>
        <item x="888"/>
        <item x="224"/>
        <item x="1151"/>
        <item x="624"/>
        <item x="390"/>
        <item x="1172"/>
        <item x="88"/>
        <item x="1173"/>
        <item x="225"/>
        <item x="945"/>
        <item x="327"/>
        <item x="572"/>
        <item x="226"/>
        <item x="238"/>
        <item x="274"/>
        <item x="1092"/>
        <item x="1093"/>
        <item x="1152"/>
        <item x="1047"/>
        <item x="464"/>
        <item x="573"/>
        <item x="465"/>
        <item x="1193"/>
        <item x="889"/>
        <item x="890"/>
        <item x="1174"/>
        <item x="1001"/>
        <item x="891"/>
        <item x="104"/>
        <item x="892"/>
        <item x="1222"/>
        <item x="1002"/>
        <item x="441"/>
        <item x="328"/>
        <item x="893"/>
        <item x="391"/>
        <item x="466"/>
        <item x="1094"/>
        <item x="1003"/>
        <item x="574"/>
        <item x="894"/>
        <item x="442"/>
        <item x="392"/>
        <item x="625"/>
        <item x="443"/>
        <item x="895"/>
        <item x="1194"/>
        <item x="896"/>
        <item x="1004"/>
        <item x="1005"/>
        <item x="393"/>
        <item x="897"/>
        <item x="575"/>
        <item x="1195"/>
        <item x="444"/>
        <item x="264"/>
        <item x="626"/>
        <item x="898"/>
        <item x="899"/>
        <item x="329"/>
        <item x="576"/>
        <item x="900"/>
        <item x="1006"/>
        <item x="467"/>
        <item x="1027"/>
        <item x="577"/>
        <item x="330"/>
        <item x="331"/>
        <item x="578"/>
        <item x="1007"/>
        <item x="579"/>
        <item x="1095"/>
        <item x="901"/>
        <item x="902"/>
        <item x="282"/>
        <item x="394"/>
        <item x="445"/>
        <item x="903"/>
        <item x="332"/>
        <item x="227"/>
        <item x="1008"/>
        <item x="904"/>
        <item x="228"/>
        <item x="446"/>
        <item x="1153"/>
        <item x="1096"/>
        <item x="905"/>
        <item x="447"/>
        <item x="580"/>
        <item x="1154"/>
        <item x="1009"/>
        <item x="1010"/>
        <item x="906"/>
        <item x="395"/>
        <item x="1155"/>
        <item x="1048"/>
        <item x="907"/>
        <item x="627"/>
        <item x="908"/>
        <item x="1049"/>
        <item x="333"/>
        <item x="334"/>
        <item x="909"/>
        <item x="910"/>
        <item x="1210"/>
        <item x="229"/>
        <item x="581"/>
        <item x="27"/>
        <item x="396"/>
        <item x="628"/>
        <item x="448"/>
        <item x="629"/>
        <item x="230"/>
        <item x="582"/>
        <item x="1011"/>
        <item x="49"/>
        <item x="231"/>
        <item x="911"/>
        <item x="912"/>
        <item x="1020"/>
        <item x="913"/>
        <item x="914"/>
        <item x="583"/>
        <item x="28"/>
        <item x="449"/>
        <item x="265"/>
        <item x="397"/>
        <item x="450"/>
        <item x="1012"/>
        <item x="915"/>
        <item x="916"/>
        <item x="917"/>
        <item x="918"/>
        <item x="584"/>
        <item x="346"/>
        <item x="398"/>
        <item x="919"/>
        <item x="451"/>
        <item x="920"/>
        <item x="1025"/>
        <item x="50"/>
        <item x="585"/>
        <item x="232"/>
        <item x="921"/>
        <item x="67"/>
        <item x="51"/>
        <item x="338"/>
        <item x="1156"/>
        <item x="922"/>
        <item x="1013"/>
        <item x="923"/>
        <item x="586"/>
        <item x="924"/>
        <item x="52"/>
        <item x="233"/>
        <item x="13"/>
        <item x="399"/>
        <item x="925"/>
        <item x="234"/>
        <item x="1014"/>
        <item x="452"/>
        <item x="587"/>
        <item x="1050"/>
        <item x="926"/>
        <item x="400"/>
        <item x="1157"/>
        <item x="927"/>
        <item x="1158"/>
        <item x="339"/>
        <item x="453"/>
        <item x="29"/>
        <item x="928"/>
        <item x="266"/>
        <item x="251"/>
        <item x="588"/>
        <item x="478"/>
        <item x="929"/>
        <item x="335"/>
        <item x="401"/>
        <item x="589"/>
        <item x="1051"/>
        <item x="930"/>
        <item x="1021"/>
        <item x="68"/>
        <item x="931"/>
        <item x="275"/>
        <item x="473"/>
        <item x="590"/>
        <item x="932"/>
        <item x="1015"/>
        <item x="484"/>
        <item x="933"/>
        <item x="105"/>
        <item x="946"/>
        <item x="179"/>
        <item x="71"/>
        <item x="180"/>
        <item x="181"/>
        <item x="182"/>
        <item x="22"/>
        <item x="183"/>
        <item x="92"/>
        <item x="241"/>
        <item x="1188"/>
        <item x="1170"/>
        <item x="1220"/>
        <item x="1144"/>
        <item x="500"/>
        <item x="669"/>
        <item x="670"/>
        <item x="671"/>
        <item x="672"/>
        <item x="673"/>
        <item x="501"/>
        <item x="674"/>
        <item x="675"/>
        <item x="676"/>
        <item x="406"/>
        <item x="677"/>
        <item x="678"/>
        <item x="679"/>
        <item x="680"/>
        <item x="681"/>
        <item x="1057"/>
        <item x="682"/>
        <item x="502"/>
        <item x="503"/>
        <item x="292"/>
        <item x="1058"/>
        <item x="252"/>
        <item x="336"/>
        <item x="253"/>
        <item x="683"/>
        <item x="684"/>
        <item x="404"/>
        <item x="950"/>
        <item x="652"/>
        <item x="951"/>
        <item x="490"/>
        <item x="952"/>
        <item x="653"/>
        <item x="953"/>
        <item x="285"/>
        <item x="954"/>
        <item x="617"/>
        <item x="859"/>
        <item x="860"/>
        <item x="988"/>
        <item x="989"/>
        <item x="990"/>
        <item x="861"/>
        <item x="862"/>
        <item x="1087"/>
        <item x="384"/>
        <item x="385"/>
        <item x="1104"/>
        <item x="349"/>
        <item x="263"/>
        <item x="863"/>
        <item x="1138"/>
        <item x="1201"/>
        <item x="1189"/>
        <item x="1190"/>
        <item x="1218"/>
        <item x="1139"/>
        <item x="1219"/>
        <item x="1140"/>
        <item x="1166"/>
        <item x="1141"/>
        <item x="1167"/>
        <item x="1168"/>
        <item x="1142"/>
        <item x="1169"/>
        <item x="1191"/>
        <item x="1143"/>
        <item x="1207"/>
        <item x="1202"/>
        <item x="11"/>
        <item x="85"/>
        <item x="101"/>
        <item x="195"/>
        <item x="196"/>
        <item x="197"/>
        <item x="3"/>
        <item x="198"/>
        <item x="64"/>
        <item x="199"/>
        <item x="200"/>
        <item x="201"/>
        <item x="108"/>
        <item x="479"/>
        <item x="480"/>
        <item x="481"/>
        <item x="77"/>
        <item x="1229"/>
        <item t="default"/>
      </items>
    </pivotField>
    <pivotField dataField="1" showAll="0"/>
    <pivotField showAll="0">
      <items count="6">
        <item x="3"/>
        <item x="2"/>
        <item x="0"/>
        <item x="1"/>
        <item x="4"/>
        <item t="default"/>
      </items>
    </pivotField>
    <pivotField showAll="0">
      <items count="1189">
        <item x="338"/>
        <item x="337"/>
        <item x="336"/>
        <item x="464"/>
        <item x="465"/>
        <item x="466"/>
        <item x="901"/>
        <item x="904"/>
        <item x="910"/>
        <item x="911"/>
        <item x="290"/>
        <item x="988"/>
        <item x="989"/>
        <item x="307"/>
        <item x="275"/>
        <item x="304"/>
        <item x="321"/>
        <item x="903"/>
        <item x="906"/>
        <item x="308"/>
        <item x="369"/>
        <item x="279"/>
        <item x="899"/>
        <item x="378"/>
        <item x="311"/>
        <item x="280"/>
        <item x="900"/>
        <item x="362"/>
        <item x="324"/>
        <item x="909"/>
        <item x="902"/>
        <item x="315"/>
        <item x="908"/>
        <item x="301"/>
        <item x="277"/>
        <item x="287"/>
        <item x="284"/>
        <item x="905"/>
        <item x="907"/>
        <item x="386"/>
        <item x="309"/>
        <item x="289"/>
        <item x="323"/>
        <item x="388"/>
        <item x="372"/>
        <item x="360"/>
        <item x="376"/>
        <item x="310"/>
        <item x="278"/>
        <item x="349"/>
        <item x="303"/>
        <item x="371"/>
        <item x="351"/>
        <item x="282"/>
        <item x="347"/>
        <item x="314"/>
        <item x="373"/>
        <item x="302"/>
        <item x="789"/>
        <item x="735"/>
        <item x="292"/>
        <item x="318"/>
        <item x="869"/>
        <item x="288"/>
        <item x="755"/>
        <item x="879"/>
        <item x="297"/>
        <item x="387"/>
        <item x="317"/>
        <item x="298"/>
        <item x="312"/>
        <item x="839"/>
        <item x="319"/>
        <item x="295"/>
        <item x="283"/>
        <item x="370"/>
        <item x="294"/>
        <item x="738"/>
        <item x="368"/>
        <item x="355"/>
        <item x="383"/>
        <item x="813"/>
        <item x="272"/>
        <item x="748"/>
        <item x="291"/>
        <item x="316"/>
        <item x="274"/>
        <item x="300"/>
        <item x="852"/>
        <item x="296"/>
        <item x="276"/>
        <item x="322"/>
        <item x="754"/>
        <item x="281"/>
        <item x="306"/>
        <item x="313"/>
        <item x="346"/>
        <item x="546"/>
        <item x="1045"/>
        <item x="547"/>
        <item x="293"/>
        <item x="721"/>
        <item x="640"/>
        <item x="348"/>
        <item x="734"/>
        <item x="1029"/>
        <item x="1013"/>
        <item x="1015"/>
        <item x="1055"/>
        <item x="320"/>
        <item x="273"/>
        <item x="364"/>
        <item x="356"/>
        <item x="299"/>
        <item x="342"/>
        <item x="382"/>
        <item x="377"/>
        <item x="352"/>
        <item x="354"/>
        <item x="341"/>
        <item x="379"/>
        <item x="513"/>
        <item x="545"/>
        <item x="367"/>
        <item x="344"/>
        <item x="374"/>
        <item x="845"/>
        <item x="736"/>
        <item x="857"/>
        <item x="787"/>
        <item x="1048"/>
        <item x="1031"/>
        <item x="285"/>
        <item x="305"/>
        <item x="359"/>
        <item x="340"/>
        <item x="1039"/>
        <item x="1030"/>
        <item x="286"/>
        <item x="446"/>
        <item x="450"/>
        <item x="345"/>
        <item x="1054"/>
        <item x="353"/>
        <item x="512"/>
        <item x="1034"/>
        <item x="1021"/>
        <item x="1042"/>
        <item x="489"/>
        <item x="543"/>
        <item x="700"/>
        <item x="1033"/>
        <item x="569"/>
        <item x="384"/>
        <item x="567"/>
        <item x="343"/>
        <item x="361"/>
        <item x="380"/>
        <item x="385"/>
        <item x="502"/>
        <item x="540"/>
        <item x="339"/>
        <item x="257"/>
        <item x="365"/>
        <item x="890"/>
        <item x="458"/>
        <item x="457"/>
        <item x="456"/>
        <item x="455"/>
        <item x="1027"/>
        <item x="454"/>
        <item x="826"/>
        <item x="799"/>
        <item x="888"/>
        <item x="453"/>
        <item x="1037"/>
        <item x="1016"/>
        <item x="1053"/>
        <item x="1018"/>
        <item x="717"/>
        <item x="1043"/>
        <item x="477"/>
        <item x="522"/>
        <item x="532"/>
        <item x="687"/>
        <item x="1050"/>
        <item x="358"/>
        <item x="366"/>
        <item x="381"/>
        <item x="479"/>
        <item x="1012"/>
        <item x="473"/>
        <item x="357"/>
        <item x="363"/>
        <item x="467"/>
        <item x="1044"/>
        <item x="538"/>
        <item x="375"/>
        <item x="510"/>
        <item x="557"/>
        <item x="518"/>
        <item x="350"/>
        <item x="500"/>
        <item x="647"/>
        <item x="536"/>
        <item x="509"/>
        <item x="472"/>
        <item x="508"/>
        <item x="511"/>
        <item x="551"/>
        <item x="835"/>
        <item x="1056"/>
        <item x="263"/>
        <item x="553"/>
        <item x="657"/>
        <item x="854"/>
        <item x="549"/>
        <item x="893"/>
        <item x="871"/>
        <item x="655"/>
        <item x="1020"/>
        <item x="1024"/>
        <item x="707"/>
        <item x="1052"/>
        <item x="780"/>
        <item x="495"/>
        <item x="556"/>
        <item x="496"/>
        <item x="552"/>
        <item x="683"/>
        <item x="666"/>
        <item x="515"/>
        <item x="521"/>
        <item x="485"/>
        <item x="541"/>
        <item x="523"/>
        <item x="1041"/>
        <item x="505"/>
        <item x="1040"/>
        <item x="562"/>
        <item x="550"/>
        <item x="524"/>
        <item x="535"/>
        <item x="483"/>
        <item x="471"/>
        <item x="468"/>
        <item x="487"/>
        <item x="514"/>
        <item x="534"/>
        <item x="804"/>
        <item x="676"/>
        <item x="530"/>
        <item x="693"/>
        <item x="696"/>
        <item x="690"/>
        <item x="669"/>
        <item x="794"/>
        <item x="1026"/>
        <item x="1051"/>
        <item x="561"/>
        <item x="506"/>
        <item x="517"/>
        <item x="1022"/>
        <item x="701"/>
        <item x="1023"/>
        <item x="470"/>
        <item x="1047"/>
        <item x="526"/>
        <item x="493"/>
        <item x="555"/>
        <item x="476"/>
        <item x="533"/>
        <item x="520"/>
        <item x="1035"/>
        <item x="566"/>
        <item x="542"/>
        <item x="507"/>
        <item x="482"/>
        <item x="565"/>
        <item x="469"/>
        <item x="537"/>
        <item x="499"/>
        <item x="568"/>
        <item x="1011"/>
        <item x="245"/>
        <item x="1062"/>
        <item x="1025"/>
        <item x="491"/>
        <item x="498"/>
        <item x="1014"/>
        <item x="1019"/>
        <item x="1036"/>
        <item x="490"/>
        <item x="1032"/>
        <item x="784"/>
        <item x="560"/>
        <item x="796"/>
        <item x="525"/>
        <item x="497"/>
        <item x="503"/>
        <item x="529"/>
        <item x="894"/>
        <item x="474"/>
        <item x="825"/>
        <item x="244"/>
        <item x="1049"/>
        <item x="486"/>
        <item x="1046"/>
        <item x="531"/>
        <item x="262"/>
        <item x="241"/>
        <item x="260"/>
        <item x="251"/>
        <item x="484"/>
        <item x="243"/>
        <item x="264"/>
        <item x="443"/>
        <item x="504"/>
        <item x="478"/>
        <item x="564"/>
        <item x="480"/>
        <item x="803"/>
        <item x="675"/>
        <item x="775"/>
        <item x="692"/>
        <item x="708"/>
        <item x="750"/>
        <item x="559"/>
        <item x="447"/>
        <item x="501"/>
        <item x="703"/>
        <item x="259"/>
        <item x="494"/>
        <item x="827"/>
        <item x="768"/>
        <item x="242"/>
        <item x="1017"/>
        <item x="246"/>
        <item x="441"/>
        <item x="1038"/>
        <item x="254"/>
        <item x="544"/>
        <item x="1059"/>
        <item x="451"/>
        <item x="539"/>
        <item x="649"/>
        <item x="744"/>
        <item x="781"/>
        <item x="697"/>
        <item x="554"/>
        <item x="677"/>
        <item x="623"/>
        <item x="488"/>
        <item x="712"/>
        <item x="930"/>
        <item x="691"/>
        <item x="445"/>
        <item x="783"/>
        <item x="658"/>
        <item x="516"/>
        <item x="558"/>
        <item x="527"/>
        <item x="519"/>
        <item x="1057"/>
        <item x="492"/>
        <item x="548"/>
        <item x="737"/>
        <item x="258"/>
        <item x="706"/>
        <item x="252"/>
        <item x="1028"/>
        <item x="718"/>
        <item x="660"/>
        <item x="661"/>
        <item x="670"/>
        <item x="664"/>
        <item x="1061"/>
        <item x="637"/>
        <item x="1060"/>
        <item x="800"/>
        <item x="833"/>
        <item x="440"/>
        <item x="763"/>
        <item x="248"/>
        <item x="448"/>
        <item x="249"/>
        <item x="247"/>
        <item x="442"/>
        <item x="255"/>
        <item x="1058"/>
        <item x="475"/>
        <item x="756"/>
        <item x="449"/>
        <item x="938"/>
        <item x="972"/>
        <item x="881"/>
        <item x="653"/>
        <item x="731"/>
        <item x="678"/>
        <item x="528"/>
        <item x="711"/>
        <item x="743"/>
        <item x="644"/>
        <item x="929"/>
        <item x="801"/>
        <item x="610"/>
        <item x="771"/>
        <item x="611"/>
        <item x="777"/>
        <item x="652"/>
        <item x="702"/>
        <item x="635"/>
        <item x="633"/>
        <item x="648"/>
        <item x="695"/>
        <item x="948"/>
        <item x="936"/>
        <item x="912"/>
        <item x="829"/>
        <item x="798"/>
        <item x="650"/>
        <item x="883"/>
        <item x="481"/>
        <item x="704"/>
        <item x="710"/>
        <item x="849"/>
        <item x="920"/>
        <item x="685"/>
        <item x="720"/>
        <item x="656"/>
        <item x="944"/>
        <item x="861"/>
        <item x="616"/>
        <item x="791"/>
        <item x="853"/>
        <item x="811"/>
        <item x="752"/>
        <item x="782"/>
        <item x="928"/>
        <item x="868"/>
        <item x="639"/>
        <item x="732"/>
        <item x="867"/>
        <item x="651"/>
        <item x="618"/>
        <item x="812"/>
        <item x="709"/>
        <item x="622"/>
        <item x="875"/>
        <item x="891"/>
        <item x="563"/>
        <item x="925"/>
        <item x="452"/>
        <item x="444"/>
        <item x="753"/>
        <item x="864"/>
        <item x="785"/>
        <item x="705"/>
        <item x="837"/>
        <item x="684"/>
        <item x="682"/>
        <item x="931"/>
        <item x="968"/>
        <item x="461"/>
        <item x="253"/>
        <item x="459"/>
        <item x="250"/>
        <item x="788"/>
        <item x="261"/>
        <item x="1063"/>
        <item x="626"/>
        <item x="885"/>
        <item x="819"/>
        <item x="745"/>
        <item x="779"/>
        <item x="947"/>
        <item x="927"/>
        <item x="973"/>
        <item x="923"/>
        <item x="807"/>
        <item x="680"/>
        <item x="855"/>
        <item x="843"/>
        <item x="714"/>
        <item x="612"/>
        <item x="615"/>
        <item x="774"/>
        <item x="659"/>
        <item x="873"/>
        <item x="681"/>
        <item x="256"/>
        <item x="882"/>
        <item x="940"/>
        <item x="926"/>
        <item x="606"/>
        <item x="672"/>
        <item x="832"/>
        <item x="810"/>
        <item x="607"/>
        <item x="836"/>
        <item x="793"/>
        <item x="463"/>
        <item x="749"/>
        <item x="769"/>
        <item x="462"/>
        <item x="624"/>
        <item x="880"/>
        <item x="848"/>
        <item x="689"/>
        <item x="887"/>
        <item x="460"/>
        <item x="627"/>
        <item x="956"/>
        <item x="809"/>
        <item x="878"/>
        <item x="719"/>
        <item x="400"/>
        <item x="628"/>
        <item x="617"/>
        <item x="840"/>
        <item x="688"/>
        <item x="727"/>
        <item x="728"/>
        <item x="643"/>
        <item x="847"/>
        <item x="773"/>
        <item x="673"/>
        <item x="922"/>
        <item x="414"/>
        <item x="397"/>
        <item x="679"/>
        <item x="884"/>
        <item x="415"/>
        <item x="913"/>
        <item x="427"/>
        <item x="797"/>
        <item x="654"/>
        <item x="392"/>
        <item x="965"/>
        <item x="663"/>
        <item x="916"/>
        <item x="416"/>
        <item x="413"/>
        <item x="393"/>
        <item x="403"/>
        <item x="396"/>
        <item x="406"/>
        <item x="892"/>
        <item x="435"/>
        <item x="921"/>
        <item x="401"/>
        <item x="877"/>
        <item x="742"/>
        <item x="834"/>
        <item x="609"/>
        <item x="820"/>
        <item x="963"/>
        <item x="646"/>
        <item x="668"/>
        <item x="620"/>
        <item x="860"/>
        <item x="394"/>
        <item x="967"/>
        <item x="411"/>
        <item x="634"/>
        <item x="425"/>
        <item x="636"/>
        <item x="432"/>
        <item x="671"/>
        <item x="716"/>
        <item x="886"/>
        <item x="630"/>
        <item x="662"/>
        <item x="595"/>
        <item x="592"/>
        <item x="584"/>
        <item x="580"/>
        <item x="895"/>
        <item x="726"/>
        <item x="437"/>
        <item x="570"/>
        <item x="402"/>
        <item x="389"/>
        <item x="724"/>
        <item x="399"/>
        <item x="408"/>
        <item x="417"/>
        <item x="870"/>
        <item x="950"/>
        <item x="331"/>
        <item x="575"/>
        <item x="815"/>
        <item x="795"/>
        <item x="330"/>
        <item x="942"/>
        <item x="939"/>
        <item x="966"/>
        <item x="334"/>
        <item x="941"/>
        <item x="332"/>
        <item x="982"/>
        <item x="946"/>
        <item x="576"/>
        <item x="426"/>
        <item x="1004"/>
        <item x="604"/>
        <item x="587"/>
        <item x="577"/>
        <item x="431"/>
        <item x="395"/>
        <item x="821"/>
        <item x="969"/>
        <item x="674"/>
        <item x="621"/>
        <item x="932"/>
        <item x="816"/>
        <item x="858"/>
        <item x="934"/>
        <item x="642"/>
        <item x="961"/>
        <item x="863"/>
        <item x="975"/>
        <item x="919"/>
        <item x="328"/>
        <item x="831"/>
        <item x="588"/>
        <item x="591"/>
        <item x="614"/>
        <item x="578"/>
        <item x="409"/>
        <item x="725"/>
        <item x="764"/>
        <item x="391"/>
        <item x="733"/>
        <item x="438"/>
        <item x="808"/>
        <item x="596"/>
        <item x="729"/>
        <item x="638"/>
        <item x="978"/>
        <item x="980"/>
        <item x="889"/>
        <item x="329"/>
        <item x="1006"/>
        <item x="326"/>
        <item x="1003"/>
        <item x="999"/>
        <item x="991"/>
        <item x="1010"/>
        <item x="579"/>
        <item x="573"/>
        <item x="333"/>
        <item x="838"/>
        <item x="335"/>
        <item x="602"/>
        <item x="419"/>
        <item x="430"/>
        <item x="814"/>
        <item x="776"/>
        <item x="866"/>
        <item x="859"/>
        <item x="786"/>
        <item x="806"/>
        <item x="772"/>
        <item x="933"/>
        <item x="325"/>
        <item x="954"/>
        <item x="957"/>
        <item x="974"/>
        <item x="914"/>
        <item x="1001"/>
        <item x="327"/>
        <item x="983"/>
        <item x="412"/>
        <item x="992"/>
        <item x="760"/>
        <item x="723"/>
        <item x="608"/>
        <item x="792"/>
        <item x="959"/>
        <item x="945"/>
        <item x="851"/>
        <item x="694"/>
        <item x="841"/>
        <item x="762"/>
        <item x="645"/>
        <item x="770"/>
        <item x="964"/>
        <item x="856"/>
        <item x="953"/>
        <item x="874"/>
        <item x="665"/>
        <item x="952"/>
        <item x="846"/>
        <item x="582"/>
        <item x="599"/>
        <item x="594"/>
        <item x="421"/>
        <item x="981"/>
        <item x="979"/>
        <item x="571"/>
        <item x="586"/>
        <item x="1005"/>
        <item x="994"/>
        <item x="993"/>
        <item x="1002"/>
        <item x="429"/>
        <item x="995"/>
        <item x="398"/>
        <item x="1007"/>
        <item x="998"/>
        <item x="997"/>
        <item x="1009"/>
        <item x="418"/>
        <item x="817"/>
        <item x="842"/>
        <item x="924"/>
        <item x="613"/>
        <item x="747"/>
        <item x="823"/>
        <item x="765"/>
        <item x="943"/>
        <item x="713"/>
        <item x="865"/>
        <item x="844"/>
        <item x="619"/>
        <item x="949"/>
        <item x="698"/>
        <item x="818"/>
        <item x="876"/>
        <item x="915"/>
        <item x="601"/>
        <item x="581"/>
        <item x="1008"/>
        <item x="428"/>
        <item x="896"/>
        <item x="631"/>
        <item x="746"/>
        <item x="805"/>
        <item x="436"/>
        <item x="699"/>
        <item x="722"/>
        <item x="872"/>
        <item x="790"/>
        <item x="641"/>
        <item x="730"/>
        <item x="759"/>
        <item x="862"/>
        <item x="778"/>
        <item x="590"/>
        <item x="990"/>
        <item x="996"/>
        <item x="987"/>
        <item x="985"/>
        <item x="984"/>
        <item x="390"/>
        <item x="625"/>
        <item x="605"/>
        <item x="850"/>
        <item x="758"/>
        <item x="574"/>
        <item x="410"/>
        <item x="423"/>
        <item x="407"/>
        <item x="420"/>
        <item x="741"/>
        <item x="667"/>
        <item x="951"/>
        <item x="958"/>
        <item x="976"/>
        <item x="986"/>
        <item x="935"/>
        <item x="897"/>
        <item x="629"/>
        <item x="583"/>
        <item x="603"/>
        <item x="572"/>
        <item x="434"/>
        <item x="761"/>
        <item x="740"/>
        <item x="767"/>
        <item x="686"/>
        <item x="433"/>
        <item x="766"/>
        <item x="585"/>
        <item x="917"/>
        <item x="424"/>
        <item x="970"/>
        <item x="955"/>
        <item x="598"/>
        <item x="405"/>
        <item x="1000"/>
        <item x="422"/>
        <item x="404"/>
        <item x="439"/>
        <item x="830"/>
        <item x="715"/>
        <item x="593"/>
        <item x="828"/>
        <item x="739"/>
        <item x="600"/>
        <item x="937"/>
        <item x="977"/>
        <item x="268"/>
        <item x="271"/>
        <item x="270"/>
        <item x="589"/>
        <item x="822"/>
        <item x="918"/>
        <item x="802"/>
        <item x="597"/>
        <item x="962"/>
        <item x="960"/>
        <item x="971"/>
        <item x="751"/>
        <item x="898"/>
        <item x="632"/>
        <item x="269"/>
        <item x="757"/>
        <item x="265"/>
        <item x="266"/>
        <item x="267"/>
        <item x="236"/>
        <item x="824"/>
        <item x="240"/>
        <item x="237"/>
        <item x="239"/>
        <item x="238"/>
        <item x="1066"/>
        <item x="1065"/>
        <item x="1064"/>
        <item x="70"/>
        <item x="72"/>
        <item x="68"/>
        <item x="69"/>
        <item x="71"/>
        <item x="37"/>
        <item x="39"/>
        <item x="44"/>
        <item x="40"/>
        <item x="43"/>
        <item x="31"/>
        <item x="41"/>
        <item x="50"/>
        <item x="49"/>
        <item x="45"/>
        <item x="48"/>
        <item x="47"/>
        <item x="46"/>
        <item x="30"/>
        <item x="35"/>
        <item x="36"/>
        <item x="32"/>
        <item x="38"/>
        <item x="138"/>
        <item x="42"/>
        <item x="51"/>
        <item x="194"/>
        <item x="33"/>
        <item x="182"/>
        <item x="208"/>
        <item x="147"/>
        <item x="108"/>
        <item x="158"/>
        <item x="118"/>
        <item x="218"/>
        <item x="160"/>
        <item x="113"/>
        <item x="171"/>
        <item x="104"/>
        <item x="189"/>
        <item x="170"/>
        <item x="178"/>
        <item x="164"/>
        <item x="176"/>
        <item x="135"/>
        <item x="144"/>
        <item x="148"/>
        <item x="166"/>
        <item x="223"/>
        <item x="131"/>
        <item x="215"/>
        <item x="151"/>
        <item x="143"/>
        <item x="145"/>
        <item x="107"/>
        <item x="173"/>
        <item x="216"/>
        <item x="129"/>
        <item x="153"/>
        <item x="149"/>
        <item x="168"/>
        <item x="120"/>
        <item x="132"/>
        <item x="181"/>
        <item x="183"/>
        <item x="201"/>
        <item x="146"/>
        <item x="110"/>
        <item x="117"/>
        <item x="185"/>
        <item x="188"/>
        <item x="203"/>
        <item x="163"/>
        <item x="219"/>
        <item x="210"/>
        <item x="127"/>
        <item x="103"/>
        <item x="109"/>
        <item x="98"/>
        <item x="94"/>
        <item x="202"/>
        <item x="139"/>
        <item x="133"/>
        <item x="112"/>
        <item x="222"/>
        <item x="211"/>
        <item x="154"/>
        <item x="193"/>
        <item x="199"/>
        <item x="197"/>
        <item x="196"/>
        <item x="159"/>
        <item x="186"/>
        <item x="162"/>
        <item x="204"/>
        <item x="207"/>
        <item x="125"/>
        <item x="130"/>
        <item x="91"/>
        <item x="93"/>
        <item x="175"/>
        <item x="134"/>
        <item x="128"/>
        <item x="95"/>
        <item x="96"/>
        <item x="101"/>
        <item x="100"/>
        <item x="169"/>
        <item x="217"/>
        <item x="195"/>
        <item x="206"/>
        <item x="111"/>
        <item x="102"/>
        <item x="221"/>
        <item x="161"/>
        <item x="10"/>
        <item x="140"/>
        <item x="213"/>
        <item x="92"/>
        <item x="167"/>
        <item x="205"/>
        <item x="150"/>
        <item x="137"/>
        <item x="114"/>
        <item x="73"/>
        <item x="13"/>
        <item x="6"/>
        <item x="142"/>
        <item x="4"/>
        <item x="184"/>
        <item x="191"/>
        <item x="74"/>
        <item x="122"/>
        <item x="126"/>
        <item x="75"/>
        <item x="99"/>
        <item x="179"/>
        <item x="116"/>
        <item x="177"/>
        <item x="155"/>
        <item x="97"/>
        <item x="141"/>
        <item x="11"/>
        <item x="8"/>
        <item x="12"/>
        <item x="7"/>
        <item x="209"/>
        <item x="152"/>
        <item x="172"/>
        <item x="180"/>
        <item x="190"/>
        <item x="136"/>
        <item x="53"/>
        <item x="9"/>
        <item x="64"/>
        <item x="80"/>
        <item x="54"/>
        <item x="77"/>
        <item x="60"/>
        <item x="156"/>
        <item x="214"/>
        <item x="200"/>
        <item x="192"/>
        <item x="58"/>
        <item x="187"/>
        <item x="67"/>
        <item x="5"/>
        <item x="165"/>
        <item x="84"/>
        <item x="212"/>
        <item x="115"/>
        <item x="76"/>
        <item x="55"/>
        <item x="52"/>
        <item x="22"/>
        <item x="56"/>
        <item x="21"/>
        <item x="57"/>
        <item x="121"/>
        <item x="119"/>
        <item x="66"/>
        <item x="65"/>
        <item x="61"/>
        <item x="26"/>
        <item x="89"/>
        <item x="63"/>
        <item x="59"/>
        <item x="19"/>
        <item x="157"/>
        <item x="29"/>
        <item x="27"/>
        <item x="88"/>
        <item x="18"/>
        <item x="90"/>
        <item x="25"/>
        <item x="17"/>
        <item x="20"/>
        <item x="105"/>
        <item x="198"/>
        <item x="16"/>
        <item x="83"/>
        <item x="106"/>
        <item x="62"/>
        <item x="79"/>
        <item x="78"/>
        <item x="86"/>
        <item x="87"/>
        <item x="15"/>
        <item x="23"/>
        <item x="124"/>
        <item x="81"/>
        <item x="82"/>
        <item x="85"/>
        <item x="220"/>
        <item x="123"/>
        <item x="174"/>
        <item x="1"/>
        <item x="28"/>
        <item x="14"/>
        <item x="24"/>
        <item x="2"/>
        <item x="3"/>
        <item x="0"/>
        <item x="225"/>
        <item x="224"/>
        <item x="228"/>
        <item x="1166"/>
        <item x="1183"/>
        <item x="1182"/>
        <item x="1138"/>
        <item x="1164"/>
        <item x="1163"/>
        <item x="1167"/>
        <item x="1168"/>
        <item x="1169"/>
        <item x="1174"/>
        <item x="1181"/>
        <item x="1165"/>
        <item x="1175"/>
        <item x="1146"/>
        <item x="1128"/>
        <item x="1153"/>
        <item x="1180"/>
        <item x="1179"/>
        <item x="230"/>
        <item x="1141"/>
        <item x="1121"/>
        <item x="1127"/>
        <item x="1172"/>
        <item x="1176"/>
        <item x="1118"/>
        <item x="1132"/>
        <item x="231"/>
        <item x="229"/>
        <item x="1122"/>
        <item x="1129"/>
        <item x="1119"/>
        <item x="1162"/>
        <item x="1126"/>
        <item x="1120"/>
        <item x="1130"/>
        <item x="1157"/>
        <item x="1124"/>
        <item x="1131"/>
        <item x="1156"/>
        <item x="1155"/>
        <item x="1161"/>
        <item x="1173"/>
        <item x="1158"/>
        <item x="1113"/>
        <item x="1177"/>
        <item x="1178"/>
        <item x="1170"/>
        <item x="1125"/>
        <item x="1171"/>
        <item x="1123"/>
        <item x="1074"/>
        <item x="1159"/>
        <item x="1152"/>
        <item x="1142"/>
        <item x="1133"/>
        <item x="1160"/>
        <item x="1148"/>
        <item x="234"/>
        <item x="232"/>
        <item x="233"/>
        <item x="227"/>
        <item x="226"/>
        <item x="1140"/>
        <item x="1136"/>
        <item x="1145"/>
        <item x="235"/>
        <item x="1103"/>
        <item x="1109"/>
        <item x="1082"/>
        <item x="1069"/>
        <item x="1076"/>
        <item x="1077"/>
        <item x="1102"/>
        <item x="1091"/>
        <item x="1184"/>
        <item x="1135"/>
        <item x="1186"/>
        <item x="1151"/>
        <item x="1096"/>
        <item x="1105"/>
        <item x="1083"/>
        <item x="1111"/>
        <item x="1147"/>
        <item x="1071"/>
        <item x="1114"/>
        <item x="1098"/>
        <item x="1134"/>
        <item x="1088"/>
        <item x="1185"/>
        <item x="1139"/>
        <item x="1149"/>
        <item x="1150"/>
        <item x="1070"/>
        <item x="1068"/>
        <item x="1137"/>
        <item x="1099"/>
        <item x="1154"/>
        <item x="1093"/>
        <item x="1101"/>
        <item x="1075"/>
        <item x="1089"/>
        <item x="1110"/>
        <item x="1084"/>
        <item x="1115"/>
        <item x="1078"/>
        <item x="1092"/>
        <item x="1117"/>
        <item x="1094"/>
        <item x="1144"/>
        <item x="1143"/>
        <item x="1081"/>
        <item x="1079"/>
        <item x="1106"/>
        <item x="1108"/>
        <item x="1100"/>
        <item x="1072"/>
        <item x="1097"/>
        <item x="1104"/>
        <item x="1112"/>
        <item x="1073"/>
        <item x="1067"/>
        <item x="1085"/>
        <item x="1116"/>
        <item x="1095"/>
        <item x="1090"/>
        <item x="1107"/>
        <item x="1087"/>
        <item x="1086"/>
        <item x="1080"/>
        <item x="34"/>
        <item x="1187"/>
        <item t="default"/>
      </items>
    </pivotField>
    <pivotField showAll="0">
      <items count="1197">
        <item x="157"/>
        <item x="217"/>
        <item x="216"/>
        <item x="171"/>
        <item x="172"/>
        <item x="150"/>
        <item x="137"/>
        <item x="201"/>
        <item x="193"/>
        <item x="190"/>
        <item x="179"/>
        <item x="207"/>
        <item x="107"/>
        <item x="114"/>
        <item x="187"/>
        <item x="170"/>
        <item x="164"/>
        <item x="145"/>
        <item x="211"/>
        <item x="213"/>
        <item x="178"/>
        <item x="130"/>
        <item x="218"/>
        <item x="138"/>
        <item x="224"/>
        <item x="183"/>
        <item x="154"/>
        <item x="147"/>
        <item x="125"/>
        <item x="200"/>
        <item x="139"/>
        <item x="209"/>
        <item x="129"/>
        <item x="225"/>
        <item x="202"/>
        <item x="30"/>
        <item x="156"/>
        <item x="155"/>
        <item x="136"/>
        <item x="159"/>
        <item x="198"/>
        <item x="151"/>
        <item x="173"/>
        <item x="177"/>
        <item x="105"/>
        <item x="191"/>
        <item x="152"/>
        <item x="106"/>
        <item x="221"/>
        <item x="148"/>
        <item x="220"/>
        <item x="44"/>
        <item x="50"/>
        <item x="45"/>
        <item x="41"/>
        <item x="35"/>
        <item x="181"/>
        <item x="167"/>
        <item x="194"/>
        <item x="149"/>
        <item x="166"/>
        <item x="204"/>
        <item x="110"/>
        <item x="118"/>
        <item x="168"/>
        <item x="176"/>
        <item x="131"/>
        <item x="163"/>
        <item x="127"/>
        <item x="212"/>
        <item x="108"/>
        <item x="158"/>
        <item x="161"/>
        <item x="122"/>
        <item x="48"/>
        <item x="39"/>
        <item x="186"/>
        <item x="47"/>
        <item x="182"/>
        <item x="128"/>
        <item x="223"/>
        <item x="210"/>
        <item x="197"/>
        <item x="189"/>
        <item x="203"/>
        <item x="109"/>
        <item x="143"/>
        <item x="160"/>
        <item x="32"/>
        <item x="144"/>
        <item x="180"/>
        <item x="33"/>
        <item x="206"/>
        <item x="111"/>
        <item x="76"/>
        <item x="215"/>
        <item x="208"/>
        <item x="134"/>
        <item x="38"/>
        <item x="185"/>
        <item x="79"/>
        <item x="120"/>
        <item x="135"/>
        <item x="175"/>
        <item x="31"/>
        <item x="113"/>
        <item x="40"/>
        <item x="196"/>
        <item x="126"/>
        <item x="140"/>
        <item x="141"/>
        <item x="80"/>
        <item x="83"/>
        <item x="86"/>
        <item x="82"/>
        <item x="162"/>
        <item x="78"/>
        <item x="1"/>
        <item x="116"/>
        <item x="77"/>
        <item x="85"/>
        <item x="184"/>
        <item x="51"/>
        <item x="49"/>
        <item x="46"/>
        <item x="195"/>
        <item x="42"/>
        <item x="153"/>
        <item x="132"/>
        <item x="219"/>
        <item x="192"/>
        <item x="142"/>
        <item x="81"/>
        <item x="0"/>
        <item x="84"/>
        <item x="2"/>
        <item x="124"/>
        <item x="169"/>
        <item x="3"/>
        <item x="222"/>
        <item x="119"/>
        <item x="188"/>
        <item x="205"/>
        <item x="133"/>
        <item x="117"/>
        <item x="165"/>
        <item x="37"/>
        <item x="43"/>
        <item x="214"/>
        <item x="115"/>
        <item x="4"/>
        <item x="10"/>
        <item x="199"/>
        <item x="121"/>
        <item x="112"/>
        <item x="146"/>
        <item x="13"/>
        <item x="6"/>
        <item x="123"/>
        <item x="8"/>
        <item x="7"/>
        <item x="11"/>
        <item x="12"/>
        <item x="9"/>
        <item x="174"/>
        <item x="5"/>
        <item x="17"/>
        <item x="20"/>
        <item x="14"/>
        <item x="24"/>
        <item x="69"/>
        <item x="27"/>
        <item x="91"/>
        <item x="57"/>
        <item x="16"/>
        <item x="71"/>
        <item x="70"/>
        <item x="36"/>
        <item x="72"/>
        <item x="68"/>
        <item x="25"/>
        <item x="19"/>
        <item x="100"/>
        <item x="21"/>
        <item x="54"/>
        <item x="102"/>
        <item x="96"/>
        <item x="18"/>
        <item x="101"/>
        <item x="92"/>
        <item x="28"/>
        <item x="22"/>
        <item x="29"/>
        <item x="26"/>
        <item x="53"/>
        <item x="23"/>
        <item x="15"/>
        <item x="73"/>
        <item x="74"/>
        <item x="95"/>
        <item x="93"/>
        <item x="99"/>
        <item x="75"/>
        <item x="87"/>
        <item x="52"/>
        <item x="94"/>
        <item x="98"/>
        <item x="103"/>
        <item x="90"/>
        <item x="55"/>
        <item x="56"/>
        <item x="97"/>
        <item x="88"/>
        <item x="89"/>
        <item x="58"/>
        <item x="59"/>
        <item x="66"/>
        <item x="63"/>
        <item x="64"/>
        <item x="61"/>
        <item x="65"/>
        <item x="67"/>
        <item x="62"/>
        <item x="60"/>
        <item x="104"/>
        <item x="1071"/>
        <item x="1074"/>
        <item x="338"/>
        <item x="1072"/>
        <item x="337"/>
        <item x="1073"/>
        <item x="339"/>
        <item x="263"/>
        <item x="264"/>
        <item x="258"/>
        <item x="261"/>
        <item x="260"/>
        <item x="265"/>
        <item x="257"/>
        <item x="262"/>
        <item x="259"/>
        <item x="1008"/>
        <item x="1012"/>
        <item x="447"/>
        <item x="448"/>
        <item x="1009"/>
        <item x="1017"/>
        <item x="451"/>
        <item x="1010"/>
        <item x="1005"/>
        <item x="444"/>
        <item x="1001"/>
        <item x="1006"/>
        <item x="1018"/>
        <item x="443"/>
        <item x="1015"/>
        <item x="446"/>
        <item x="450"/>
        <item x="452"/>
        <item x="999"/>
        <item x="1004"/>
        <item x="998"/>
        <item x="1016"/>
        <item x="445"/>
        <item x="453"/>
        <item x="1007"/>
        <item x="992"/>
        <item x="1003"/>
        <item x="1014"/>
        <item x="441"/>
        <item x="442"/>
        <item x="449"/>
        <item x="1011"/>
        <item x="397"/>
        <item x="993"/>
        <item x="994"/>
        <item x="463"/>
        <item x="1013"/>
        <item x="995"/>
        <item x="246"/>
        <item x="248"/>
        <item x="243"/>
        <item x="328"/>
        <item x="327"/>
        <item x="244"/>
        <item x="255"/>
        <item x="249"/>
        <item x="461"/>
        <item x="462"/>
        <item x="464"/>
        <item x="404"/>
        <item x="460"/>
        <item x="593"/>
        <item x="1000"/>
        <item x="326"/>
        <item x="247"/>
        <item x="329"/>
        <item x="605"/>
        <item x="414"/>
        <item x="250"/>
        <item x="1064"/>
        <item x="252"/>
        <item x="1002"/>
        <item x="602"/>
        <item x="245"/>
        <item x="989"/>
        <item x="254"/>
        <item x="990"/>
        <item x="256"/>
        <item x="793"/>
        <item x="412"/>
        <item x="988"/>
        <item x="251"/>
        <item x="600"/>
        <item x="986"/>
        <item x="610"/>
        <item x="578"/>
        <item x="589"/>
        <item x="631"/>
        <item x="603"/>
        <item x="253"/>
        <item x="1068"/>
        <item x="754"/>
        <item x="987"/>
        <item x="597"/>
        <item x="1070"/>
        <item x="991"/>
        <item x="588"/>
        <item x="426"/>
        <item x="1067"/>
        <item x="798"/>
        <item x="761"/>
        <item x="580"/>
        <item x="606"/>
        <item x="609"/>
        <item x="894"/>
        <item x="596"/>
        <item x="661"/>
        <item x="575"/>
        <item x="579"/>
        <item x="594"/>
        <item x="590"/>
        <item x="599"/>
        <item x="598"/>
        <item x="436"/>
        <item x="831"/>
        <item x="608"/>
        <item x="1066"/>
        <item x="1069"/>
        <item x="587"/>
        <item x="824"/>
        <item x="585"/>
        <item x="1065"/>
        <item x="888"/>
        <item x="903"/>
        <item x="601"/>
        <item x="407"/>
        <item x="583"/>
        <item x="883"/>
        <item x="577"/>
        <item x="773"/>
        <item x="584"/>
        <item x="592"/>
        <item x="750"/>
        <item x="576"/>
        <item x="757"/>
        <item x="586"/>
        <item x="604"/>
        <item x="725"/>
        <item x="581"/>
        <item x="394"/>
        <item x="612"/>
        <item x="781"/>
        <item x="582"/>
        <item x="607"/>
        <item x="595"/>
        <item x="856"/>
        <item x="755"/>
        <item x="591"/>
        <item x="839"/>
        <item x="900"/>
        <item x="416"/>
        <item x="574"/>
        <item x="629"/>
        <item x="428"/>
        <item x="434"/>
        <item x="391"/>
        <item x="804"/>
        <item x="775"/>
        <item x="406"/>
        <item x="429"/>
        <item x="424"/>
        <item x="411"/>
        <item x="438"/>
        <item x="787"/>
        <item x="413"/>
        <item x="423"/>
        <item x="811"/>
        <item x="440"/>
        <item x="656"/>
        <item x="422"/>
        <item x="395"/>
        <item x="421"/>
        <item x="398"/>
        <item x="390"/>
        <item x="892"/>
        <item x="399"/>
        <item x="615"/>
        <item x="408"/>
        <item x="393"/>
        <item x="627"/>
        <item x="432"/>
        <item x="401"/>
        <item x="410"/>
        <item x="409"/>
        <item x="802"/>
        <item x="785"/>
        <item x="420"/>
        <item x="417"/>
        <item x="431"/>
        <item x="425"/>
        <item x="403"/>
        <item x="418"/>
        <item x="457"/>
        <item x="655"/>
        <item x="433"/>
        <item x="456"/>
        <item x="800"/>
        <item x="644"/>
        <item x="863"/>
        <item x="807"/>
        <item x="459"/>
        <item x="396"/>
        <item x="392"/>
        <item x="430"/>
        <item x="458"/>
        <item x="437"/>
        <item x="756"/>
        <item x="400"/>
        <item x="439"/>
        <item x="415"/>
        <item x="890"/>
        <item x="419"/>
        <item x="427"/>
        <item x="642"/>
        <item x="402"/>
        <item x="737"/>
        <item x="638"/>
        <item x="717"/>
        <item x="639"/>
        <item x="730"/>
        <item x="748"/>
        <item x="649"/>
        <item x="885"/>
        <item x="835"/>
        <item x="812"/>
        <item x="240"/>
        <item x="238"/>
        <item x="241"/>
        <item x="713"/>
        <item x="827"/>
        <item x="239"/>
        <item x="405"/>
        <item x="789"/>
        <item x="435"/>
        <item x="651"/>
        <item x="830"/>
        <item x="455"/>
        <item x="665"/>
        <item x="767"/>
        <item x="709"/>
        <item x="735"/>
        <item x="710"/>
        <item x="679"/>
        <item x="886"/>
        <item x="777"/>
        <item x="795"/>
        <item x="848"/>
        <item x="880"/>
        <item x="878"/>
        <item x="663"/>
        <item x="729"/>
        <item x="764"/>
        <item x="745"/>
        <item x="862"/>
        <item x="818"/>
        <item x="618"/>
        <item x="637"/>
        <item x="676"/>
        <item x="619"/>
        <item x="857"/>
        <item x="822"/>
        <item x="907"/>
        <item x="771"/>
        <item x="654"/>
        <item x="779"/>
        <item x="630"/>
        <item x="732"/>
        <item x="682"/>
        <item x="640"/>
        <item x="673"/>
        <item x="667"/>
        <item x="659"/>
        <item x="724"/>
        <item x="614"/>
        <item x="834"/>
        <item x="747"/>
        <item x="613"/>
        <item x="874"/>
        <item x="704"/>
        <item x="836"/>
        <item x="806"/>
        <item x="242"/>
        <item x="828"/>
        <item x="801"/>
        <item x="780"/>
        <item x="765"/>
        <item x="721"/>
        <item x="786"/>
        <item x="664"/>
        <item x="768"/>
        <item x="691"/>
        <item x="687"/>
        <item x="677"/>
        <item x="809"/>
        <item x="895"/>
        <item x="905"/>
        <item x="635"/>
        <item x="731"/>
        <item x="854"/>
        <item x="708"/>
        <item x="671"/>
        <item x="706"/>
        <item x="720"/>
        <item x="893"/>
        <item x="625"/>
        <item x="728"/>
        <item x="825"/>
        <item x="696"/>
        <item x="902"/>
        <item x="670"/>
        <item x="683"/>
        <item x="778"/>
        <item x="714"/>
        <item x="813"/>
        <item x="662"/>
        <item x="746"/>
        <item x="700"/>
        <item x="620"/>
        <item x="684"/>
        <item x="669"/>
        <item x="727"/>
        <item x="692"/>
        <item x="752"/>
        <item x="681"/>
        <item x="843"/>
        <item x="711"/>
        <item x="872"/>
        <item x="742"/>
        <item x="633"/>
        <item x="693"/>
        <item x="705"/>
        <item x="697"/>
        <item x="652"/>
        <item x="833"/>
        <item x="873"/>
        <item x="758"/>
        <item x="849"/>
        <item x="851"/>
        <item x="819"/>
        <item x="762"/>
        <item x="763"/>
        <item x="853"/>
        <item x="699"/>
        <item x="733"/>
        <item x="844"/>
        <item x="799"/>
        <item x="690"/>
        <item x="901"/>
        <item x="680"/>
        <item x="698"/>
        <item x="904"/>
        <item x="723"/>
        <item x="678"/>
        <item x="898"/>
        <item x="648"/>
        <item x="899"/>
        <item x="896"/>
        <item x="646"/>
        <item x="889"/>
        <item x="841"/>
        <item x="624"/>
        <item x="820"/>
        <item x="788"/>
        <item x="719"/>
        <item x="641"/>
        <item x="668"/>
        <item x="743"/>
        <item x="845"/>
        <item x="887"/>
        <item x="829"/>
        <item x="736"/>
        <item x="769"/>
        <item x="784"/>
        <item x="790"/>
        <item x="695"/>
        <item x="465"/>
        <item x="868"/>
        <item x="783"/>
        <item x="772"/>
        <item x="842"/>
        <item x="666"/>
        <item x="875"/>
        <item x="855"/>
        <item x="466"/>
        <item x="467"/>
        <item x="617"/>
        <item x="838"/>
        <item x="814"/>
        <item x="734"/>
        <item x="653"/>
        <item x="858"/>
        <item x="672"/>
        <item x="832"/>
        <item x="636"/>
        <item x="803"/>
        <item x="685"/>
        <item x="870"/>
        <item x="707"/>
        <item x="611"/>
        <item x="881"/>
        <item x="688"/>
        <item x="897"/>
        <item x="882"/>
        <item x="718"/>
        <item x="816"/>
        <item x="867"/>
        <item x="846"/>
        <item x="740"/>
        <item x="782"/>
        <item x="702"/>
        <item x="766"/>
        <item x="738"/>
        <item x="643"/>
        <item x="650"/>
        <item x="866"/>
        <item x="701"/>
        <item x="626"/>
        <item x="675"/>
        <item x="647"/>
        <item x="823"/>
        <item x="658"/>
        <item x="817"/>
        <item x="686"/>
        <item x="715"/>
        <item x="859"/>
        <item x="876"/>
        <item x="826"/>
        <item x="877"/>
        <item x="770"/>
        <item x="622"/>
        <item x="794"/>
        <item x="712"/>
        <item x="879"/>
        <item x="840"/>
        <item x="623"/>
        <item x="722"/>
        <item x="774"/>
        <item x="776"/>
        <item x="805"/>
        <item x="884"/>
        <item x="674"/>
        <item x="810"/>
        <item x="269"/>
        <item x="271"/>
        <item x="759"/>
        <item x="272"/>
        <item x="694"/>
        <item x="891"/>
        <item x="749"/>
        <item x="689"/>
        <item x="657"/>
        <item x="815"/>
        <item x="861"/>
        <item x="632"/>
        <item x="860"/>
        <item x="837"/>
        <item x="726"/>
        <item x="852"/>
        <item x="821"/>
        <item x="906"/>
        <item x="741"/>
        <item x="850"/>
        <item x="628"/>
        <item x="660"/>
        <item x="616"/>
        <item x="847"/>
        <item x="645"/>
        <item x="865"/>
        <item x="808"/>
        <item x="796"/>
        <item x="864"/>
        <item x="797"/>
        <item x="751"/>
        <item x="744"/>
        <item x="871"/>
        <item x="791"/>
        <item x="703"/>
        <item x="739"/>
        <item x="270"/>
        <item x="634"/>
        <item x="1051"/>
        <item x="760"/>
        <item x="753"/>
        <item x="958"/>
        <item x="792"/>
        <item x="621"/>
        <item x="716"/>
        <item x="293"/>
        <item x="275"/>
        <item x="454"/>
        <item x="1037"/>
        <item x="1038"/>
        <item x="1045"/>
        <item x="311"/>
        <item x="292"/>
        <item x="1031"/>
        <item x="289"/>
        <item x="869"/>
        <item x="952"/>
        <item x="1028"/>
        <item x="1027"/>
        <item x="1026"/>
        <item x="1039"/>
        <item x="1061"/>
        <item x="1030"/>
        <item x="1022"/>
        <item x="1024"/>
        <item x="268"/>
        <item x="1034"/>
        <item x="1042"/>
        <item x="317"/>
        <item x="1021"/>
        <item x="954"/>
        <item x="968"/>
        <item x="1033"/>
        <item x="1059"/>
        <item x="1048"/>
        <item x="1032"/>
        <item x="1020"/>
        <item x="938"/>
        <item x="934"/>
        <item x="267"/>
        <item x="936"/>
        <item x="977"/>
        <item x="1035"/>
        <item x="1047"/>
        <item x="1053"/>
        <item x="1029"/>
        <item x="925"/>
        <item x="979"/>
        <item x="297"/>
        <item x="319"/>
        <item x="941"/>
        <item x="1046"/>
        <item x="1036"/>
        <item x="976"/>
        <item x="950"/>
        <item x="1025"/>
        <item x="1049"/>
        <item x="973"/>
        <item x="929"/>
        <item x="953"/>
        <item x="970"/>
        <item x="961"/>
        <item x="927"/>
        <item x="969"/>
        <item x="1055"/>
        <item x="962"/>
        <item x="944"/>
        <item x="964"/>
        <item x="266"/>
        <item x="956"/>
        <item x="939"/>
        <item x="935"/>
        <item x="1056"/>
        <item x="957"/>
        <item x="298"/>
        <item x="277"/>
        <item x="1023"/>
        <item x="1062"/>
        <item x="1041"/>
        <item x="301"/>
        <item x="980"/>
        <item x="965"/>
        <item x="1060"/>
        <item x="1050"/>
        <item x="1063"/>
        <item x="1052"/>
        <item x="1019"/>
        <item x="940"/>
        <item x="1057"/>
        <item x="937"/>
        <item x="947"/>
        <item x="949"/>
        <item x="1044"/>
        <item x="981"/>
        <item x="930"/>
        <item x="932"/>
        <item x="1058"/>
        <item x="960"/>
        <item x="975"/>
        <item x="948"/>
        <item x="945"/>
        <item x="921"/>
        <item x="922"/>
        <item x="931"/>
        <item x="315"/>
        <item x="985"/>
        <item x="963"/>
        <item x="1054"/>
        <item x="1040"/>
        <item x="490"/>
        <item x="1043"/>
        <item x="302"/>
        <item x="926"/>
        <item x="967"/>
        <item x="978"/>
        <item x="959"/>
        <item x="943"/>
        <item x="924"/>
        <item x="971"/>
        <item x="955"/>
        <item x="972"/>
        <item x="274"/>
        <item x="300"/>
        <item x="514"/>
        <item x="287"/>
        <item x="299"/>
        <item x="321"/>
        <item x="478"/>
        <item x="318"/>
        <item x="307"/>
        <item x="497"/>
        <item x="570"/>
        <item x="519"/>
        <item x="982"/>
        <item x="472"/>
        <item x="966"/>
        <item x="507"/>
        <item x="923"/>
        <item x="533"/>
        <item x="492"/>
        <item x="524"/>
        <item x="545"/>
        <item x="291"/>
        <item x="284"/>
        <item x="942"/>
        <item x="951"/>
        <item x="552"/>
        <item x="974"/>
        <item x="933"/>
        <item x="313"/>
        <item x="997"/>
        <item x="996"/>
        <item x="546"/>
        <item x="312"/>
        <item x="294"/>
        <item x="310"/>
        <item x="306"/>
        <item x="324"/>
        <item x="278"/>
        <item x="573"/>
        <item x="535"/>
        <item x="484"/>
        <item x="469"/>
        <item x="522"/>
        <item x="555"/>
        <item x="487"/>
        <item x="505"/>
        <item x="528"/>
        <item x="468"/>
        <item x="564"/>
        <item x="984"/>
        <item x="541"/>
        <item x="946"/>
        <item x="286"/>
        <item x="283"/>
        <item x="273"/>
        <item x="354"/>
        <item x="280"/>
        <item x="282"/>
        <item x="290"/>
        <item x="303"/>
        <item x="316"/>
        <item x="323"/>
        <item x="509"/>
        <item x="495"/>
        <item x="488"/>
        <item x="983"/>
        <item x="928"/>
        <item x="489"/>
        <item x="308"/>
        <item x="325"/>
        <item x="485"/>
        <item x="288"/>
        <item x="494"/>
        <item x="499"/>
        <item x="314"/>
        <item x="295"/>
        <item x="568"/>
        <item x="486"/>
        <item x="496"/>
        <item x="365"/>
        <item x="359"/>
        <item x="320"/>
        <item x="511"/>
        <item x="341"/>
        <item x="380"/>
        <item x="304"/>
        <item x="279"/>
        <item x="344"/>
        <item x="560"/>
        <item x="357"/>
        <item x="504"/>
        <item x="510"/>
        <item x="542"/>
        <item x="483"/>
        <item x="309"/>
        <item x="367"/>
        <item x="386"/>
        <item x="276"/>
        <item x="296"/>
        <item x="305"/>
        <item x="285"/>
        <item x="340"/>
        <item x="517"/>
        <item x="281"/>
        <item x="346"/>
        <item x="352"/>
        <item x="377"/>
        <item x="373"/>
        <item x="322"/>
        <item x="371"/>
        <item x="553"/>
        <item x="471"/>
        <item x="470"/>
        <item x="537"/>
        <item x="518"/>
        <item x="382"/>
        <item x="355"/>
        <item x="384"/>
        <item x="562"/>
        <item x="512"/>
        <item x="343"/>
        <item x="498"/>
        <item x="559"/>
        <item x="333"/>
        <item x="378"/>
        <item x="381"/>
        <item x="347"/>
        <item x="375"/>
        <item x="368"/>
        <item x="362"/>
        <item x="360"/>
        <item x="342"/>
        <item x="383"/>
        <item x="348"/>
        <item x="361"/>
        <item x="500"/>
        <item x="358"/>
        <item x="473"/>
        <item x="513"/>
        <item x="475"/>
        <item x="544"/>
        <item x="364"/>
        <item x="374"/>
        <item x="501"/>
        <item x="353"/>
        <item x="369"/>
        <item x="557"/>
        <item x="508"/>
        <item x="506"/>
        <item x="563"/>
        <item x="540"/>
        <item x="334"/>
        <item x="363"/>
        <item x="336"/>
        <item x="376"/>
        <item x="366"/>
        <item x="385"/>
        <item x="351"/>
        <item x="349"/>
        <item x="345"/>
        <item x="356"/>
        <item x="388"/>
        <item x="370"/>
        <item x="531"/>
        <item x="330"/>
        <item x="379"/>
        <item x="389"/>
        <item x="523"/>
        <item x="372"/>
        <item x="481"/>
        <item x="529"/>
        <item x="335"/>
        <item x="331"/>
        <item x="332"/>
        <item x="538"/>
        <item x="572"/>
        <item x="521"/>
        <item x="539"/>
        <item x="550"/>
        <item x="515"/>
        <item x="350"/>
        <item x="387"/>
        <item x="908"/>
        <item x="909"/>
        <item x="502"/>
        <item x="554"/>
        <item x="525"/>
        <item x="477"/>
        <item x="530"/>
        <item x="482"/>
        <item x="567"/>
        <item x="916"/>
        <item x="558"/>
        <item x="547"/>
        <item x="493"/>
        <item x="551"/>
        <item x="476"/>
        <item x="561"/>
        <item x="520"/>
        <item x="565"/>
        <item x="913"/>
        <item x="917"/>
        <item x="534"/>
        <item x="503"/>
        <item x="571"/>
        <item x="549"/>
        <item x="474"/>
        <item x="911"/>
        <item x="915"/>
        <item x="536"/>
        <item x="532"/>
        <item x="479"/>
        <item x="527"/>
        <item x="569"/>
        <item x="918"/>
        <item x="491"/>
        <item x="480"/>
        <item x="566"/>
        <item x="920"/>
        <item x="516"/>
        <item x="914"/>
        <item x="543"/>
        <item x="548"/>
        <item x="556"/>
        <item x="919"/>
        <item x="526"/>
        <item x="912"/>
        <item x="910"/>
        <item x="230"/>
        <item x="232"/>
        <item x="231"/>
        <item x="233"/>
        <item x="237"/>
        <item x="234"/>
        <item x="236"/>
        <item x="235"/>
        <item x="229"/>
        <item x="228"/>
        <item x="226"/>
        <item x="227"/>
        <item x="1170"/>
        <item x="1146"/>
        <item x="1179"/>
        <item x="1149"/>
        <item x="1193"/>
        <item x="1155"/>
        <item x="1192"/>
        <item x="1173"/>
        <item x="1150"/>
        <item x="1151"/>
        <item x="1147"/>
        <item x="1194"/>
        <item x="1183"/>
        <item x="1175"/>
        <item x="1177"/>
        <item x="1154"/>
        <item x="1171"/>
        <item x="1174"/>
        <item x="1187"/>
        <item x="1176"/>
        <item x="1186"/>
        <item x="1185"/>
        <item x="1157"/>
        <item x="1129"/>
        <item x="1178"/>
        <item x="1143"/>
        <item x="1188"/>
        <item x="1144"/>
        <item x="1180"/>
        <item x="1172"/>
        <item x="1152"/>
        <item x="1142"/>
        <item x="1161"/>
        <item x="1159"/>
        <item x="1158"/>
        <item x="1141"/>
        <item x="1138"/>
        <item x="1134"/>
        <item x="1128"/>
        <item x="1156"/>
        <item x="1184"/>
        <item x="1133"/>
        <item x="1131"/>
        <item x="1135"/>
        <item x="1168"/>
        <item x="1153"/>
        <item x="1160"/>
        <item x="1166"/>
        <item x="1137"/>
        <item x="1127"/>
        <item x="1182"/>
        <item x="1165"/>
        <item x="1163"/>
        <item x="1167"/>
        <item x="1139"/>
        <item x="1181"/>
        <item x="1190"/>
        <item x="1191"/>
        <item x="1189"/>
        <item x="1164"/>
        <item x="1169"/>
        <item x="1125"/>
        <item x="1162"/>
        <item x="1126"/>
        <item x="1092"/>
        <item x="1113"/>
        <item x="1087"/>
        <item x="1115"/>
        <item x="1123"/>
        <item x="1075"/>
        <item x="1136"/>
        <item x="1145"/>
        <item x="1076"/>
        <item x="1078"/>
        <item x="1117"/>
        <item x="1119"/>
        <item x="1094"/>
        <item x="1107"/>
        <item x="1100"/>
        <item x="1111"/>
        <item x="1080"/>
        <item x="1086"/>
        <item x="1099"/>
        <item x="1093"/>
        <item x="1098"/>
        <item x="1077"/>
        <item x="1114"/>
        <item x="1083"/>
        <item x="1103"/>
        <item x="1081"/>
        <item x="1105"/>
        <item x="1102"/>
        <item x="1096"/>
        <item x="1091"/>
        <item x="1122"/>
        <item x="1118"/>
        <item x="1148"/>
        <item x="1097"/>
        <item x="1090"/>
        <item x="1109"/>
        <item x="1116"/>
        <item x="1140"/>
        <item x="1108"/>
        <item x="1106"/>
        <item x="1088"/>
        <item x="1121"/>
        <item x="1101"/>
        <item x="1104"/>
        <item x="1124"/>
        <item x="1082"/>
        <item x="1130"/>
        <item x="1112"/>
        <item x="1089"/>
        <item x="1079"/>
        <item x="1084"/>
        <item x="1132"/>
        <item x="1120"/>
        <item x="1110"/>
        <item x="1085"/>
        <item x="1095"/>
        <item x="34"/>
        <item x="1195"/>
        <item t="default"/>
      </items>
    </pivotField>
    <pivotField showAll="0">
      <items count="60">
        <item x="0"/>
        <item x="19"/>
        <item x="50"/>
        <item x="20"/>
        <item x="15"/>
        <item x="21"/>
        <item x="22"/>
        <item x="1"/>
        <item x="23"/>
        <item x="51"/>
        <item x="24"/>
        <item x="2"/>
        <item x="16"/>
        <item x="25"/>
        <item x="3"/>
        <item x="52"/>
        <item x="4"/>
        <item x="5"/>
        <item x="26"/>
        <item x="17"/>
        <item x="6"/>
        <item x="27"/>
        <item x="28"/>
        <item x="29"/>
        <item x="7"/>
        <item x="30"/>
        <item x="53"/>
        <item x="31"/>
        <item x="54"/>
        <item x="32"/>
        <item x="33"/>
        <item x="55"/>
        <item x="56"/>
        <item x="34"/>
        <item x="35"/>
        <item x="8"/>
        <item x="36"/>
        <item x="9"/>
        <item x="10"/>
        <item x="37"/>
        <item x="38"/>
        <item x="39"/>
        <item x="11"/>
        <item x="12"/>
        <item x="13"/>
        <item x="14"/>
        <item x="40"/>
        <item x="41"/>
        <item x="57"/>
        <item x="18"/>
        <item x="42"/>
        <item x="43"/>
        <item x="44"/>
        <item x="45"/>
        <item x="46"/>
        <item x="47"/>
        <item x="48"/>
        <item x="49"/>
        <item x="58"/>
        <item t="default"/>
      </items>
    </pivotField>
    <pivotField axis="axisRow" showAll="0" sortType="descending">
      <items count="5">
        <item x="2"/>
        <item x="0"/>
        <item x="1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Dollar Sal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91070E-2EA4-5A4F-829F-CD1A780A8634}" name="PivotTable2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unty">
  <location ref="A3:B66" firstHeaderRow="1" firstDataRow="1" firstDataCol="1"/>
  <pivotFields count="7">
    <pivotField showAll="0"/>
    <pivotField dataField="1"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axis="axisRow" showAll="0" sortType="descending">
      <items count="59">
        <item x="0"/>
        <item x="19"/>
        <item x="50"/>
        <item x="20"/>
        <item x="15"/>
        <item x="21"/>
        <item x="22"/>
        <item x="1"/>
        <item x="23"/>
        <item x="51"/>
        <item x="24"/>
        <item x="2"/>
        <item x="16"/>
        <item x="25"/>
        <item x="3"/>
        <item x="52"/>
        <item x="4"/>
        <item x="5"/>
        <item x="26"/>
        <item x="17"/>
        <item x="6"/>
        <item x="27"/>
        <item x="28"/>
        <item x="29"/>
        <item x="7"/>
        <item x="30"/>
        <item x="53"/>
        <item x="31"/>
        <item x="54"/>
        <item x="32"/>
        <item x="33"/>
        <item x="55"/>
        <item x="56"/>
        <item x="34"/>
        <item x="35"/>
        <item x="8"/>
        <item x="36"/>
        <item x="9"/>
        <item x="10"/>
        <item x="37"/>
        <item x="38"/>
        <item x="39"/>
        <item x="11"/>
        <item x="12"/>
        <item x="13"/>
        <item x="14"/>
        <item x="40"/>
        <item x="41"/>
        <item x="57"/>
        <item x="18"/>
        <item x="42"/>
        <item x="43"/>
        <item x="44"/>
        <item x="45"/>
        <item x="46"/>
        <item x="47"/>
        <item x="48"/>
        <item x="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2">
    <field x="2"/>
    <field x="5"/>
  </rowFields>
  <rowItems count="63">
    <i>
      <x/>
    </i>
    <i r="1">
      <x v="28"/>
    </i>
    <i r="1">
      <x v="48"/>
    </i>
    <i r="1">
      <x v="32"/>
    </i>
    <i r="1">
      <x v="26"/>
    </i>
    <i r="1">
      <x v="31"/>
    </i>
    <i r="1">
      <x v="2"/>
    </i>
    <i r="1">
      <x v="15"/>
    </i>
    <i r="1">
      <x v="9"/>
    </i>
    <i>
      <x v="1"/>
    </i>
    <i r="1">
      <x v="46"/>
    </i>
    <i r="1">
      <x v="5"/>
    </i>
    <i r="1">
      <x v="56"/>
    </i>
    <i r="1">
      <x v="41"/>
    </i>
    <i r="1">
      <x v="25"/>
    </i>
    <i r="1">
      <x v="34"/>
    </i>
    <i r="1">
      <x v="29"/>
    </i>
    <i r="1">
      <x v="53"/>
    </i>
    <i r="1">
      <x v="21"/>
    </i>
    <i r="1">
      <x v="30"/>
    </i>
    <i r="1">
      <x v="13"/>
    </i>
    <i r="1">
      <x v="1"/>
    </i>
    <i r="1">
      <x v="22"/>
    </i>
    <i r="1">
      <x v="3"/>
    </i>
    <i r="1">
      <x v="10"/>
    </i>
    <i r="1">
      <x v="55"/>
    </i>
    <i r="1">
      <x v="39"/>
    </i>
    <i r="1">
      <x v="54"/>
    </i>
    <i r="1">
      <x v="23"/>
    </i>
    <i r="1">
      <x v="36"/>
    </i>
    <i r="1">
      <x v="40"/>
    </i>
    <i r="1">
      <x v="47"/>
    </i>
    <i r="1">
      <x v="18"/>
    </i>
    <i r="1">
      <x v="33"/>
    </i>
    <i r="1">
      <x v="57"/>
    </i>
    <i r="1">
      <x v="50"/>
    </i>
    <i r="1">
      <x v="8"/>
    </i>
    <i r="1">
      <x v="27"/>
    </i>
    <i r="1">
      <x v="51"/>
    </i>
    <i r="1">
      <x v="6"/>
    </i>
    <i r="1">
      <x v="52"/>
    </i>
    <i>
      <x v="2"/>
    </i>
    <i r="1">
      <x v="20"/>
    </i>
    <i r="1">
      <x/>
    </i>
    <i r="1">
      <x v="16"/>
    </i>
    <i r="1">
      <x v="38"/>
    </i>
    <i r="1">
      <x v="42"/>
    </i>
    <i r="1">
      <x v="11"/>
    </i>
    <i r="1">
      <x v="45"/>
    </i>
    <i r="1">
      <x v="24"/>
    </i>
    <i r="1">
      <x v="14"/>
    </i>
    <i r="1">
      <x v="37"/>
    </i>
    <i r="1">
      <x v="7"/>
    </i>
    <i r="1">
      <x v="43"/>
    </i>
    <i r="1">
      <x v="17"/>
    </i>
    <i r="1">
      <x v="44"/>
    </i>
    <i r="1">
      <x v="35"/>
    </i>
    <i>
      <x v="3"/>
    </i>
    <i r="1">
      <x v="4"/>
    </i>
    <i r="1">
      <x v="12"/>
    </i>
    <i r="1">
      <x v="49"/>
    </i>
    <i r="1">
      <x v="19"/>
    </i>
    <i t="grand">
      <x/>
    </i>
  </rowItems>
  <colItems count="1">
    <i/>
  </colItems>
  <dataFields count="1">
    <dataField name="Average of Dollar Sales" fld="1" subtotal="average" baseField="0" baseItem="0" numFmtId="44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2" type="button" dataOnly="0" labelOnly="1" outline="0" axis="axisRow" fieldPosition="0"/>
    </format>
    <format dxfId="6">
      <pivotArea dataOnly="0" labelOnly="1" fieldPosition="0">
        <references count="1">
          <reference field="2" count="0"/>
        </references>
      </pivotArea>
    </format>
    <format dxfId="5">
      <pivotArea dataOnly="0" labelOnly="1" grandRow="1" outline="0" fieldPosition="0"/>
    </format>
    <format dxfId="4">
      <pivotArea dataOnly="0" labelOnly="1" fieldPosition="0">
        <references count="2">
          <reference field="2" count="1" selected="0">
            <x v="0"/>
          </reference>
          <reference field="5" count="8">
            <x v="2"/>
            <x v="9"/>
            <x v="15"/>
            <x v="26"/>
            <x v="28"/>
            <x v="31"/>
            <x v="32"/>
            <x v="48"/>
          </reference>
        </references>
      </pivotArea>
    </format>
    <format dxfId="3">
      <pivotArea dataOnly="0" labelOnly="1" fieldPosition="0">
        <references count="2">
          <reference field="2" count="1" selected="0">
            <x v="1"/>
          </reference>
          <reference field="5" count="31">
            <x v="1"/>
            <x v="3"/>
            <x v="5"/>
            <x v="6"/>
            <x v="8"/>
            <x v="10"/>
            <x v="13"/>
            <x v="18"/>
            <x v="21"/>
            <x v="22"/>
            <x v="23"/>
            <x v="25"/>
            <x v="27"/>
            <x v="29"/>
            <x v="30"/>
            <x v="33"/>
            <x v="34"/>
            <x v="36"/>
            <x v="39"/>
            <x v="40"/>
            <x v="41"/>
            <x v="46"/>
            <x v="47"/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2">
      <pivotArea dataOnly="0" labelOnly="1" fieldPosition="0">
        <references count="2">
          <reference field="2" count="1" selected="0">
            <x v="2"/>
          </reference>
          <reference field="5" count="15">
            <x v="0"/>
            <x v="7"/>
            <x v="11"/>
            <x v="14"/>
            <x v="16"/>
            <x v="17"/>
            <x v="20"/>
            <x v="24"/>
            <x v="35"/>
            <x v="37"/>
            <x v="38"/>
            <x v="42"/>
            <x v="43"/>
            <x v="44"/>
            <x v="45"/>
          </reference>
        </references>
      </pivotArea>
    </format>
    <format dxfId="1">
      <pivotArea dataOnly="0" labelOnly="1" fieldPosition="0">
        <references count="2">
          <reference field="2" count="1" selected="0">
            <x v="3"/>
          </reference>
          <reference field="5" count="4">
            <x v="4"/>
            <x v="12"/>
            <x v="19"/>
            <x v="49"/>
          </reference>
        </references>
      </pivotArea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A05C6D-EDD8-F34C-B883-A6E153C04010}" name="PivotTable3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unty">
  <location ref="A3:B8" firstHeaderRow="1" firstDataRow="1" firstDataCol="1"/>
  <pivotFields count="9">
    <pivotField showAll="0"/>
    <pivotField showAll="0">
      <items count="1209">
        <item x="228"/>
        <item x="1134"/>
        <item x="227"/>
        <item x="191"/>
        <item x="1137"/>
        <item x="64"/>
        <item x="11"/>
        <item x="98"/>
        <item x="623"/>
        <item x="197"/>
        <item x="192"/>
        <item x="196"/>
        <item x="83"/>
        <item x="382"/>
        <item x="1008"/>
        <item x="1005"/>
        <item x="938"/>
        <item x="3"/>
        <item x="13"/>
        <item x="193"/>
        <item x="104"/>
        <item x="576"/>
        <item x="194"/>
        <item x="195"/>
        <item x="579"/>
        <item x="276"/>
        <item x="937"/>
        <item x="480"/>
        <item x="279"/>
        <item x="934"/>
        <item x="915"/>
        <item x="1079"/>
        <item x="324"/>
        <item x="1004"/>
        <item x="998"/>
        <item x="34"/>
        <item x="614"/>
        <item x="395"/>
        <item x="995"/>
        <item x="386"/>
        <item x="985"/>
        <item x="232"/>
        <item x="990"/>
        <item x="1010"/>
        <item x="565"/>
        <item x="1155"/>
        <item x="471"/>
        <item x="994"/>
        <item x="1190"/>
        <item x="338"/>
        <item x="389"/>
        <item x="992"/>
        <item x="1135"/>
        <item x="577"/>
        <item x="619"/>
        <item x="617"/>
        <item x="910"/>
        <item x="432"/>
        <item x="225"/>
        <item x="900"/>
        <item x="1139"/>
        <item x="880"/>
        <item x="1136"/>
        <item x="1153"/>
        <item x="1007"/>
        <item x="442"/>
        <item x="580"/>
        <item x="563"/>
        <item x="385"/>
        <item x="175"/>
        <item x="1174"/>
        <item x="571"/>
        <item x="443"/>
        <item x="881"/>
        <item x="129"/>
        <item x="929"/>
        <item x="1102"/>
        <item x="384"/>
        <item x="993"/>
        <item x="616"/>
        <item x="388"/>
        <item x="569"/>
        <item x="435"/>
        <item x="1031"/>
        <item x="326"/>
        <item x="912"/>
        <item x="1138"/>
        <item x="245"/>
        <item x="898"/>
        <item x="615"/>
        <item x="567"/>
        <item x="893"/>
        <item x="246"/>
        <item x="270"/>
        <item x="913"/>
        <item x="988"/>
        <item x="67"/>
        <item x="1133"/>
        <item x="909"/>
        <item x="383"/>
        <item x="897"/>
        <item x="40"/>
        <item x="444"/>
        <item x="381"/>
        <item x="1032"/>
        <item x="438"/>
        <item x="221"/>
        <item x="890"/>
        <item x="936"/>
        <item x="904"/>
        <item x="907"/>
        <item x="886"/>
        <item x="387"/>
        <item x="986"/>
        <item x="258"/>
        <item x="222"/>
        <item x="892"/>
        <item x="469"/>
        <item x="903"/>
        <item x="906"/>
        <item x="322"/>
        <item x="28"/>
        <item x="935"/>
        <item x="223"/>
        <item x="643"/>
        <item x="328"/>
        <item x="651"/>
        <item x="574"/>
        <item x="879"/>
        <item x="895"/>
        <item x="321"/>
        <item x="572"/>
        <item x="908"/>
        <item x="50"/>
        <item x="52"/>
        <item x="1078"/>
        <item x="570"/>
        <item x="1039"/>
        <item x="896"/>
        <item x="1003"/>
        <item x="578"/>
        <item x="989"/>
        <item x="885"/>
        <item x="1009"/>
        <item x="996"/>
        <item x="437"/>
        <item x="566"/>
        <item x="894"/>
        <item x="916"/>
        <item x="568"/>
        <item x="642"/>
        <item x="564"/>
        <item x="391"/>
        <item x="621"/>
        <item x="1175"/>
        <item x="741"/>
        <item x="905"/>
        <item x="1030"/>
        <item x="1154"/>
        <item x="81"/>
        <item x="882"/>
        <item x="327"/>
        <item x="436"/>
        <item x="226"/>
        <item x="434"/>
        <item x="1088"/>
        <item x="1033"/>
        <item x="1077"/>
        <item x="488"/>
        <item x="668"/>
        <item x="224"/>
        <item x="911"/>
        <item x="101"/>
        <item x="901"/>
        <item x="618"/>
        <item x="889"/>
        <item x="441"/>
        <item x="914"/>
        <item x="1142"/>
        <item x="1115"/>
        <item x="573"/>
        <item x="991"/>
        <item x="392"/>
        <item x="562"/>
        <item x="464"/>
        <item x="259"/>
        <item x="655"/>
        <item x="677"/>
        <item x="585"/>
        <item x="234"/>
        <item x="85"/>
        <item x="654"/>
        <item x="390"/>
        <item x="1012"/>
        <item x="474"/>
        <item x="457"/>
        <item x="821"/>
        <item x="62"/>
        <item x="997"/>
        <item x="917"/>
        <item x="884"/>
        <item x="478"/>
        <item x="675"/>
        <item x="1075"/>
        <item x="489"/>
        <item x="455"/>
        <item x="1041"/>
        <item x="332"/>
        <item x="805"/>
        <item x="179"/>
        <item x="433"/>
        <item x="220"/>
        <item x="286"/>
        <item x="60"/>
        <item x="526"/>
        <item x="667"/>
        <item x="878"/>
        <item x="670"/>
        <item x="329"/>
        <item x="27"/>
        <item x="138"/>
        <item x="458"/>
        <item x="1002"/>
        <item x="51"/>
        <item x="891"/>
        <item x="1044"/>
        <item x="1063"/>
        <item x="335"/>
        <item x="584"/>
        <item x="515"/>
        <item x="656"/>
        <item x="664"/>
        <item x="575"/>
        <item x="899"/>
        <item x="337"/>
        <item x="887"/>
        <item x="902"/>
        <item x="456"/>
        <item x="662"/>
        <item x="261"/>
        <item x="653"/>
        <item x="634"/>
        <item x="529"/>
        <item x="760"/>
        <item x="1029"/>
        <item x="1034"/>
        <item x="1164"/>
        <item x="285"/>
        <item x="627"/>
        <item x="984"/>
        <item x="707"/>
        <item x="660"/>
        <item x="630"/>
        <item x="582"/>
        <item x="981"/>
        <item x="484"/>
        <item x="76"/>
        <item x="378"/>
        <item x="497"/>
        <item x="170"/>
        <item x="5"/>
        <item x="956"/>
        <item x="275"/>
        <item x="491"/>
        <item x="1000"/>
        <item x="918"/>
        <item x="581"/>
        <item x="178"/>
        <item x="507"/>
        <item x="492"/>
        <item x="657"/>
        <item x="287"/>
        <item x="84"/>
        <item x="792"/>
        <item x="1076"/>
        <item x="176"/>
        <item x="685"/>
        <item x="132"/>
        <item x="663"/>
        <item x="777"/>
        <item x="331"/>
        <item x="459"/>
        <item x="930"/>
        <item x="789"/>
        <item x="888"/>
        <item x="682"/>
        <item x="513"/>
        <item x="1200"/>
        <item x="942"/>
        <item x="1089"/>
        <item x="398"/>
        <item x="959"/>
        <item x="678"/>
        <item x="439"/>
        <item x="632"/>
        <item x="712"/>
        <item x="658"/>
        <item x="1040"/>
        <item x="1165"/>
        <item x="260"/>
        <item x="631"/>
        <item x="622"/>
        <item x="506"/>
        <item x="269"/>
        <item x="482"/>
        <item x="816"/>
        <item x="490"/>
        <item x="944"/>
        <item x="1042"/>
        <item x="698"/>
        <item x="692"/>
        <item x="696"/>
        <item x="797"/>
        <item x="786"/>
        <item x="798"/>
        <item x="669"/>
        <item x="628"/>
        <item x="41"/>
        <item x="665"/>
        <item x="1035"/>
        <item x="440"/>
        <item x="785"/>
        <item x="347"/>
        <item x="475"/>
        <item x="598"/>
        <item x="271"/>
        <item x="796"/>
        <item x="629"/>
        <item x="932"/>
        <item x="511"/>
        <item x="300"/>
        <item x="807"/>
        <item x="417"/>
        <item x="30"/>
        <item x="1126"/>
        <item x="210"/>
        <item x="75"/>
        <item x="323"/>
        <item x="943"/>
        <item x="487"/>
        <item x="404"/>
        <item x="757"/>
        <item x="272"/>
        <item x="1056"/>
        <item x="402"/>
        <item x="745"/>
        <item x="343"/>
        <item x="742"/>
        <item x="514"/>
        <item x="278"/>
        <item x="1151"/>
        <item x="802"/>
        <item x="722"/>
        <item x="1072"/>
        <item x="501"/>
        <item x="281"/>
        <item x="54"/>
        <item x="397"/>
        <item x="124"/>
        <item x="31"/>
        <item x="1146"/>
        <item x="987"/>
        <item x="206"/>
        <item x="744"/>
        <item x="477"/>
        <item x="107"/>
        <item x="139"/>
        <item x="235"/>
        <item x="20"/>
        <item x="1083"/>
        <item x="149"/>
        <item x="1168"/>
        <item x="706"/>
        <item x="661"/>
        <item x="945"/>
        <item x="636"/>
        <item x="1143"/>
        <item x="951"/>
        <item x="883"/>
        <item x="666"/>
        <item x="377"/>
        <item x="1052"/>
        <item x="493"/>
        <item x="212"/>
        <item x="638"/>
        <item x="1116"/>
        <item x="301"/>
        <item x="325"/>
        <item x="277"/>
        <item x="71"/>
        <item x="626"/>
        <item x="508"/>
        <item x="1191"/>
        <item x="1197"/>
        <item x="674"/>
        <item x="820"/>
        <item x="680"/>
        <item x="485"/>
        <item x="736"/>
        <item x="393"/>
        <item x="248"/>
        <item x="357"/>
        <item x="187"/>
        <item x="794"/>
        <item x="150"/>
        <item x="752"/>
        <item x="1014"/>
        <item x="42"/>
        <item x="274"/>
        <item x="528"/>
        <item x="697"/>
        <item x="725"/>
        <item x="688"/>
        <item x="709"/>
        <item x="49"/>
        <item x="346"/>
        <item x="780"/>
        <item x="91"/>
        <item x="359"/>
        <item x="659"/>
        <item x="747"/>
        <item x="466"/>
        <item x="788"/>
        <item x="8"/>
        <item x="141"/>
        <item x="102"/>
        <item x="403"/>
        <item x="1127"/>
        <item x="774"/>
        <item x="724"/>
        <item x="852"/>
        <item x="695"/>
        <item x="974"/>
        <item x="22"/>
        <item x="247"/>
        <item x="1019"/>
        <item x="702"/>
        <item x="941"/>
        <item x="854"/>
        <item x="999"/>
        <item x="588"/>
        <item x="1167"/>
        <item x="950"/>
        <item x="746"/>
        <item x="683"/>
        <item x="345"/>
        <item x="288"/>
        <item x="962"/>
        <item x="773"/>
        <item x="106"/>
        <item x="496"/>
        <item x="294"/>
        <item x="1113"/>
        <item x="649"/>
        <item x="611"/>
        <item x="116"/>
        <item x="348"/>
        <item x="177"/>
        <item x="758"/>
        <item x="61"/>
        <item x="687"/>
        <item x="1046"/>
        <item x="703"/>
        <item x="148"/>
        <item x="1178"/>
        <item x="801"/>
        <item x="708"/>
        <item x="633"/>
        <item x="10"/>
        <item x="495"/>
        <item x="610"/>
        <item x="691"/>
        <item x="783"/>
        <item x="237"/>
        <item x="498"/>
        <item x="95"/>
        <item x="396"/>
        <item x="635"/>
        <item x="1049"/>
        <item x="211"/>
        <item x="244"/>
        <item x="399"/>
        <item x="806"/>
        <item x="952"/>
        <item x="47"/>
        <item x="1059"/>
        <item x="114"/>
        <item x="1144"/>
        <item x="1055"/>
        <item x="977"/>
        <item x="1036"/>
        <item x="375"/>
        <item x="184"/>
        <item x="1112"/>
        <item x="70"/>
        <item x="739"/>
        <item x="63"/>
        <item x="672"/>
        <item x="161"/>
        <item x="1145"/>
        <item x="23"/>
        <item x="486"/>
        <item x="163"/>
        <item x="189"/>
        <item x="183"/>
        <item x="1148"/>
        <item x="748"/>
        <item x="762"/>
        <item x="153"/>
        <item x="693"/>
        <item x="356"/>
        <item x="753"/>
        <item x="1043"/>
        <item x="1173"/>
        <item x="948"/>
        <item x="860"/>
        <item x="1048"/>
        <item x="1092"/>
        <item x="299"/>
        <item x="765"/>
        <item x="251"/>
        <item x="803"/>
        <item x="586"/>
        <item x="646"/>
        <item x="645"/>
        <item x="140"/>
        <item x="44"/>
        <item x="1093"/>
        <item x="1096"/>
        <item x="713"/>
        <item x="46"/>
        <item x="109"/>
        <item x="342"/>
        <item x="1013"/>
        <item x="1057"/>
        <item x="394"/>
        <item x="964"/>
        <item x="594"/>
        <item x="233"/>
        <item x="1058"/>
        <item x="520"/>
        <item x="718"/>
        <item x="428"/>
        <item x="689"/>
        <item x="249"/>
        <item x="112"/>
        <item x="799"/>
        <item x="620"/>
        <item x="720"/>
        <item x="56"/>
        <item x="790"/>
        <item x="7"/>
        <item x="676"/>
        <item x="483"/>
        <item x="111"/>
        <item x="413"/>
        <item x="364"/>
        <item x="15"/>
        <item x="6"/>
        <item x="673"/>
        <item x="583"/>
        <item x="650"/>
        <item x="867"/>
        <item x="1016"/>
        <item x="625"/>
        <item x="476"/>
        <item x="213"/>
        <item x="719"/>
        <item x="717"/>
        <item x="479"/>
        <item x="517"/>
        <item x="1195"/>
        <item x="1117"/>
        <item x="778"/>
        <item x="1169"/>
        <item x="59"/>
        <item x="1061"/>
        <item x="749"/>
        <item x="125"/>
        <item x="781"/>
        <item x="771"/>
        <item x="705"/>
        <item x="36"/>
        <item x="1082"/>
        <item x="637"/>
        <item x="361"/>
        <item x="863"/>
        <item x="18"/>
        <item x="715"/>
        <item x="761"/>
        <item x="735"/>
        <item x="293"/>
        <item x="710"/>
        <item x="400"/>
        <item x="1047"/>
        <item x="143"/>
        <item x="165"/>
        <item x="1177"/>
        <item x="919"/>
        <item x="186"/>
        <item x="590"/>
        <item x="933"/>
        <item x="96"/>
        <item x="939"/>
        <item x="767"/>
        <item x="700"/>
        <item x="958"/>
        <item x="754"/>
        <item x="55"/>
        <item x="716"/>
        <item x="866"/>
        <item x="1166"/>
        <item x="1045"/>
        <item x="723"/>
        <item x="1119"/>
        <item x="595"/>
        <item x="686"/>
        <item x="239"/>
        <item x="344"/>
        <item x="503"/>
        <item x="166"/>
        <item x="280"/>
        <item x="144"/>
        <item x="587"/>
        <item x="409"/>
        <item x="694"/>
        <item x="168"/>
        <item x="1192"/>
        <item x="979"/>
        <item x="68"/>
        <item x="862"/>
        <item x="45"/>
        <item x="589"/>
        <item x="318"/>
        <item x="145"/>
        <item x="171"/>
        <item x="624"/>
        <item x="711"/>
        <item x="414"/>
        <item x="502"/>
        <item x="77"/>
        <item x="123"/>
        <item x="19"/>
        <item x="737"/>
        <item x="121"/>
        <item x="17"/>
        <item x="465"/>
        <item x="162"/>
        <item x="1020"/>
        <item x="73"/>
        <item x="554"/>
        <item x="519"/>
        <item x="115"/>
        <item x="134"/>
        <item x="43"/>
        <item x="273"/>
        <item x="376"/>
        <item x="336"/>
        <item x="947"/>
        <item x="1037"/>
        <item x="108"/>
        <item x="1158"/>
        <item x="1090"/>
        <item x="750"/>
        <item x="284"/>
        <item x="701"/>
        <item x="1006"/>
        <item x="282"/>
        <item x="9"/>
        <item x="334"/>
        <item x="714"/>
        <item x="117"/>
        <item x="607"/>
        <item x="1152"/>
        <item x="481"/>
        <item x="418"/>
        <item x="89"/>
        <item x="296"/>
        <item x="853"/>
        <item x="110"/>
        <item x="283"/>
        <item x="512"/>
        <item x="531"/>
        <item x="88"/>
        <item x="721"/>
        <item x="410"/>
        <item x="1062"/>
        <item x="953"/>
        <item x="800"/>
        <item x="804"/>
        <item x="530"/>
        <item x="641"/>
        <item x="1201"/>
        <item x="551"/>
        <item x="524"/>
        <item x="784"/>
        <item x="536"/>
        <item x="743"/>
        <item x="201"/>
        <item x="1107"/>
        <item x="859"/>
        <item x="949"/>
        <item x="113"/>
        <item x="640"/>
        <item x="1080"/>
        <item x="921"/>
        <item x="185"/>
        <item x="537"/>
        <item x="252"/>
        <item x="268"/>
        <item x="173"/>
        <item x="316"/>
        <item x="671"/>
        <item x="1094"/>
        <item x="734"/>
        <item x="341"/>
        <item x="131"/>
        <item x="65"/>
        <item x="782"/>
        <item x="538"/>
        <item x="779"/>
        <item x="33"/>
        <item x="751"/>
        <item x="1141"/>
        <item x="1098"/>
        <item x="759"/>
        <item x="86"/>
        <item x="558"/>
        <item x="207"/>
        <item x="309"/>
        <item x="130"/>
        <item x="817"/>
        <item x="460"/>
        <item x="401"/>
        <item x="412"/>
        <item x="648"/>
        <item x="1171"/>
        <item x="768"/>
        <item x="188"/>
        <item x="1095"/>
        <item x="818"/>
        <item x="1176"/>
        <item x="1105"/>
        <item x="815"/>
        <item x="200"/>
        <item x="1050"/>
        <item x="609"/>
        <item x="147"/>
        <item x="1183"/>
        <item x="770"/>
        <item x="209"/>
        <item x="793"/>
        <item x="1132"/>
        <item x="871"/>
        <item x="980"/>
        <item x="1118"/>
        <item x="120"/>
        <item x="4"/>
        <item x="105"/>
        <item x="766"/>
        <item x="560"/>
        <item x="208"/>
        <item x="791"/>
        <item x="523"/>
        <item x="90"/>
        <item x="978"/>
        <item x="103"/>
        <item x="470"/>
        <item x="78"/>
        <item x="253"/>
        <item x="1128"/>
        <item x="126"/>
        <item x="25"/>
        <item x="1156"/>
        <item x="1194"/>
        <item x="349"/>
        <item x="500"/>
        <item x="362"/>
        <item x="553"/>
        <item x="202"/>
        <item x="355"/>
        <item x="1097"/>
        <item x="1150"/>
        <item x="133"/>
        <item x="1018"/>
        <item x="156"/>
        <item x="954"/>
        <item x="795"/>
        <item x="1101"/>
        <item x="72"/>
        <item x="740"/>
        <item x="127"/>
        <item x="24"/>
        <item x="1188"/>
        <item x="169"/>
        <item x="704"/>
        <item x="1084"/>
        <item x="1038"/>
        <item x="317"/>
        <item x="1028"/>
        <item x="97"/>
        <item x="1106"/>
        <item x="539"/>
        <item x="1054"/>
        <item x="681"/>
        <item x="1205"/>
        <item x="174"/>
        <item x="380"/>
        <item x="874"/>
        <item x="240"/>
        <item x="1157"/>
        <item x="547"/>
        <item x="155"/>
        <item x="541"/>
        <item x="1011"/>
        <item x="769"/>
        <item x="1060"/>
        <item x="304"/>
        <item x="855"/>
        <item x="851"/>
        <item x="1081"/>
        <item x="218"/>
        <item x="872"/>
        <item x="250"/>
        <item x="333"/>
        <item x="599"/>
        <item x="738"/>
        <item x="360"/>
        <item x="154"/>
        <item x="172"/>
        <item x="963"/>
        <item x="775"/>
        <item x="1131"/>
        <item x="810"/>
        <item x="1203"/>
        <item x="297"/>
        <item x="87"/>
        <item x="875"/>
        <item x="1111"/>
        <item x="755"/>
        <item x="561"/>
        <item x="808"/>
        <item x="699"/>
        <item x="119"/>
        <item x="1051"/>
        <item x="190"/>
        <item x="787"/>
        <item x="1129"/>
        <item x="57"/>
        <item x="729"/>
        <item x="976"/>
        <item x="728"/>
        <item x="320"/>
        <item x="164"/>
        <item x="16"/>
        <item x="732"/>
        <item x="1025"/>
        <item x="257"/>
        <item x="21"/>
        <item x="814"/>
        <item x="2"/>
        <item x="405"/>
        <item x="1091"/>
        <item x="552"/>
        <item x="415"/>
        <item x="82"/>
        <item x="38"/>
        <item x="14"/>
        <item x="425"/>
        <item x="310"/>
        <item x="289"/>
        <item x="1196"/>
        <item x="856"/>
        <item x="467"/>
        <item x="32"/>
        <item x="236"/>
        <item x="849"/>
        <item x="596"/>
        <item x="968"/>
        <item x="865"/>
        <item x="1193"/>
        <item x="136"/>
        <item x="499"/>
        <item x="358"/>
        <item x="450"/>
        <item x="679"/>
        <item x="181"/>
        <item x="684"/>
        <item x="205"/>
        <item x="830"/>
        <item x="160"/>
        <item x="151"/>
        <item x="142"/>
        <item x="1053"/>
        <item x="74"/>
        <item x="861"/>
        <item x="647"/>
        <item x="199"/>
        <item x="521"/>
        <item x="427"/>
        <item x="857"/>
        <item x="809"/>
        <item x="873"/>
        <item x="12"/>
        <item x="833"/>
        <item x="262"/>
        <item x="522"/>
        <item x="776"/>
        <item x="122"/>
        <item x="180"/>
        <item x="53"/>
        <item x="128"/>
        <item x="644"/>
        <item x="927"/>
        <item x="966"/>
        <item x="811"/>
        <item x="94"/>
        <item x="505"/>
        <item x="982"/>
        <item x="93"/>
        <item x="0"/>
        <item x="307"/>
        <item x="431"/>
        <item x="1186"/>
        <item x="727"/>
        <item x="983"/>
        <item x="66"/>
        <item x="461"/>
        <item x="546"/>
        <item x="339"/>
        <item x="877"/>
        <item x="597"/>
        <item x="1182"/>
        <item x="407"/>
        <item x="1103"/>
        <item x="1180"/>
        <item x="238"/>
        <item x="1172"/>
        <item x="1070"/>
        <item x="870"/>
        <item x="527"/>
        <item x="1086"/>
        <item x="509"/>
        <item x="1202"/>
        <item x="1015"/>
        <item x="518"/>
        <item x="1104"/>
        <item x="542"/>
        <item x="601"/>
        <item x="159"/>
        <item x="1179"/>
        <item x="295"/>
        <item x="1114"/>
        <item x="80"/>
        <item x="494"/>
        <item x="1163"/>
        <item x="592"/>
        <item x="613"/>
        <item x="516"/>
        <item x="608"/>
        <item x="843"/>
        <item x="829"/>
        <item x="1162"/>
        <item x="214"/>
        <item x="559"/>
        <item x="242"/>
        <item x="957"/>
        <item x="975"/>
        <item x="1109"/>
        <item x="955"/>
        <item x="1026"/>
        <item x="35"/>
        <item x="39"/>
        <item x="118"/>
        <item x="1123"/>
        <item x="733"/>
        <item x="229"/>
        <item x="198"/>
        <item x="1204"/>
        <item x="1185"/>
        <item x="876"/>
        <item x="406"/>
        <item x="946"/>
        <item x="1161"/>
        <item x="639"/>
        <item x="940"/>
        <item x="1001"/>
        <item x="1100"/>
        <item x="100"/>
        <item x="1074"/>
        <item x="411"/>
        <item x="463"/>
        <item x="303"/>
        <item x="834"/>
        <item x="1085"/>
        <item x="1206"/>
        <item x="969"/>
        <item x="354"/>
        <item x="419"/>
        <item x="167"/>
        <item x="840"/>
        <item x="157"/>
        <item x="452"/>
        <item x="137"/>
        <item x="970"/>
        <item x="868"/>
        <item x="826"/>
        <item x="353"/>
        <item x="99"/>
        <item x="473"/>
        <item x="731"/>
        <item x="690"/>
        <item x="1159"/>
        <item x="726"/>
        <item x="319"/>
        <item x="532"/>
        <item x="429"/>
        <item x="1149"/>
        <item x="340"/>
        <item x="593"/>
        <item x="973"/>
        <item x="763"/>
        <item x="370"/>
        <item x="217"/>
        <item x="146"/>
        <item x="420"/>
        <item x="350"/>
        <item x="1160"/>
        <item x="831"/>
        <item x="555"/>
        <item x="1068"/>
        <item x="92"/>
        <item x="545"/>
        <item x="423"/>
        <item x="961"/>
        <item x="430"/>
        <item x="291"/>
        <item x="1207"/>
        <item x="525"/>
        <item x="243"/>
        <item x="308"/>
        <item x="972"/>
        <item x="203"/>
        <item x="764"/>
        <item x="591"/>
        <item x="652"/>
        <item x="241"/>
        <item x="864"/>
        <item x="730"/>
        <item x="965"/>
        <item x="219"/>
        <item x="298"/>
        <item x="1067"/>
        <item x="369"/>
        <item x="612"/>
        <item x="504"/>
        <item x="305"/>
        <item x="446"/>
        <item x="454"/>
        <item x="311"/>
        <item x="1099"/>
        <item x="422"/>
        <item x="1071"/>
        <item x="535"/>
        <item x="813"/>
        <item x="1108"/>
        <item x="424"/>
        <item x="290"/>
        <item x="1140"/>
        <item x="451"/>
        <item x="373"/>
        <item x="58"/>
        <item x="606"/>
        <item x="756"/>
        <item x="960"/>
        <item x="182"/>
        <item x="832"/>
        <item x="447"/>
        <item x="812"/>
        <item x="823"/>
        <item x="772"/>
        <item x="1199"/>
        <item x="1"/>
        <item x="314"/>
        <item x="556"/>
        <item x="548"/>
        <item x="1087"/>
        <item x="838"/>
        <item x="135"/>
        <item x="540"/>
        <item x="79"/>
        <item x="1021"/>
        <item x="1184"/>
        <item x="26"/>
        <item x="845"/>
        <item x="544"/>
        <item x="374"/>
        <item x="557"/>
        <item x="152"/>
        <item x="351"/>
        <item x="379"/>
        <item x="824"/>
        <item x="312"/>
        <item x="1198"/>
        <item x="600"/>
        <item x="366"/>
        <item x="408"/>
        <item x="1120"/>
        <item x="1189"/>
        <item x="254"/>
        <item x="445"/>
        <item x="533"/>
        <item x="922"/>
        <item x="1066"/>
        <item x="858"/>
        <item x="1121"/>
        <item x="1125"/>
        <item x="971"/>
        <item x="1147"/>
        <item x="510"/>
        <item x="302"/>
        <item x="602"/>
        <item x="292"/>
        <item x="1027"/>
        <item x="923"/>
        <item x="48"/>
        <item x="543"/>
        <item x="1064"/>
        <item x="1181"/>
        <item x="836"/>
        <item x="839"/>
        <item x="828"/>
        <item x="605"/>
        <item x="850"/>
        <item x="1124"/>
        <item x="363"/>
        <item x="365"/>
        <item x="1130"/>
        <item x="204"/>
        <item x="1122"/>
        <item x="819"/>
        <item x="1187"/>
        <item x="352"/>
        <item x="1170"/>
        <item x="158"/>
        <item x="1069"/>
        <item x="306"/>
        <item x="421"/>
        <item x="534"/>
        <item x="216"/>
        <item x="263"/>
        <item x="603"/>
        <item x="837"/>
        <item x="315"/>
        <item x="848"/>
        <item x="426"/>
        <item x="931"/>
        <item x="231"/>
        <item x="267"/>
        <item x="416"/>
        <item x="448"/>
        <item x="255"/>
        <item x="928"/>
        <item x="215"/>
        <item x="869"/>
        <item x="822"/>
        <item x="1110"/>
        <item x="920"/>
        <item x="453"/>
        <item x="846"/>
        <item x="330"/>
        <item x="372"/>
        <item x="835"/>
        <item x="1065"/>
        <item x="472"/>
        <item x="37"/>
        <item x="368"/>
        <item x="69"/>
        <item x="264"/>
        <item x="967"/>
        <item x="825"/>
        <item x="367"/>
        <item x="827"/>
        <item x="924"/>
        <item x="842"/>
        <item x="549"/>
        <item x="844"/>
        <item x="1017"/>
        <item x="230"/>
        <item x="313"/>
        <item x="925"/>
        <item x="847"/>
        <item x="462"/>
        <item x="841"/>
        <item x="550"/>
        <item x="1073"/>
        <item x="256"/>
        <item x="468"/>
        <item x="604"/>
        <item x="371"/>
        <item x="1024"/>
        <item x="926"/>
        <item x="265"/>
        <item x="449"/>
        <item x="1022"/>
        <item x="266"/>
        <item x="1023"/>
        <item x="29"/>
        <item t="default"/>
      </items>
    </pivotField>
    <pivotField axis="axisRow" showAll="0" sortType="descending">
      <items count="5"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59">
        <item x="0"/>
        <item x="19"/>
        <item x="50"/>
        <item x="20"/>
        <item x="15"/>
        <item x="21"/>
        <item x="22"/>
        <item x="1"/>
        <item x="23"/>
        <item x="51"/>
        <item x="24"/>
        <item x="2"/>
        <item x="16"/>
        <item x="25"/>
        <item x="3"/>
        <item x="52"/>
        <item x="4"/>
        <item x="5"/>
        <item x="26"/>
        <item x="17"/>
        <item x="6"/>
        <item x="27"/>
        <item x="28"/>
        <item x="29"/>
        <item x="7"/>
        <item x="30"/>
        <item x="53"/>
        <item x="31"/>
        <item x="54"/>
        <item x="32"/>
        <item x="33"/>
        <item x="55"/>
        <item x="56"/>
        <item x="34"/>
        <item x="35"/>
        <item x="8"/>
        <item x="36"/>
        <item x="9"/>
        <item x="10"/>
        <item x="37"/>
        <item x="38"/>
        <item x="39"/>
        <item x="11"/>
        <item x="12"/>
        <item x="13"/>
        <item x="14"/>
        <item x="40"/>
        <item x="41"/>
        <item x="57"/>
        <item x="18"/>
        <item x="42"/>
        <item x="43"/>
        <item x="44"/>
        <item x="45"/>
        <item x="46"/>
        <item x="47"/>
        <item x="48"/>
        <item x="49"/>
        <item t="default"/>
      </items>
    </pivotField>
    <pivotField showAll="0">
      <items count="4">
        <item x="2"/>
        <item x="0"/>
        <item x="1"/>
        <item t="default"/>
      </items>
    </pivotField>
    <pivotField dataField="1" showAll="0"/>
  </pivotFields>
  <rowFields count="1">
    <field x="2"/>
  </rowFields>
  <rowItems count="5">
    <i>
      <x v="1"/>
    </i>
    <i>
      <x v="2"/>
    </i>
    <i>
      <x/>
    </i>
    <i>
      <x v="3"/>
    </i>
    <i t="grand">
      <x/>
    </i>
  </rowItems>
  <colItems count="1">
    <i/>
  </colItems>
  <dataFields count="1">
    <dataField name="Stores above county average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27761-2FD7-4785-AC32-F6675C078515}">
  <dimension ref="A1:I1230"/>
  <sheetViews>
    <sheetView zoomScale="117" workbookViewId="0">
      <pane ySplit="1" topLeftCell="A2" activePane="bottomLeft" state="frozen"/>
      <selection pane="bottomLeft" activeCell="I2" sqref="I1:I2"/>
    </sheetView>
  </sheetViews>
  <sheetFormatPr baseColWidth="10" defaultColWidth="9" defaultRowHeight="16" x14ac:dyDescent="0.2"/>
  <cols>
    <col min="1" max="1" width="58" style="1" customWidth="1"/>
    <col min="2" max="2" width="18.5" style="1" customWidth="1"/>
    <col min="3" max="4" width="20" style="1" customWidth="1"/>
    <col min="5" max="5" width="11" style="1" customWidth="1"/>
    <col min="6" max="6" width="24.6640625" style="1" customWidth="1"/>
    <col min="7" max="7" width="22" style="1" customWidth="1"/>
    <col min="8" max="16384" width="9" style="1"/>
  </cols>
  <sheetData>
    <row r="1" spans="1:9" s="2" customFormat="1" ht="22" x14ac:dyDescent="0.2">
      <c r="A1" s="2" t="s">
        <v>0</v>
      </c>
      <c r="B1" s="2" t="s">
        <v>1</v>
      </c>
      <c r="C1" s="2" t="s">
        <v>2</v>
      </c>
      <c r="D1" s="2" t="s">
        <v>1305</v>
      </c>
      <c r="E1" s="2" t="s">
        <v>3</v>
      </c>
      <c r="F1" s="2" t="s">
        <v>4</v>
      </c>
      <c r="G1" s="2" t="s">
        <v>5</v>
      </c>
      <c r="H1" s="2" t="s">
        <v>1296</v>
      </c>
      <c r="I1" s="2" t="s">
        <v>1306</v>
      </c>
    </row>
    <row r="2" spans="1:9" x14ac:dyDescent="0.2">
      <c r="A2" s="1" t="s">
        <v>67</v>
      </c>
      <c r="B2" s="1">
        <v>72882.95</v>
      </c>
      <c r="C2" s="1" t="s">
        <v>6</v>
      </c>
      <c r="D2" s="1">
        <f>AVERAGEIFS($B:$B,$C:$C,$C2)</f>
        <v>50588.018746491216</v>
      </c>
      <c r="E2" s="1">
        <v>38.714034730000002</v>
      </c>
      <c r="F2" s="1">
        <v>-121.3647156</v>
      </c>
      <c r="G2" s="1" t="s">
        <v>7</v>
      </c>
      <c r="H2" s="1" t="str">
        <f>TRIM(_xlfn.TEXTAFTER(A2, ",", -1))</f>
        <v>CA</v>
      </c>
      <c r="I2" s="1">
        <f>IF(B2&gt;D2,1,0)</f>
        <v>1</v>
      </c>
    </row>
    <row r="3" spans="1:9" x14ac:dyDescent="0.2">
      <c r="A3" s="1" t="s">
        <v>68</v>
      </c>
      <c r="B3" s="1">
        <v>102161.62</v>
      </c>
      <c r="C3" s="1" t="s">
        <v>6</v>
      </c>
      <c r="D3" s="1">
        <f t="shared" ref="D3:D66" si="0">AVERAGEIFS($B:$B,$C:$C,$C3)</f>
        <v>50588.018746491216</v>
      </c>
      <c r="E3" s="1">
        <v>38.706619850000003</v>
      </c>
      <c r="F3" s="1">
        <v>-121.3827888</v>
      </c>
      <c r="G3" s="1" t="s">
        <v>7</v>
      </c>
      <c r="H3" s="1" t="str">
        <f t="shared" ref="H3:H66" si="1">TRIM(_xlfn.TEXTAFTER(A3, ",", -1))</f>
        <v>CA</v>
      </c>
      <c r="I3" s="1">
        <f t="shared" ref="I3:I66" si="2">IF(B3&gt;D3,1,0)</f>
        <v>1</v>
      </c>
    </row>
    <row r="4" spans="1:9" x14ac:dyDescent="0.2">
      <c r="A4" s="1" t="s">
        <v>69</v>
      </c>
      <c r="B4" s="1">
        <v>66148.350000000006</v>
      </c>
      <c r="C4" s="1" t="s">
        <v>6</v>
      </c>
      <c r="D4" s="1">
        <f t="shared" si="0"/>
        <v>50588.018746491216</v>
      </c>
      <c r="E4" s="1">
        <v>38.71203311</v>
      </c>
      <c r="F4" s="1">
        <v>-121.3645223</v>
      </c>
      <c r="G4" s="1" t="s">
        <v>7</v>
      </c>
      <c r="H4" s="1" t="str">
        <f t="shared" si="1"/>
        <v>CA</v>
      </c>
      <c r="I4" s="1">
        <f t="shared" si="2"/>
        <v>1</v>
      </c>
    </row>
    <row r="5" spans="1:9" x14ac:dyDescent="0.2">
      <c r="A5" s="1" t="s">
        <v>70</v>
      </c>
      <c r="B5" s="1">
        <v>4169.4799999999996</v>
      </c>
      <c r="C5" s="1" t="s">
        <v>6</v>
      </c>
      <c r="D5" s="1">
        <f t="shared" si="0"/>
        <v>50588.018746491216</v>
      </c>
      <c r="E5" s="1">
        <v>38.713129029999997</v>
      </c>
      <c r="F5" s="1">
        <v>-121.3631465</v>
      </c>
      <c r="G5" s="1" t="s">
        <v>7</v>
      </c>
      <c r="H5" s="1" t="str">
        <f t="shared" si="1"/>
        <v>CA</v>
      </c>
      <c r="I5" s="1">
        <f t="shared" si="2"/>
        <v>0</v>
      </c>
    </row>
    <row r="6" spans="1:9" x14ac:dyDescent="0.2">
      <c r="A6" s="1" t="s">
        <v>71</v>
      </c>
      <c r="B6" s="1">
        <v>58705.04</v>
      </c>
      <c r="C6" s="1" t="s">
        <v>6</v>
      </c>
      <c r="D6" s="1">
        <f t="shared" si="0"/>
        <v>50588.018746491216</v>
      </c>
      <c r="E6" s="1">
        <v>38.617530909999999</v>
      </c>
      <c r="F6" s="1">
        <v>-121.3451551</v>
      </c>
      <c r="G6" s="1" t="s">
        <v>8</v>
      </c>
      <c r="H6" s="1" t="str">
        <f t="shared" si="1"/>
        <v>CA</v>
      </c>
      <c r="I6" s="1">
        <f t="shared" si="2"/>
        <v>1</v>
      </c>
    </row>
    <row r="7" spans="1:9" x14ac:dyDescent="0.2">
      <c r="A7" s="1" t="s">
        <v>72</v>
      </c>
      <c r="B7" s="1">
        <v>27651.599999999999</v>
      </c>
      <c r="C7" s="1" t="s">
        <v>6</v>
      </c>
      <c r="D7" s="1">
        <f t="shared" si="0"/>
        <v>50588.018746491216</v>
      </c>
      <c r="E7" s="1">
        <v>38.6601</v>
      </c>
      <c r="F7" s="1">
        <v>-121.3272144</v>
      </c>
      <c r="G7" s="1" t="s">
        <v>8</v>
      </c>
      <c r="H7" s="1" t="str">
        <f t="shared" si="1"/>
        <v>CA</v>
      </c>
      <c r="I7" s="1">
        <f t="shared" si="2"/>
        <v>0</v>
      </c>
    </row>
    <row r="8" spans="1:9" x14ac:dyDescent="0.2">
      <c r="A8" s="1" t="s">
        <v>73</v>
      </c>
      <c r="B8" s="1">
        <v>45741.82</v>
      </c>
      <c r="C8" s="1" t="s">
        <v>6</v>
      </c>
      <c r="D8" s="1">
        <f t="shared" si="0"/>
        <v>50588.018746491216</v>
      </c>
      <c r="E8" s="1">
        <v>38.61598772</v>
      </c>
      <c r="F8" s="1">
        <v>-121.3287804</v>
      </c>
      <c r="G8" s="1" t="s">
        <v>8</v>
      </c>
      <c r="H8" s="1" t="str">
        <f t="shared" si="1"/>
        <v>CA</v>
      </c>
      <c r="I8" s="1">
        <f t="shared" si="2"/>
        <v>0</v>
      </c>
    </row>
    <row r="9" spans="1:9" x14ac:dyDescent="0.2">
      <c r="A9" s="1" t="s">
        <v>74</v>
      </c>
      <c r="B9" s="1">
        <v>45438.5</v>
      </c>
      <c r="C9" s="1" t="s">
        <v>6</v>
      </c>
      <c r="D9" s="1">
        <f t="shared" si="0"/>
        <v>50588.018746491216</v>
      </c>
      <c r="E9" s="1">
        <v>38.639195710000003</v>
      </c>
      <c r="F9" s="1">
        <v>-121.3282104</v>
      </c>
      <c r="G9" s="1" t="s">
        <v>8</v>
      </c>
      <c r="H9" s="1" t="str">
        <f t="shared" si="1"/>
        <v>CA</v>
      </c>
      <c r="I9" s="1">
        <f t="shared" si="2"/>
        <v>0</v>
      </c>
    </row>
    <row r="10" spans="1:9" x14ac:dyDescent="0.2">
      <c r="A10" s="1" t="s">
        <v>75</v>
      </c>
      <c r="B10" s="1">
        <v>37934.07</v>
      </c>
      <c r="C10" s="1" t="s">
        <v>6</v>
      </c>
      <c r="D10" s="1">
        <f t="shared" si="0"/>
        <v>50588.018746491216</v>
      </c>
      <c r="E10" s="1">
        <v>38.63798276</v>
      </c>
      <c r="F10" s="1">
        <v>-121.32824340000001</v>
      </c>
      <c r="G10" s="1" t="s">
        <v>8</v>
      </c>
      <c r="H10" s="1" t="str">
        <f t="shared" si="1"/>
        <v>CA</v>
      </c>
      <c r="I10" s="1">
        <f t="shared" si="2"/>
        <v>0</v>
      </c>
    </row>
    <row r="11" spans="1:9" x14ac:dyDescent="0.2">
      <c r="A11" s="1" t="s">
        <v>76</v>
      </c>
      <c r="B11" s="1">
        <v>52203.83</v>
      </c>
      <c r="C11" s="1" t="s">
        <v>6</v>
      </c>
      <c r="D11" s="1">
        <f t="shared" si="0"/>
        <v>50588.018746491216</v>
      </c>
      <c r="E11" s="1">
        <v>38.650142279999997</v>
      </c>
      <c r="F11" s="1">
        <v>-121.32755950000001</v>
      </c>
      <c r="G11" s="1" t="s">
        <v>8</v>
      </c>
      <c r="H11" s="1" t="str">
        <f t="shared" si="1"/>
        <v>CA</v>
      </c>
      <c r="I11" s="1">
        <f t="shared" si="2"/>
        <v>1</v>
      </c>
    </row>
    <row r="12" spans="1:9" x14ac:dyDescent="0.2">
      <c r="A12" s="1" t="s">
        <v>77</v>
      </c>
      <c r="B12" s="1">
        <v>40987.79</v>
      </c>
      <c r="C12" s="1" t="s">
        <v>6</v>
      </c>
      <c r="D12" s="1">
        <f t="shared" si="0"/>
        <v>50588.018746491216</v>
      </c>
      <c r="E12" s="1">
        <v>38.597314789999999</v>
      </c>
      <c r="F12" s="1">
        <v>-121.3443094</v>
      </c>
      <c r="G12" s="1" t="s">
        <v>8</v>
      </c>
      <c r="H12" s="1" t="str">
        <f t="shared" si="1"/>
        <v>CA</v>
      </c>
      <c r="I12" s="1">
        <f t="shared" si="2"/>
        <v>0</v>
      </c>
    </row>
    <row r="13" spans="1:9" x14ac:dyDescent="0.2">
      <c r="A13" s="1" t="s">
        <v>78</v>
      </c>
      <c r="B13" s="1">
        <v>2311.8200000000002</v>
      </c>
      <c r="C13" s="1" t="s">
        <v>6</v>
      </c>
      <c r="D13" s="1">
        <f t="shared" si="0"/>
        <v>50588.018746491216</v>
      </c>
      <c r="E13" s="1">
        <v>38.637231800000002</v>
      </c>
      <c r="F13" s="1">
        <v>-121.3277444</v>
      </c>
      <c r="G13" s="1" t="s">
        <v>8</v>
      </c>
      <c r="H13" s="1" t="str">
        <f t="shared" si="1"/>
        <v>CA</v>
      </c>
      <c r="I13" s="1">
        <f t="shared" si="2"/>
        <v>0</v>
      </c>
    </row>
    <row r="14" spans="1:9" x14ac:dyDescent="0.2">
      <c r="A14" s="1" t="s">
        <v>79</v>
      </c>
      <c r="B14" s="1">
        <v>71172.399999999994</v>
      </c>
      <c r="C14" s="1" t="s">
        <v>6</v>
      </c>
      <c r="D14" s="1">
        <f t="shared" si="0"/>
        <v>50588.018746491216</v>
      </c>
      <c r="E14" s="1">
        <v>38.638042640000002</v>
      </c>
      <c r="F14" s="1">
        <v>-121.3277197</v>
      </c>
      <c r="G14" s="1" t="s">
        <v>8</v>
      </c>
      <c r="H14" s="1" t="str">
        <f t="shared" si="1"/>
        <v>CA</v>
      </c>
      <c r="I14" s="1">
        <f t="shared" si="2"/>
        <v>1</v>
      </c>
    </row>
    <row r="15" spans="1:9" x14ac:dyDescent="0.2">
      <c r="A15" s="1" t="s">
        <v>80</v>
      </c>
      <c r="B15" s="1">
        <v>4200.49</v>
      </c>
      <c r="C15" s="1" t="s">
        <v>6</v>
      </c>
      <c r="D15" s="1">
        <f t="shared" si="0"/>
        <v>50588.018746491216</v>
      </c>
      <c r="E15" s="1">
        <v>38.615941800000002</v>
      </c>
      <c r="F15" s="1">
        <v>-121.328819</v>
      </c>
      <c r="G15" s="1" t="s">
        <v>8</v>
      </c>
      <c r="H15" s="1" t="str">
        <f t="shared" si="1"/>
        <v>CA</v>
      </c>
      <c r="I15" s="1">
        <f t="shared" si="2"/>
        <v>0</v>
      </c>
    </row>
    <row r="16" spans="1:9" x14ac:dyDescent="0.2">
      <c r="A16" s="1" t="s">
        <v>81</v>
      </c>
      <c r="B16" s="1">
        <v>66570.63</v>
      </c>
      <c r="C16" s="1" t="s">
        <v>6</v>
      </c>
      <c r="D16" s="1">
        <f t="shared" si="0"/>
        <v>50588.018746491216</v>
      </c>
      <c r="E16" s="1">
        <v>38.70756471</v>
      </c>
      <c r="F16" s="1">
        <v>-121.31474660000001</v>
      </c>
      <c r="G16" s="1" t="s">
        <v>9</v>
      </c>
      <c r="H16" s="1" t="str">
        <f t="shared" si="1"/>
        <v>CA</v>
      </c>
      <c r="I16" s="1">
        <f t="shared" si="2"/>
        <v>1</v>
      </c>
    </row>
    <row r="17" spans="1:9" x14ac:dyDescent="0.2">
      <c r="A17" s="1" t="s">
        <v>82</v>
      </c>
      <c r="B17" s="1">
        <v>45729.01</v>
      </c>
      <c r="C17" s="1" t="s">
        <v>6</v>
      </c>
      <c r="D17" s="1">
        <f t="shared" si="0"/>
        <v>50588.018746491216</v>
      </c>
      <c r="E17" s="1">
        <v>38.691407650000002</v>
      </c>
      <c r="F17" s="1">
        <v>-121.2713543</v>
      </c>
      <c r="G17" s="1" t="s">
        <v>9</v>
      </c>
      <c r="H17" s="1" t="str">
        <f t="shared" si="1"/>
        <v>CA</v>
      </c>
      <c r="I17" s="1">
        <f t="shared" si="2"/>
        <v>0</v>
      </c>
    </row>
    <row r="18" spans="1:9" x14ac:dyDescent="0.2">
      <c r="A18" s="1" t="s">
        <v>83</v>
      </c>
      <c r="B18" s="1">
        <v>65555.850000000006</v>
      </c>
      <c r="C18" s="1" t="s">
        <v>6</v>
      </c>
      <c r="D18" s="1">
        <f t="shared" si="0"/>
        <v>50588.018746491216</v>
      </c>
      <c r="E18" s="1">
        <v>38.687832999999998</v>
      </c>
      <c r="F18" s="1">
        <v>-121.30772949999999</v>
      </c>
      <c r="G18" s="1" t="s">
        <v>9</v>
      </c>
      <c r="H18" s="1" t="str">
        <f t="shared" si="1"/>
        <v>CA</v>
      </c>
      <c r="I18" s="1">
        <f t="shared" si="2"/>
        <v>1</v>
      </c>
    </row>
    <row r="19" spans="1:9" x14ac:dyDescent="0.2">
      <c r="A19" s="1" t="s">
        <v>84</v>
      </c>
      <c r="B19" s="1">
        <v>50253.23</v>
      </c>
      <c r="C19" s="1" t="s">
        <v>6</v>
      </c>
      <c r="D19" s="1">
        <f t="shared" si="0"/>
        <v>50588.018746491216</v>
      </c>
      <c r="E19" s="1">
        <v>38.678498329999996</v>
      </c>
      <c r="F19" s="1">
        <v>-121.3211115</v>
      </c>
      <c r="G19" s="1" t="s">
        <v>9</v>
      </c>
      <c r="H19" s="1" t="str">
        <f t="shared" si="1"/>
        <v>CA</v>
      </c>
      <c r="I19" s="1">
        <f t="shared" si="2"/>
        <v>0</v>
      </c>
    </row>
    <row r="20" spans="1:9" x14ac:dyDescent="0.2">
      <c r="A20" s="1" t="s">
        <v>85</v>
      </c>
      <c r="B20" s="1">
        <v>47354.720000000001</v>
      </c>
      <c r="C20" s="1" t="s">
        <v>6</v>
      </c>
      <c r="D20" s="1">
        <f t="shared" si="0"/>
        <v>50588.018746491216</v>
      </c>
      <c r="E20" s="1">
        <v>38.678062869999998</v>
      </c>
      <c r="F20" s="1">
        <v>-121.2847385</v>
      </c>
      <c r="G20" s="1" t="s">
        <v>9</v>
      </c>
      <c r="H20" s="1" t="str">
        <f t="shared" si="1"/>
        <v>CA</v>
      </c>
      <c r="I20" s="1">
        <f t="shared" si="2"/>
        <v>0</v>
      </c>
    </row>
    <row r="21" spans="1:9" x14ac:dyDescent="0.2">
      <c r="A21" s="1" t="s">
        <v>86</v>
      </c>
      <c r="B21" s="1">
        <v>50143.44</v>
      </c>
      <c r="C21" s="1" t="s">
        <v>6</v>
      </c>
      <c r="D21" s="1">
        <f t="shared" si="0"/>
        <v>50588.018746491216</v>
      </c>
      <c r="E21" s="1">
        <v>38.675997070000001</v>
      </c>
      <c r="F21" s="1">
        <v>-121.29264619999999</v>
      </c>
      <c r="G21" s="1" t="s">
        <v>9</v>
      </c>
      <c r="H21" s="1" t="str">
        <f t="shared" si="1"/>
        <v>CA</v>
      </c>
      <c r="I21" s="1">
        <f t="shared" si="2"/>
        <v>0</v>
      </c>
    </row>
    <row r="22" spans="1:9" x14ac:dyDescent="0.2">
      <c r="A22" s="1" t="s">
        <v>87</v>
      </c>
      <c r="B22" s="1">
        <v>34695.53</v>
      </c>
      <c r="C22" s="1" t="s">
        <v>6</v>
      </c>
      <c r="D22" s="1">
        <f t="shared" si="0"/>
        <v>50588.018746491216</v>
      </c>
      <c r="E22" s="1">
        <v>38.679059270000003</v>
      </c>
      <c r="F22" s="1">
        <v>-121.3211105</v>
      </c>
      <c r="G22" s="1" t="s">
        <v>9</v>
      </c>
      <c r="H22" s="1" t="str">
        <f t="shared" si="1"/>
        <v>CA</v>
      </c>
      <c r="I22" s="1">
        <f t="shared" si="2"/>
        <v>0</v>
      </c>
    </row>
    <row r="23" spans="1:9" x14ac:dyDescent="0.2">
      <c r="A23" s="1" t="s">
        <v>88</v>
      </c>
      <c r="B23" s="1">
        <v>65782.77</v>
      </c>
      <c r="C23" s="1" t="s">
        <v>6</v>
      </c>
      <c r="D23" s="1">
        <f t="shared" si="0"/>
        <v>50588.018746491216</v>
      </c>
      <c r="E23" s="1">
        <v>38.664865540000001</v>
      </c>
      <c r="F23" s="1">
        <v>-121.2921149</v>
      </c>
      <c r="G23" s="1" t="s">
        <v>9</v>
      </c>
      <c r="H23" s="1" t="str">
        <f t="shared" si="1"/>
        <v>CA</v>
      </c>
      <c r="I23" s="1">
        <f t="shared" si="2"/>
        <v>1</v>
      </c>
    </row>
    <row r="24" spans="1:9" x14ac:dyDescent="0.2">
      <c r="A24" s="1" t="s">
        <v>89</v>
      </c>
      <c r="B24" s="1">
        <v>38398.910000000003</v>
      </c>
      <c r="C24" s="1" t="s">
        <v>6</v>
      </c>
      <c r="D24" s="1">
        <f t="shared" si="0"/>
        <v>50588.018746491216</v>
      </c>
      <c r="E24" s="1">
        <v>38.664147100000001</v>
      </c>
      <c r="F24" s="1">
        <v>-121.2719936</v>
      </c>
      <c r="G24" s="1" t="s">
        <v>9</v>
      </c>
      <c r="H24" s="1" t="str">
        <f t="shared" si="1"/>
        <v>CA</v>
      </c>
      <c r="I24" s="1">
        <f t="shared" si="2"/>
        <v>0</v>
      </c>
    </row>
    <row r="25" spans="1:9" x14ac:dyDescent="0.2">
      <c r="A25" s="1" t="s">
        <v>90</v>
      </c>
      <c r="B25" s="1">
        <v>42729.88</v>
      </c>
      <c r="C25" s="1" t="s">
        <v>6</v>
      </c>
      <c r="D25" s="1">
        <f t="shared" si="0"/>
        <v>50588.018746491216</v>
      </c>
      <c r="E25" s="1">
        <v>38.692966509999998</v>
      </c>
      <c r="F25" s="1">
        <v>-121.27137500000001</v>
      </c>
      <c r="G25" s="1" t="s">
        <v>9</v>
      </c>
      <c r="H25" s="1" t="str">
        <f t="shared" si="1"/>
        <v>CA</v>
      </c>
      <c r="I25" s="1">
        <f t="shared" si="2"/>
        <v>0</v>
      </c>
    </row>
    <row r="26" spans="1:9" x14ac:dyDescent="0.2">
      <c r="A26" s="1" t="s">
        <v>91</v>
      </c>
      <c r="B26" s="1">
        <v>61003.5</v>
      </c>
      <c r="C26" s="1" t="s">
        <v>6</v>
      </c>
      <c r="D26" s="1">
        <f t="shared" si="0"/>
        <v>50588.018746491216</v>
      </c>
      <c r="E26" s="1">
        <v>38.708533039999999</v>
      </c>
      <c r="F26" s="1">
        <v>-121.3126326</v>
      </c>
      <c r="G26" s="1" t="s">
        <v>9</v>
      </c>
      <c r="H26" s="1" t="str">
        <f t="shared" si="1"/>
        <v>CA</v>
      </c>
      <c r="I26" s="1">
        <f t="shared" si="2"/>
        <v>1</v>
      </c>
    </row>
    <row r="27" spans="1:9" x14ac:dyDescent="0.2">
      <c r="A27" s="1" t="s">
        <v>92</v>
      </c>
      <c r="B27" s="1">
        <v>59581.16</v>
      </c>
      <c r="C27" s="1" t="s">
        <v>6</v>
      </c>
      <c r="D27" s="1">
        <f t="shared" si="0"/>
        <v>50588.018746491216</v>
      </c>
      <c r="E27" s="1">
        <v>38.678477110000003</v>
      </c>
      <c r="F27" s="1">
        <v>-121.2944428</v>
      </c>
      <c r="G27" s="1" t="s">
        <v>9</v>
      </c>
      <c r="H27" s="1" t="str">
        <f t="shared" si="1"/>
        <v>CA</v>
      </c>
      <c r="I27" s="1">
        <f t="shared" si="2"/>
        <v>1</v>
      </c>
    </row>
    <row r="28" spans="1:9" x14ac:dyDescent="0.2">
      <c r="A28" s="1" t="s">
        <v>93</v>
      </c>
      <c r="B28" s="1">
        <v>105637.8</v>
      </c>
      <c r="C28" s="1" t="s">
        <v>6</v>
      </c>
      <c r="D28" s="1">
        <f t="shared" si="0"/>
        <v>50588.018746491216</v>
      </c>
      <c r="E28" s="1">
        <v>38.671858810000003</v>
      </c>
      <c r="F28" s="1">
        <v>-121.2717596</v>
      </c>
      <c r="G28" s="1" t="s">
        <v>9</v>
      </c>
      <c r="H28" s="1" t="str">
        <f t="shared" si="1"/>
        <v>CA</v>
      </c>
      <c r="I28" s="1">
        <f t="shared" si="2"/>
        <v>1</v>
      </c>
    </row>
    <row r="29" spans="1:9" x14ac:dyDescent="0.2">
      <c r="A29" s="1" t="s">
        <v>94</v>
      </c>
      <c r="B29" s="1">
        <v>24000.07</v>
      </c>
      <c r="C29" s="1" t="s">
        <v>6</v>
      </c>
      <c r="D29" s="1">
        <f t="shared" si="0"/>
        <v>50588.018746491216</v>
      </c>
      <c r="E29" s="1">
        <v>38.677500000000002</v>
      </c>
      <c r="F29" s="1">
        <v>-121.3101443</v>
      </c>
      <c r="G29" s="1" t="s">
        <v>9</v>
      </c>
      <c r="H29" s="1" t="str">
        <f t="shared" si="1"/>
        <v>CA</v>
      </c>
      <c r="I29" s="1">
        <f t="shared" si="2"/>
        <v>0</v>
      </c>
    </row>
    <row r="30" spans="1:9" x14ac:dyDescent="0.2">
      <c r="A30" s="1" t="s">
        <v>95</v>
      </c>
      <c r="B30" s="1">
        <v>13980.16</v>
      </c>
      <c r="C30" s="1" t="s">
        <v>6</v>
      </c>
      <c r="D30" s="1">
        <f t="shared" si="0"/>
        <v>50588.018746491216</v>
      </c>
      <c r="E30" s="1">
        <v>38.706910000000001</v>
      </c>
      <c r="F30" s="1">
        <v>-121.2720157</v>
      </c>
      <c r="G30" s="1" t="s">
        <v>9</v>
      </c>
      <c r="H30" s="1" t="str">
        <f t="shared" si="1"/>
        <v>CA</v>
      </c>
      <c r="I30" s="1">
        <f t="shared" si="2"/>
        <v>0</v>
      </c>
    </row>
    <row r="31" spans="1:9" x14ac:dyDescent="0.2">
      <c r="A31" s="1" t="s">
        <v>96</v>
      </c>
      <c r="C31" s="1" t="s">
        <v>6</v>
      </c>
      <c r="D31" s="1">
        <f t="shared" si="0"/>
        <v>50588.018746491216</v>
      </c>
      <c r="E31" s="1">
        <v>38.677340000000001</v>
      </c>
      <c r="F31" s="1">
        <v>-121.2718057</v>
      </c>
      <c r="G31" s="1" t="s">
        <v>9</v>
      </c>
      <c r="H31" s="1" t="str">
        <f t="shared" si="1"/>
        <v>CA</v>
      </c>
      <c r="I31" s="1">
        <f t="shared" si="2"/>
        <v>0</v>
      </c>
    </row>
    <row r="32" spans="1:9" x14ac:dyDescent="0.2">
      <c r="A32" s="1" t="s">
        <v>97</v>
      </c>
      <c r="B32" s="1">
        <v>32524.87</v>
      </c>
      <c r="C32" s="1" t="s">
        <v>6</v>
      </c>
      <c r="D32" s="1">
        <f t="shared" si="0"/>
        <v>50588.018746491216</v>
      </c>
      <c r="E32" s="1">
        <v>38.425863870000001</v>
      </c>
      <c r="F32" s="1">
        <v>-121.48081809999999</v>
      </c>
      <c r="G32" s="1" t="s">
        <v>10</v>
      </c>
      <c r="H32" s="1" t="str">
        <f t="shared" si="1"/>
        <v>CA</v>
      </c>
      <c r="I32" s="1">
        <f t="shared" si="2"/>
        <v>0</v>
      </c>
    </row>
    <row r="33" spans="1:9" x14ac:dyDescent="0.2">
      <c r="A33" s="1" t="s">
        <v>98</v>
      </c>
      <c r="B33" s="1">
        <v>34119.61</v>
      </c>
      <c r="C33" s="1" t="s">
        <v>6</v>
      </c>
      <c r="D33" s="1">
        <f t="shared" si="0"/>
        <v>50588.018746491216</v>
      </c>
      <c r="E33" s="1">
        <v>38.409238989999999</v>
      </c>
      <c r="F33" s="1">
        <v>-121.390356</v>
      </c>
      <c r="G33" s="1" t="s">
        <v>10</v>
      </c>
      <c r="H33" s="1" t="str">
        <f t="shared" si="1"/>
        <v>CA</v>
      </c>
      <c r="I33" s="1">
        <f t="shared" si="2"/>
        <v>0</v>
      </c>
    </row>
    <row r="34" spans="1:9" x14ac:dyDescent="0.2">
      <c r="A34" s="1" t="s">
        <v>99</v>
      </c>
      <c r="B34" s="1">
        <v>67661.460000000006</v>
      </c>
      <c r="C34" s="1" t="s">
        <v>6</v>
      </c>
      <c r="D34" s="1">
        <f t="shared" si="0"/>
        <v>50588.018746491216</v>
      </c>
      <c r="E34" s="1">
        <v>38.437862869999996</v>
      </c>
      <c r="F34" s="1">
        <v>-121.408338</v>
      </c>
      <c r="G34" s="1" t="s">
        <v>10</v>
      </c>
      <c r="H34" s="1" t="str">
        <f t="shared" si="1"/>
        <v>CA</v>
      </c>
      <c r="I34" s="1">
        <f t="shared" si="2"/>
        <v>1</v>
      </c>
    </row>
    <row r="35" spans="1:9" x14ac:dyDescent="0.2">
      <c r="A35" s="1" t="s">
        <v>100</v>
      </c>
      <c r="B35" s="1">
        <v>56041.66</v>
      </c>
      <c r="C35" s="1" t="s">
        <v>6</v>
      </c>
      <c r="D35" s="1">
        <f t="shared" si="0"/>
        <v>50588.018746491216</v>
      </c>
      <c r="E35" s="1">
        <v>38.45452942</v>
      </c>
      <c r="F35" s="1">
        <v>-121.4057723</v>
      </c>
      <c r="G35" s="1" t="s">
        <v>10</v>
      </c>
      <c r="H35" s="1" t="str">
        <f t="shared" si="1"/>
        <v>CA</v>
      </c>
      <c r="I35" s="1">
        <f t="shared" si="2"/>
        <v>1</v>
      </c>
    </row>
    <row r="36" spans="1:9" x14ac:dyDescent="0.2">
      <c r="A36" s="1" t="s">
        <v>101</v>
      </c>
      <c r="B36" s="1">
        <v>7051.6</v>
      </c>
      <c r="C36" s="1" t="s">
        <v>6</v>
      </c>
      <c r="D36" s="1">
        <f t="shared" si="0"/>
        <v>50588.018746491216</v>
      </c>
      <c r="E36" s="1" t="s">
        <v>11</v>
      </c>
      <c r="F36" s="1" t="s">
        <v>11</v>
      </c>
      <c r="G36" s="1" t="s">
        <v>10</v>
      </c>
      <c r="H36" s="1" t="str">
        <f t="shared" si="1"/>
        <v>CA</v>
      </c>
      <c r="I36" s="1">
        <f t="shared" si="2"/>
        <v>0</v>
      </c>
    </row>
    <row r="37" spans="1:9" x14ac:dyDescent="0.2">
      <c r="A37" s="1" t="s">
        <v>102</v>
      </c>
      <c r="B37" s="1">
        <v>80337.73</v>
      </c>
      <c r="C37" s="1" t="s">
        <v>6</v>
      </c>
      <c r="D37" s="1">
        <f t="shared" si="0"/>
        <v>50588.018746491216</v>
      </c>
      <c r="E37" s="1">
        <v>38.428660000000001</v>
      </c>
      <c r="F37" s="1">
        <v>-121.44399</v>
      </c>
      <c r="G37" s="1" t="s">
        <v>10</v>
      </c>
      <c r="H37" s="1" t="str">
        <f t="shared" si="1"/>
        <v>CA</v>
      </c>
      <c r="I37" s="1">
        <f t="shared" si="2"/>
        <v>1</v>
      </c>
    </row>
    <row r="38" spans="1:9" x14ac:dyDescent="0.2">
      <c r="A38" s="1" t="s">
        <v>103</v>
      </c>
      <c r="B38" s="1">
        <v>47156.88</v>
      </c>
      <c r="C38" s="1" t="s">
        <v>6</v>
      </c>
      <c r="D38" s="1">
        <f t="shared" si="0"/>
        <v>50588.018746491216</v>
      </c>
      <c r="E38" s="1">
        <v>38.43779</v>
      </c>
      <c r="F38" s="1">
        <v>-121.29986</v>
      </c>
      <c r="G38" s="1" t="s">
        <v>10</v>
      </c>
      <c r="H38" s="1" t="str">
        <f t="shared" si="1"/>
        <v>CA</v>
      </c>
      <c r="I38" s="1">
        <f t="shared" si="2"/>
        <v>0</v>
      </c>
    </row>
    <row r="39" spans="1:9" x14ac:dyDescent="0.2">
      <c r="A39" s="1" t="s">
        <v>104</v>
      </c>
      <c r="B39" s="1">
        <v>145562.99</v>
      </c>
      <c r="C39" s="1" t="s">
        <v>6</v>
      </c>
      <c r="D39" s="1">
        <f t="shared" si="0"/>
        <v>50588.018746491216</v>
      </c>
      <c r="E39" s="1">
        <v>38.380915369999997</v>
      </c>
      <c r="F39" s="1">
        <v>-121.35420000000001</v>
      </c>
      <c r="G39" s="1" t="s">
        <v>10</v>
      </c>
      <c r="H39" s="1" t="str">
        <f t="shared" si="1"/>
        <v>CA</v>
      </c>
      <c r="I39" s="1">
        <f t="shared" si="2"/>
        <v>1</v>
      </c>
    </row>
    <row r="40" spans="1:9" x14ac:dyDescent="0.2">
      <c r="A40" s="1" t="s">
        <v>105</v>
      </c>
      <c r="B40" s="1">
        <v>66556.34</v>
      </c>
      <c r="C40" s="1" t="s">
        <v>6</v>
      </c>
      <c r="D40" s="1">
        <f t="shared" si="0"/>
        <v>50588.018746491216</v>
      </c>
      <c r="E40" s="1">
        <v>38.43823098</v>
      </c>
      <c r="F40" s="1">
        <v>-121.3964849</v>
      </c>
      <c r="G40" s="1" t="s">
        <v>10</v>
      </c>
      <c r="H40" s="1" t="str">
        <f t="shared" si="1"/>
        <v>CA</v>
      </c>
      <c r="I40" s="1">
        <f t="shared" si="2"/>
        <v>1</v>
      </c>
    </row>
    <row r="41" spans="1:9" x14ac:dyDescent="0.2">
      <c r="A41" s="1" t="s">
        <v>106</v>
      </c>
      <c r="B41" s="1">
        <v>80448.23</v>
      </c>
      <c r="C41" s="1" t="s">
        <v>6</v>
      </c>
      <c r="D41" s="1">
        <f t="shared" si="0"/>
        <v>50588.018746491216</v>
      </c>
      <c r="E41" s="1">
        <v>38.390783839999997</v>
      </c>
      <c r="F41" s="1">
        <v>-121.4173246</v>
      </c>
      <c r="G41" s="1" t="s">
        <v>10</v>
      </c>
      <c r="H41" s="1" t="str">
        <f t="shared" si="1"/>
        <v>CA</v>
      </c>
      <c r="I41" s="1">
        <f t="shared" si="2"/>
        <v>1</v>
      </c>
    </row>
    <row r="42" spans="1:9" x14ac:dyDescent="0.2">
      <c r="A42" s="1" t="s">
        <v>107</v>
      </c>
      <c r="B42" s="1">
        <v>12314.61</v>
      </c>
      <c r="C42" s="1" t="s">
        <v>6</v>
      </c>
      <c r="D42" s="1">
        <f t="shared" si="0"/>
        <v>50588.018746491216</v>
      </c>
      <c r="E42" s="1">
        <v>38.408842919999998</v>
      </c>
      <c r="F42" s="1">
        <v>-121.3894653</v>
      </c>
      <c r="G42" s="1" t="s">
        <v>10</v>
      </c>
      <c r="H42" s="1" t="str">
        <f t="shared" si="1"/>
        <v>CA</v>
      </c>
      <c r="I42" s="1">
        <f t="shared" si="2"/>
        <v>0</v>
      </c>
    </row>
    <row r="43" spans="1:9" x14ac:dyDescent="0.2">
      <c r="A43" s="1" t="s">
        <v>108</v>
      </c>
      <c r="B43" s="1">
        <v>31578</v>
      </c>
      <c r="C43" s="1" t="s">
        <v>6</v>
      </c>
      <c r="D43" s="1">
        <f t="shared" si="0"/>
        <v>50588.018746491216</v>
      </c>
      <c r="E43" s="1">
        <v>38.422992270000002</v>
      </c>
      <c r="F43" s="1">
        <v>-121.44614489999999</v>
      </c>
      <c r="G43" s="1" t="s">
        <v>10</v>
      </c>
      <c r="H43" s="1" t="str">
        <f t="shared" si="1"/>
        <v>CA</v>
      </c>
      <c r="I43" s="1">
        <f t="shared" si="2"/>
        <v>0</v>
      </c>
    </row>
    <row r="44" spans="1:9" x14ac:dyDescent="0.2">
      <c r="A44" s="1" t="s">
        <v>109</v>
      </c>
      <c r="B44" s="1">
        <v>36540.230000000003</v>
      </c>
      <c r="C44" s="1" t="s">
        <v>6</v>
      </c>
      <c r="D44" s="1">
        <f t="shared" si="0"/>
        <v>50588.018746491216</v>
      </c>
      <c r="E44" s="1">
        <v>38.450649239999997</v>
      </c>
      <c r="F44" s="1">
        <v>-121.37144410000001</v>
      </c>
      <c r="G44" s="1" t="s">
        <v>10</v>
      </c>
      <c r="H44" s="1" t="str">
        <f t="shared" si="1"/>
        <v>CA</v>
      </c>
      <c r="I44" s="1">
        <f t="shared" si="2"/>
        <v>0</v>
      </c>
    </row>
    <row r="45" spans="1:9" x14ac:dyDescent="0.2">
      <c r="A45" s="1" t="s">
        <v>110</v>
      </c>
      <c r="B45" s="1">
        <v>50864.54</v>
      </c>
      <c r="C45" s="1" t="s">
        <v>6</v>
      </c>
      <c r="D45" s="1">
        <f t="shared" si="0"/>
        <v>50588.018746491216</v>
      </c>
      <c r="E45" s="1">
        <v>38.409227129999998</v>
      </c>
      <c r="F45" s="1">
        <v>-121.35177</v>
      </c>
      <c r="G45" s="1" t="s">
        <v>10</v>
      </c>
      <c r="H45" s="1" t="str">
        <f t="shared" si="1"/>
        <v>CA</v>
      </c>
      <c r="I45" s="1">
        <f t="shared" si="2"/>
        <v>1</v>
      </c>
    </row>
    <row r="46" spans="1:9" x14ac:dyDescent="0.2">
      <c r="A46" s="1" t="s">
        <v>111</v>
      </c>
      <c r="B46" s="1">
        <v>43992.77</v>
      </c>
      <c r="C46" s="1" t="s">
        <v>6</v>
      </c>
      <c r="D46" s="1">
        <f t="shared" si="0"/>
        <v>50588.018746491216</v>
      </c>
      <c r="E46" s="1">
        <v>38.408472869999997</v>
      </c>
      <c r="F46" s="1">
        <v>-121.44862000000001</v>
      </c>
      <c r="G46" s="1" t="s">
        <v>10</v>
      </c>
      <c r="H46" s="1" t="str">
        <f t="shared" si="1"/>
        <v>CA</v>
      </c>
      <c r="I46" s="1">
        <f t="shared" si="2"/>
        <v>0</v>
      </c>
    </row>
    <row r="47" spans="1:9" x14ac:dyDescent="0.2">
      <c r="A47" s="1" t="s">
        <v>112</v>
      </c>
      <c r="B47" s="1">
        <v>49564.06</v>
      </c>
      <c r="C47" s="1" t="s">
        <v>6</v>
      </c>
      <c r="D47" s="1">
        <f t="shared" si="0"/>
        <v>50588.018746491216</v>
      </c>
      <c r="E47" s="1">
        <v>38.42341425</v>
      </c>
      <c r="F47" s="1">
        <v>-121.4474731</v>
      </c>
      <c r="G47" s="1" t="s">
        <v>10</v>
      </c>
      <c r="H47" s="1" t="str">
        <f t="shared" si="1"/>
        <v>CA</v>
      </c>
      <c r="I47" s="1">
        <f t="shared" si="2"/>
        <v>0</v>
      </c>
    </row>
    <row r="48" spans="1:9" x14ac:dyDescent="0.2">
      <c r="A48" s="1" t="s">
        <v>113</v>
      </c>
      <c r="B48" s="1">
        <v>44150.86</v>
      </c>
      <c r="C48" s="1" t="s">
        <v>6</v>
      </c>
      <c r="D48" s="1">
        <f t="shared" si="0"/>
        <v>50588.018746491216</v>
      </c>
      <c r="E48" s="1" t="s">
        <v>11</v>
      </c>
      <c r="F48" s="1" t="s">
        <v>11</v>
      </c>
      <c r="G48" s="1" t="s">
        <v>10</v>
      </c>
      <c r="H48" s="1" t="str">
        <f t="shared" si="1"/>
        <v>CA</v>
      </c>
      <c r="I48" s="1">
        <f t="shared" si="2"/>
        <v>0</v>
      </c>
    </row>
    <row r="49" spans="1:9" x14ac:dyDescent="0.2">
      <c r="A49" s="1" t="s">
        <v>114</v>
      </c>
      <c r="B49" s="1">
        <v>41747.21</v>
      </c>
      <c r="C49" s="1" t="s">
        <v>6</v>
      </c>
      <c r="D49" s="1">
        <f t="shared" si="0"/>
        <v>50588.018746491216</v>
      </c>
      <c r="E49" s="1">
        <v>38.42501</v>
      </c>
      <c r="F49" s="1">
        <v>-121.37184499999999</v>
      </c>
      <c r="G49" s="1" t="s">
        <v>10</v>
      </c>
      <c r="H49" s="1" t="str">
        <f t="shared" si="1"/>
        <v>CA</v>
      </c>
      <c r="I49" s="1">
        <f t="shared" si="2"/>
        <v>0</v>
      </c>
    </row>
    <row r="50" spans="1:9" x14ac:dyDescent="0.2">
      <c r="A50" s="1" t="s">
        <v>115</v>
      </c>
      <c r="B50" s="1">
        <v>117734.01</v>
      </c>
      <c r="C50" s="1" t="s">
        <v>6</v>
      </c>
      <c r="D50" s="1">
        <f t="shared" si="0"/>
        <v>50588.018746491216</v>
      </c>
      <c r="E50" s="1">
        <v>38.423673360000002</v>
      </c>
      <c r="F50" s="1">
        <v>-121.4160347</v>
      </c>
      <c r="G50" s="1" t="s">
        <v>10</v>
      </c>
      <c r="H50" s="1" t="str">
        <f t="shared" si="1"/>
        <v>CA</v>
      </c>
      <c r="I50" s="1">
        <f t="shared" si="2"/>
        <v>1</v>
      </c>
    </row>
    <row r="51" spans="1:9" x14ac:dyDescent="0.2">
      <c r="A51" s="1" t="s">
        <v>116</v>
      </c>
      <c r="B51" s="1">
        <v>37266.82</v>
      </c>
      <c r="C51" s="1" t="s">
        <v>6</v>
      </c>
      <c r="D51" s="1">
        <f t="shared" si="0"/>
        <v>50588.018746491216</v>
      </c>
      <c r="E51" s="1">
        <v>38.42366123</v>
      </c>
      <c r="F51" s="1">
        <v>-121.41862570000001</v>
      </c>
      <c r="G51" s="1" t="s">
        <v>10</v>
      </c>
      <c r="H51" s="1" t="str">
        <f t="shared" si="1"/>
        <v>CA</v>
      </c>
      <c r="I51" s="1">
        <f t="shared" si="2"/>
        <v>0</v>
      </c>
    </row>
    <row r="52" spans="1:9" x14ac:dyDescent="0.2">
      <c r="A52" s="1" t="s">
        <v>117</v>
      </c>
      <c r="B52" s="1">
        <v>14256.47</v>
      </c>
      <c r="C52" s="1" t="s">
        <v>6</v>
      </c>
      <c r="D52" s="1">
        <f t="shared" si="0"/>
        <v>50588.018746491216</v>
      </c>
      <c r="E52" s="1">
        <v>38.423400229999999</v>
      </c>
      <c r="F52" s="1">
        <v>-121.37185460000001</v>
      </c>
      <c r="G52" s="1" t="s">
        <v>10</v>
      </c>
      <c r="H52" s="1" t="str">
        <f t="shared" si="1"/>
        <v>CA</v>
      </c>
      <c r="I52" s="1">
        <f t="shared" si="2"/>
        <v>0</v>
      </c>
    </row>
    <row r="53" spans="1:9" x14ac:dyDescent="0.2">
      <c r="A53" s="1" t="s">
        <v>118</v>
      </c>
      <c r="B53" s="1">
        <v>24592.07</v>
      </c>
      <c r="C53" s="1" t="s">
        <v>6</v>
      </c>
      <c r="D53" s="1">
        <f t="shared" si="0"/>
        <v>50588.018746491216</v>
      </c>
      <c r="E53" s="1">
        <v>38.423280099999999</v>
      </c>
      <c r="F53" s="1">
        <v>-121.44822310000001</v>
      </c>
      <c r="G53" s="1" t="s">
        <v>10</v>
      </c>
      <c r="H53" s="1" t="str">
        <f t="shared" si="1"/>
        <v>CA</v>
      </c>
      <c r="I53" s="1">
        <f t="shared" si="2"/>
        <v>0</v>
      </c>
    </row>
    <row r="54" spans="1:9" x14ac:dyDescent="0.2">
      <c r="A54" s="1" t="s">
        <v>119</v>
      </c>
      <c r="B54" s="1">
        <v>14373.95</v>
      </c>
      <c r="C54" s="1" t="s">
        <v>6</v>
      </c>
      <c r="D54" s="1">
        <f t="shared" si="0"/>
        <v>50588.018746491216</v>
      </c>
      <c r="E54" s="1">
        <v>38.452518980000001</v>
      </c>
      <c r="F54" s="1">
        <v>-121.3719451</v>
      </c>
      <c r="G54" s="1" t="s">
        <v>10</v>
      </c>
      <c r="H54" s="1" t="str">
        <f t="shared" si="1"/>
        <v>CA</v>
      </c>
      <c r="I54" s="1">
        <f t="shared" si="2"/>
        <v>0</v>
      </c>
    </row>
    <row r="55" spans="1:9" x14ac:dyDescent="0.2">
      <c r="A55" s="1" t="s">
        <v>120</v>
      </c>
      <c r="B55" s="1">
        <v>71640.820000000007</v>
      </c>
      <c r="C55" s="1" t="s">
        <v>6</v>
      </c>
      <c r="D55" s="1">
        <f t="shared" si="0"/>
        <v>50588.018746491216</v>
      </c>
      <c r="E55" s="1">
        <v>38.664092869999998</v>
      </c>
      <c r="F55" s="1">
        <v>-121.24388999999999</v>
      </c>
      <c r="G55" s="1" t="s">
        <v>12</v>
      </c>
      <c r="H55" s="1" t="str">
        <f t="shared" si="1"/>
        <v>CA</v>
      </c>
      <c r="I55" s="1">
        <f t="shared" si="2"/>
        <v>1</v>
      </c>
    </row>
    <row r="56" spans="1:9" x14ac:dyDescent="0.2">
      <c r="A56" s="1" t="s">
        <v>121</v>
      </c>
      <c r="B56" s="1">
        <v>33870.01</v>
      </c>
      <c r="C56" s="1" t="s">
        <v>6</v>
      </c>
      <c r="D56" s="1">
        <f t="shared" si="0"/>
        <v>50588.018746491216</v>
      </c>
      <c r="E56" s="1">
        <v>38.645088610000002</v>
      </c>
      <c r="F56" s="1">
        <v>-121.271725</v>
      </c>
      <c r="G56" s="1" t="s">
        <v>12</v>
      </c>
      <c r="H56" s="1" t="str">
        <f t="shared" si="1"/>
        <v>CA</v>
      </c>
      <c r="I56" s="1">
        <f t="shared" si="2"/>
        <v>0</v>
      </c>
    </row>
    <row r="57" spans="1:9" x14ac:dyDescent="0.2">
      <c r="A57" s="1" t="s">
        <v>122</v>
      </c>
      <c r="B57" s="1">
        <v>48368.2</v>
      </c>
      <c r="C57" s="1" t="s">
        <v>6</v>
      </c>
      <c r="D57" s="1">
        <f t="shared" si="0"/>
        <v>50588.018746491216</v>
      </c>
      <c r="E57" s="1">
        <v>38.654029999999999</v>
      </c>
      <c r="F57" s="1">
        <v>-121.2919144</v>
      </c>
      <c r="G57" s="1" t="s">
        <v>12</v>
      </c>
      <c r="H57" s="1" t="str">
        <f t="shared" si="1"/>
        <v>CA</v>
      </c>
      <c r="I57" s="1">
        <f t="shared" si="2"/>
        <v>0</v>
      </c>
    </row>
    <row r="58" spans="1:9" x14ac:dyDescent="0.2">
      <c r="A58" s="1" t="s">
        <v>123</v>
      </c>
      <c r="B58" s="1">
        <v>45323.77</v>
      </c>
      <c r="C58" s="1" t="s">
        <v>6</v>
      </c>
      <c r="D58" s="1">
        <f t="shared" si="0"/>
        <v>50588.018746491216</v>
      </c>
      <c r="E58" s="1">
        <v>38.66374287</v>
      </c>
      <c r="F58" s="1">
        <v>-121.22684</v>
      </c>
      <c r="G58" s="1" t="s">
        <v>12</v>
      </c>
      <c r="H58" s="1" t="str">
        <f t="shared" si="1"/>
        <v>CA</v>
      </c>
      <c r="I58" s="1">
        <f t="shared" si="2"/>
        <v>0</v>
      </c>
    </row>
    <row r="59" spans="1:9" x14ac:dyDescent="0.2">
      <c r="A59" s="1" t="s">
        <v>124</v>
      </c>
      <c r="B59" s="1">
        <v>65109.25</v>
      </c>
      <c r="C59" s="1" t="s">
        <v>6</v>
      </c>
      <c r="D59" s="1">
        <f t="shared" si="0"/>
        <v>50588.018746491216</v>
      </c>
      <c r="E59" s="1">
        <v>38.664233950000003</v>
      </c>
      <c r="F59" s="1">
        <v>-121.2233925</v>
      </c>
      <c r="G59" s="1" t="s">
        <v>12</v>
      </c>
      <c r="H59" s="1" t="str">
        <f t="shared" si="1"/>
        <v>CA</v>
      </c>
      <c r="I59" s="1">
        <f t="shared" si="2"/>
        <v>1</v>
      </c>
    </row>
    <row r="60" spans="1:9" x14ac:dyDescent="0.2">
      <c r="A60" s="1" t="s">
        <v>125</v>
      </c>
      <c r="B60" s="1">
        <v>99284.71</v>
      </c>
      <c r="C60" s="1" t="s">
        <v>6</v>
      </c>
      <c r="D60" s="1">
        <f t="shared" si="0"/>
        <v>50588.018746491216</v>
      </c>
      <c r="E60" s="1">
        <v>38.665099259999998</v>
      </c>
      <c r="F60" s="1">
        <v>-121.30839229999999</v>
      </c>
      <c r="G60" s="1" t="s">
        <v>12</v>
      </c>
      <c r="H60" s="1" t="str">
        <f t="shared" si="1"/>
        <v>CA</v>
      </c>
      <c r="I60" s="1">
        <f t="shared" si="2"/>
        <v>1</v>
      </c>
    </row>
    <row r="61" spans="1:9" x14ac:dyDescent="0.2">
      <c r="A61" s="1" t="s">
        <v>126</v>
      </c>
      <c r="B61" s="1">
        <v>46558.85</v>
      </c>
      <c r="C61" s="1" t="s">
        <v>6</v>
      </c>
      <c r="D61" s="1">
        <f t="shared" si="0"/>
        <v>50588.018746491216</v>
      </c>
      <c r="E61" s="1">
        <v>38.65687483</v>
      </c>
      <c r="F61" s="1">
        <v>-121.1826097</v>
      </c>
      <c r="G61" s="1" t="s">
        <v>13</v>
      </c>
      <c r="H61" s="1" t="str">
        <f t="shared" si="1"/>
        <v>CA</v>
      </c>
      <c r="I61" s="1">
        <f t="shared" si="2"/>
        <v>0</v>
      </c>
    </row>
    <row r="62" spans="1:9" x14ac:dyDescent="0.2">
      <c r="A62" s="1" t="s">
        <v>127</v>
      </c>
      <c r="B62" s="1">
        <v>23301.09</v>
      </c>
      <c r="C62" s="1" t="s">
        <v>6</v>
      </c>
      <c r="D62" s="1">
        <f t="shared" si="0"/>
        <v>50588.018746491216</v>
      </c>
      <c r="E62" s="1">
        <v>38.674182870000003</v>
      </c>
      <c r="F62" s="1">
        <v>-121.16909</v>
      </c>
      <c r="G62" s="1" t="s">
        <v>13</v>
      </c>
      <c r="H62" s="1" t="str">
        <f t="shared" si="1"/>
        <v>CA</v>
      </c>
      <c r="I62" s="1">
        <f t="shared" si="2"/>
        <v>0</v>
      </c>
    </row>
    <row r="63" spans="1:9" x14ac:dyDescent="0.2">
      <c r="A63" s="1" t="s">
        <v>128</v>
      </c>
      <c r="B63" s="1">
        <v>40248.639999999999</v>
      </c>
      <c r="C63" s="1" t="s">
        <v>6</v>
      </c>
      <c r="D63" s="1">
        <f t="shared" si="0"/>
        <v>50588.018746491216</v>
      </c>
      <c r="E63" s="1">
        <v>38.654675730000001</v>
      </c>
      <c r="F63" s="1">
        <v>-121.122927</v>
      </c>
      <c r="G63" s="1" t="s">
        <v>13</v>
      </c>
      <c r="H63" s="1" t="str">
        <f t="shared" si="1"/>
        <v>CA</v>
      </c>
      <c r="I63" s="1">
        <f t="shared" si="2"/>
        <v>0</v>
      </c>
    </row>
    <row r="64" spans="1:9" x14ac:dyDescent="0.2">
      <c r="A64" s="1" t="s">
        <v>129</v>
      </c>
      <c r="B64" s="1">
        <v>20846.97</v>
      </c>
      <c r="C64" s="1" t="s">
        <v>6</v>
      </c>
      <c r="D64" s="1">
        <f t="shared" si="0"/>
        <v>50588.018746491216</v>
      </c>
      <c r="E64" s="1">
        <v>38.670999479999999</v>
      </c>
      <c r="F64" s="1">
        <v>-121.1591195</v>
      </c>
      <c r="G64" s="1" t="s">
        <v>13</v>
      </c>
      <c r="H64" s="1" t="str">
        <f t="shared" si="1"/>
        <v>CA</v>
      </c>
      <c r="I64" s="1">
        <f t="shared" si="2"/>
        <v>0</v>
      </c>
    </row>
    <row r="65" spans="1:9" x14ac:dyDescent="0.2">
      <c r="A65" s="1" t="s">
        <v>130</v>
      </c>
      <c r="B65" s="1">
        <v>42516.15</v>
      </c>
      <c r="C65" s="1" t="s">
        <v>6</v>
      </c>
      <c r="D65" s="1">
        <f t="shared" si="0"/>
        <v>50588.018746491216</v>
      </c>
      <c r="E65" s="1">
        <v>38.689776770000002</v>
      </c>
      <c r="F65" s="1">
        <v>-121.1236239</v>
      </c>
      <c r="G65" s="1" t="s">
        <v>13</v>
      </c>
      <c r="H65" s="1" t="str">
        <f t="shared" si="1"/>
        <v>CA</v>
      </c>
      <c r="I65" s="1">
        <f t="shared" si="2"/>
        <v>0</v>
      </c>
    </row>
    <row r="66" spans="1:9" x14ac:dyDescent="0.2">
      <c r="A66" s="1" t="s">
        <v>131</v>
      </c>
      <c r="B66" s="1">
        <v>2151.1</v>
      </c>
      <c r="C66" s="1" t="s">
        <v>6</v>
      </c>
      <c r="D66" s="1">
        <f t="shared" si="0"/>
        <v>50588.018746491216</v>
      </c>
      <c r="E66" s="1">
        <v>38.673445299999997</v>
      </c>
      <c r="F66" s="1">
        <v>-121.1651146</v>
      </c>
      <c r="G66" s="1" t="s">
        <v>13</v>
      </c>
      <c r="H66" s="1" t="str">
        <f t="shared" si="1"/>
        <v>CA</v>
      </c>
      <c r="I66" s="1">
        <f t="shared" si="2"/>
        <v>0</v>
      </c>
    </row>
    <row r="67" spans="1:9" x14ac:dyDescent="0.2">
      <c r="A67" s="1" t="s">
        <v>132</v>
      </c>
      <c r="B67" s="1">
        <v>55748.4</v>
      </c>
      <c r="C67" s="1" t="s">
        <v>6</v>
      </c>
      <c r="D67" s="1">
        <f t="shared" ref="D67:D130" si="3">AVERAGEIFS($B:$B,$C:$C,$C67)</f>
        <v>50588.018746491216</v>
      </c>
      <c r="E67" s="1">
        <v>38.650968749999997</v>
      </c>
      <c r="F67" s="1">
        <v>-121.1646999</v>
      </c>
      <c r="G67" s="1" t="s">
        <v>13</v>
      </c>
      <c r="H67" s="1" t="str">
        <f t="shared" ref="H67:H130" si="4">TRIM(_xlfn.TEXTAFTER(A67, ",", -1))</f>
        <v>CA</v>
      </c>
      <c r="I67" s="1">
        <f t="shared" ref="I67:I130" si="5">IF(B67&gt;D67,1,0)</f>
        <v>1</v>
      </c>
    </row>
    <row r="68" spans="1:9" x14ac:dyDescent="0.2">
      <c r="A68" s="1" t="s">
        <v>133</v>
      </c>
      <c r="B68" s="1">
        <v>74237.34</v>
      </c>
      <c r="C68" s="1" t="s">
        <v>6</v>
      </c>
      <c r="D68" s="1">
        <f t="shared" si="3"/>
        <v>50588.018746491216</v>
      </c>
      <c r="E68" s="1">
        <v>38.670947320000003</v>
      </c>
      <c r="F68" s="1">
        <v>-121.1519902</v>
      </c>
      <c r="G68" s="1" t="s">
        <v>13</v>
      </c>
      <c r="H68" s="1" t="str">
        <f t="shared" si="4"/>
        <v>CA</v>
      </c>
      <c r="I68" s="1">
        <f t="shared" si="5"/>
        <v>1</v>
      </c>
    </row>
    <row r="69" spans="1:9" x14ac:dyDescent="0.2">
      <c r="A69" s="1" t="s">
        <v>134</v>
      </c>
      <c r="C69" s="1" t="s">
        <v>6</v>
      </c>
      <c r="D69" s="1">
        <f t="shared" si="3"/>
        <v>50588.018746491216</v>
      </c>
      <c r="E69" s="1">
        <v>38.670631020000002</v>
      </c>
      <c r="F69" s="1">
        <v>-121.16512969999999</v>
      </c>
      <c r="G69" s="1" t="s">
        <v>13</v>
      </c>
      <c r="H69" s="1" t="str">
        <f t="shared" si="4"/>
        <v>CA</v>
      </c>
      <c r="I69" s="1">
        <f t="shared" si="5"/>
        <v>0</v>
      </c>
    </row>
    <row r="70" spans="1:9" x14ac:dyDescent="0.2">
      <c r="A70" s="1" t="s">
        <v>135</v>
      </c>
      <c r="B70" s="1">
        <v>11999.01</v>
      </c>
      <c r="C70" s="1" t="s">
        <v>6</v>
      </c>
      <c r="D70" s="1">
        <f t="shared" si="3"/>
        <v>50588.018746491216</v>
      </c>
      <c r="E70" s="1">
        <v>38.65874797</v>
      </c>
      <c r="F70" s="1">
        <v>-121.12943129999999</v>
      </c>
      <c r="G70" s="1" t="s">
        <v>13</v>
      </c>
      <c r="H70" s="1" t="str">
        <f t="shared" si="4"/>
        <v>CA</v>
      </c>
      <c r="I70" s="1">
        <f t="shared" si="5"/>
        <v>0</v>
      </c>
    </row>
    <row r="71" spans="1:9" x14ac:dyDescent="0.2">
      <c r="A71" s="1" t="s">
        <v>136</v>
      </c>
      <c r="B71" s="1">
        <v>49500.33</v>
      </c>
      <c r="C71" s="1" t="s">
        <v>6</v>
      </c>
      <c r="D71" s="1">
        <f t="shared" si="3"/>
        <v>50588.018746491216</v>
      </c>
      <c r="E71" s="1">
        <v>38.253288830000002</v>
      </c>
      <c r="F71" s="1">
        <v>-121.2950408</v>
      </c>
      <c r="G71" s="1" t="s">
        <v>14</v>
      </c>
      <c r="H71" s="1" t="str">
        <f t="shared" si="4"/>
        <v>CA</v>
      </c>
      <c r="I71" s="1">
        <f t="shared" si="5"/>
        <v>0</v>
      </c>
    </row>
    <row r="72" spans="1:9" x14ac:dyDescent="0.2">
      <c r="A72" s="1" t="s">
        <v>137</v>
      </c>
      <c r="B72" s="1">
        <v>146922.21</v>
      </c>
      <c r="C72" s="1" t="s">
        <v>6</v>
      </c>
      <c r="D72" s="1">
        <f t="shared" si="3"/>
        <v>50588.018746491216</v>
      </c>
      <c r="E72" s="1">
        <v>38.289918540000002</v>
      </c>
      <c r="F72" s="1">
        <v>-121.3104361</v>
      </c>
      <c r="G72" s="1" t="s">
        <v>14</v>
      </c>
      <c r="H72" s="1" t="str">
        <f t="shared" si="4"/>
        <v>CA</v>
      </c>
      <c r="I72" s="1">
        <f t="shared" si="5"/>
        <v>1</v>
      </c>
    </row>
    <row r="73" spans="1:9" x14ac:dyDescent="0.2">
      <c r="A73" s="1" t="s">
        <v>138</v>
      </c>
      <c r="B73" s="1">
        <v>42413.23</v>
      </c>
      <c r="C73" s="1" t="s">
        <v>6</v>
      </c>
      <c r="D73" s="1">
        <f t="shared" si="3"/>
        <v>50588.018746491216</v>
      </c>
      <c r="E73" s="1">
        <v>38.24907529</v>
      </c>
      <c r="F73" s="1">
        <v>-121.3045705</v>
      </c>
      <c r="G73" s="1" t="s">
        <v>14</v>
      </c>
      <c r="H73" s="1" t="str">
        <f t="shared" si="4"/>
        <v>CA</v>
      </c>
      <c r="I73" s="1">
        <f t="shared" si="5"/>
        <v>0</v>
      </c>
    </row>
    <row r="74" spans="1:9" x14ac:dyDescent="0.2">
      <c r="A74" s="1" t="s">
        <v>139</v>
      </c>
      <c r="B74" s="1">
        <v>35954.97</v>
      </c>
      <c r="C74" s="1" t="s">
        <v>6</v>
      </c>
      <c r="D74" s="1">
        <f t="shared" si="3"/>
        <v>50588.018746491216</v>
      </c>
      <c r="E74" s="1">
        <v>38.29094216</v>
      </c>
      <c r="F74" s="1">
        <v>-121.3070163</v>
      </c>
      <c r="G74" s="1" t="s">
        <v>14</v>
      </c>
      <c r="H74" s="1" t="str">
        <f t="shared" si="4"/>
        <v>CA</v>
      </c>
      <c r="I74" s="1">
        <f t="shared" si="5"/>
        <v>0</v>
      </c>
    </row>
    <row r="75" spans="1:9" x14ac:dyDescent="0.2">
      <c r="A75" s="1" t="s">
        <v>140</v>
      </c>
      <c r="B75" s="1">
        <v>60762.39</v>
      </c>
      <c r="C75" s="1" t="s">
        <v>6</v>
      </c>
      <c r="D75" s="1">
        <f t="shared" si="3"/>
        <v>50588.018746491216</v>
      </c>
      <c r="E75" s="1">
        <v>38.253267119999997</v>
      </c>
      <c r="F75" s="1">
        <v>-121.2971019</v>
      </c>
      <c r="G75" s="1" t="s">
        <v>14</v>
      </c>
      <c r="H75" s="1" t="str">
        <f t="shared" si="4"/>
        <v>CA</v>
      </c>
      <c r="I75" s="1">
        <f t="shared" si="5"/>
        <v>1</v>
      </c>
    </row>
    <row r="76" spans="1:9" x14ac:dyDescent="0.2">
      <c r="A76" s="1" t="s">
        <v>141</v>
      </c>
      <c r="B76" s="1">
        <v>50438.06</v>
      </c>
      <c r="C76" s="1" t="s">
        <v>6</v>
      </c>
      <c r="D76" s="1">
        <f t="shared" si="3"/>
        <v>50588.018746491216</v>
      </c>
      <c r="E76" s="1">
        <v>38.615452329999997</v>
      </c>
      <c r="F76" s="1">
        <v>-121.2688112</v>
      </c>
      <c r="G76" s="1" t="s">
        <v>15</v>
      </c>
      <c r="H76" s="1" t="str">
        <f t="shared" si="4"/>
        <v>CA</v>
      </c>
      <c r="I76" s="1">
        <f t="shared" si="5"/>
        <v>0</v>
      </c>
    </row>
    <row r="77" spans="1:9" x14ac:dyDescent="0.2">
      <c r="A77" s="1" t="s">
        <v>142</v>
      </c>
      <c r="B77" s="1">
        <v>70345.990000000005</v>
      </c>
      <c r="C77" s="1" t="s">
        <v>6</v>
      </c>
      <c r="D77" s="1">
        <f t="shared" si="3"/>
        <v>50588.018746491216</v>
      </c>
      <c r="E77" s="1">
        <v>38.618716710000001</v>
      </c>
      <c r="F77" s="1">
        <v>-121.26776529999999</v>
      </c>
      <c r="G77" s="1" t="s">
        <v>15</v>
      </c>
      <c r="H77" s="1" t="str">
        <f t="shared" si="4"/>
        <v>CA</v>
      </c>
      <c r="I77" s="1">
        <f t="shared" si="5"/>
        <v>1</v>
      </c>
    </row>
    <row r="78" spans="1:9" x14ac:dyDescent="0.2">
      <c r="A78" s="1" t="s">
        <v>143</v>
      </c>
      <c r="B78" s="1">
        <v>32717.4</v>
      </c>
      <c r="C78" s="1" t="s">
        <v>6</v>
      </c>
      <c r="D78" s="1">
        <f t="shared" si="3"/>
        <v>50588.018746491216</v>
      </c>
      <c r="E78" s="1">
        <v>38.625669139999999</v>
      </c>
      <c r="F78" s="1">
        <v>-121.2625843</v>
      </c>
      <c r="G78" s="1" t="s">
        <v>15</v>
      </c>
      <c r="H78" s="1" t="str">
        <f t="shared" si="4"/>
        <v>CA</v>
      </c>
      <c r="I78" s="1">
        <f t="shared" si="5"/>
        <v>0</v>
      </c>
    </row>
    <row r="79" spans="1:9" x14ac:dyDescent="0.2">
      <c r="A79" s="1" t="s">
        <v>144</v>
      </c>
      <c r="C79" s="1" t="s">
        <v>6</v>
      </c>
      <c r="D79" s="1">
        <f t="shared" si="3"/>
        <v>50588.018746491216</v>
      </c>
      <c r="E79" s="1">
        <v>38.662469999999999</v>
      </c>
      <c r="F79" s="1">
        <v>-121.40212</v>
      </c>
      <c r="G79" s="1" t="s">
        <v>16</v>
      </c>
      <c r="H79" s="1" t="str">
        <f t="shared" si="4"/>
        <v>CA</v>
      </c>
      <c r="I79" s="1">
        <f t="shared" si="5"/>
        <v>0</v>
      </c>
    </row>
    <row r="80" spans="1:9" x14ac:dyDescent="0.2">
      <c r="A80" s="1" t="s">
        <v>145</v>
      </c>
      <c r="B80" s="1">
        <v>27352.51</v>
      </c>
      <c r="C80" s="1" t="s">
        <v>6</v>
      </c>
      <c r="D80" s="1">
        <f t="shared" si="3"/>
        <v>50588.018746491216</v>
      </c>
      <c r="E80" s="1">
        <v>38.662469999999999</v>
      </c>
      <c r="F80" s="1">
        <v>-121.40212</v>
      </c>
      <c r="G80" s="1" t="s">
        <v>16</v>
      </c>
      <c r="H80" s="1" t="str">
        <f t="shared" si="4"/>
        <v>CA</v>
      </c>
      <c r="I80" s="1">
        <f t="shared" si="5"/>
        <v>0</v>
      </c>
    </row>
    <row r="81" spans="1:9" x14ac:dyDescent="0.2">
      <c r="A81" s="1" t="s">
        <v>146</v>
      </c>
      <c r="B81" s="1">
        <v>50074.47</v>
      </c>
      <c r="C81" s="1" t="s">
        <v>6</v>
      </c>
      <c r="D81" s="1">
        <f t="shared" si="3"/>
        <v>50588.018746491216</v>
      </c>
      <c r="E81" s="1">
        <v>38.654130000000002</v>
      </c>
      <c r="F81" s="1">
        <v>-121.3826744</v>
      </c>
      <c r="G81" s="1" t="s">
        <v>17</v>
      </c>
      <c r="H81" s="1" t="str">
        <f t="shared" si="4"/>
        <v>CA</v>
      </c>
      <c r="I81" s="1">
        <f t="shared" si="5"/>
        <v>0</v>
      </c>
    </row>
    <row r="82" spans="1:9" x14ac:dyDescent="0.2">
      <c r="A82" s="1" t="s">
        <v>147</v>
      </c>
      <c r="B82" s="1">
        <v>59251.47</v>
      </c>
      <c r="C82" s="1" t="s">
        <v>6</v>
      </c>
      <c r="D82" s="1">
        <f t="shared" si="3"/>
        <v>50588.018746491216</v>
      </c>
      <c r="E82" s="1">
        <v>38.69052713</v>
      </c>
      <c r="F82" s="1">
        <v>-121.38279</v>
      </c>
      <c r="G82" s="1" t="s">
        <v>17</v>
      </c>
      <c r="H82" s="1" t="str">
        <f t="shared" si="4"/>
        <v>CA</v>
      </c>
      <c r="I82" s="1">
        <f t="shared" si="5"/>
        <v>1</v>
      </c>
    </row>
    <row r="83" spans="1:9" x14ac:dyDescent="0.2">
      <c r="A83" s="1" t="s">
        <v>148</v>
      </c>
      <c r="B83" s="1">
        <v>104731.24</v>
      </c>
      <c r="C83" s="1" t="s">
        <v>6</v>
      </c>
      <c r="D83" s="1">
        <f t="shared" si="3"/>
        <v>50588.018746491216</v>
      </c>
      <c r="E83" s="1">
        <v>38.690102869999997</v>
      </c>
      <c r="F83" s="1">
        <v>-121.39346999999999</v>
      </c>
      <c r="G83" s="1" t="s">
        <v>17</v>
      </c>
      <c r="H83" s="1" t="str">
        <f t="shared" si="4"/>
        <v>CA</v>
      </c>
      <c r="I83" s="1">
        <f t="shared" si="5"/>
        <v>1</v>
      </c>
    </row>
    <row r="84" spans="1:9" x14ac:dyDescent="0.2">
      <c r="A84" s="1" t="s">
        <v>149</v>
      </c>
      <c r="B84" s="1">
        <v>77698.81</v>
      </c>
      <c r="C84" s="1" t="s">
        <v>6</v>
      </c>
      <c r="D84" s="1">
        <f t="shared" si="3"/>
        <v>50588.018746491216</v>
      </c>
      <c r="E84" s="1">
        <v>38.651260000000001</v>
      </c>
      <c r="F84" s="1">
        <v>-121.38319559999999</v>
      </c>
      <c r="G84" s="1" t="s">
        <v>17</v>
      </c>
      <c r="H84" s="1" t="str">
        <f t="shared" si="4"/>
        <v>CA</v>
      </c>
      <c r="I84" s="1">
        <f t="shared" si="5"/>
        <v>1</v>
      </c>
    </row>
    <row r="85" spans="1:9" x14ac:dyDescent="0.2">
      <c r="A85" s="1" t="s">
        <v>150</v>
      </c>
      <c r="B85" s="1">
        <v>17080.939999999999</v>
      </c>
      <c r="C85" s="1" t="s">
        <v>6</v>
      </c>
      <c r="D85" s="1">
        <f t="shared" si="3"/>
        <v>50588.018746491216</v>
      </c>
      <c r="E85" s="1">
        <v>38.694687129999998</v>
      </c>
      <c r="F85" s="1">
        <v>-121.3648</v>
      </c>
      <c r="G85" s="1" t="s">
        <v>17</v>
      </c>
      <c r="H85" s="1" t="str">
        <f t="shared" si="4"/>
        <v>CA</v>
      </c>
      <c r="I85" s="1">
        <f t="shared" si="5"/>
        <v>0</v>
      </c>
    </row>
    <row r="86" spans="1:9" x14ac:dyDescent="0.2">
      <c r="A86" s="1" t="s">
        <v>151</v>
      </c>
      <c r="B86" s="1">
        <v>66403.88</v>
      </c>
      <c r="C86" s="1" t="s">
        <v>6</v>
      </c>
      <c r="D86" s="1">
        <f t="shared" si="3"/>
        <v>50588.018746491216</v>
      </c>
      <c r="E86" s="1">
        <v>38.702751540000001</v>
      </c>
      <c r="F86" s="1">
        <v>-121.3830857</v>
      </c>
      <c r="G86" s="1" t="s">
        <v>17</v>
      </c>
      <c r="H86" s="1" t="str">
        <f t="shared" si="4"/>
        <v>CA</v>
      </c>
      <c r="I86" s="1">
        <f t="shared" si="5"/>
        <v>1</v>
      </c>
    </row>
    <row r="87" spans="1:9" x14ac:dyDescent="0.2">
      <c r="A87" s="1" t="s">
        <v>152</v>
      </c>
      <c r="B87" s="1">
        <v>3410.38</v>
      </c>
      <c r="C87" s="1" t="s">
        <v>6</v>
      </c>
      <c r="D87" s="1">
        <f t="shared" si="3"/>
        <v>50588.018746491216</v>
      </c>
      <c r="E87" s="1">
        <v>38.687989999999999</v>
      </c>
      <c r="F87" s="1">
        <v>-121.3831357</v>
      </c>
      <c r="G87" s="1" t="s">
        <v>17</v>
      </c>
      <c r="H87" s="1" t="str">
        <f t="shared" si="4"/>
        <v>CA</v>
      </c>
      <c r="I87" s="1">
        <f t="shared" si="5"/>
        <v>0</v>
      </c>
    </row>
    <row r="88" spans="1:9" x14ac:dyDescent="0.2">
      <c r="A88" s="1" t="s">
        <v>153</v>
      </c>
      <c r="B88" s="1">
        <v>28219.55</v>
      </c>
      <c r="C88" s="1" t="s">
        <v>6</v>
      </c>
      <c r="D88" s="1">
        <f t="shared" si="3"/>
        <v>50588.018746491216</v>
      </c>
      <c r="E88" s="1">
        <v>38.660893350000002</v>
      </c>
      <c r="F88" s="1">
        <v>-121.3646962</v>
      </c>
      <c r="G88" s="1" t="s">
        <v>17</v>
      </c>
      <c r="H88" s="1" t="str">
        <f t="shared" si="4"/>
        <v>CA</v>
      </c>
      <c r="I88" s="1">
        <f t="shared" si="5"/>
        <v>0</v>
      </c>
    </row>
    <row r="89" spans="1:9" x14ac:dyDescent="0.2">
      <c r="A89" s="1" t="s">
        <v>154</v>
      </c>
      <c r="B89" s="1">
        <v>20048.21</v>
      </c>
      <c r="C89" s="1" t="s">
        <v>6</v>
      </c>
      <c r="D89" s="1">
        <f t="shared" si="3"/>
        <v>50588.018746491216</v>
      </c>
      <c r="E89" s="1">
        <v>38.703189999999999</v>
      </c>
      <c r="F89" s="1">
        <v>-121.38259429999999</v>
      </c>
      <c r="G89" s="1" t="s">
        <v>17</v>
      </c>
      <c r="H89" s="1" t="str">
        <f t="shared" si="4"/>
        <v>CA</v>
      </c>
      <c r="I89" s="1">
        <f t="shared" si="5"/>
        <v>0</v>
      </c>
    </row>
    <row r="90" spans="1:9" x14ac:dyDescent="0.2">
      <c r="A90" s="1" t="s">
        <v>155</v>
      </c>
      <c r="C90" s="1" t="s">
        <v>6</v>
      </c>
      <c r="D90" s="1">
        <f t="shared" si="3"/>
        <v>50588.018746491216</v>
      </c>
      <c r="E90" s="1">
        <v>38.691310000000001</v>
      </c>
      <c r="F90" s="1">
        <v>-121.38312569999999</v>
      </c>
      <c r="G90" s="1" t="s">
        <v>17</v>
      </c>
      <c r="H90" s="1" t="str">
        <f t="shared" si="4"/>
        <v>CA</v>
      </c>
      <c r="I90" s="1">
        <f t="shared" si="5"/>
        <v>0</v>
      </c>
    </row>
    <row r="91" spans="1:9" x14ac:dyDescent="0.2">
      <c r="A91" s="1" t="s">
        <v>156</v>
      </c>
      <c r="B91" s="1">
        <v>56182.59</v>
      </c>
      <c r="C91" s="1" t="s">
        <v>6</v>
      </c>
      <c r="D91" s="1">
        <f t="shared" si="3"/>
        <v>50588.018746491216</v>
      </c>
      <c r="E91" s="1">
        <v>38.691400629999997</v>
      </c>
      <c r="F91" s="1">
        <v>-121.2552597</v>
      </c>
      <c r="G91" s="1" t="s">
        <v>18</v>
      </c>
      <c r="H91" s="1" t="str">
        <f t="shared" si="4"/>
        <v>CA</v>
      </c>
      <c r="I91" s="1">
        <f t="shared" si="5"/>
        <v>1</v>
      </c>
    </row>
    <row r="92" spans="1:9" x14ac:dyDescent="0.2">
      <c r="A92" s="1" t="s">
        <v>157</v>
      </c>
      <c r="B92" s="1">
        <v>64151.24</v>
      </c>
      <c r="C92" s="1" t="s">
        <v>6</v>
      </c>
      <c r="D92" s="1">
        <f t="shared" si="3"/>
        <v>50588.018746491216</v>
      </c>
      <c r="E92" s="1">
        <v>38.677987340000001</v>
      </c>
      <c r="F92" s="1">
        <v>-121.20310859999999</v>
      </c>
      <c r="G92" s="1" t="s">
        <v>18</v>
      </c>
      <c r="H92" s="1" t="str">
        <f t="shared" si="4"/>
        <v>CA</v>
      </c>
      <c r="I92" s="1">
        <f t="shared" si="5"/>
        <v>1</v>
      </c>
    </row>
    <row r="93" spans="1:9" x14ac:dyDescent="0.2">
      <c r="A93" s="1" t="s">
        <v>158</v>
      </c>
      <c r="B93" s="1">
        <v>53098.04</v>
      </c>
      <c r="C93" s="1" t="s">
        <v>6</v>
      </c>
      <c r="D93" s="1">
        <f t="shared" si="3"/>
        <v>50588.018746491216</v>
      </c>
      <c r="E93" s="1">
        <v>38.672687400000001</v>
      </c>
      <c r="F93" s="1">
        <v>-121.2018894</v>
      </c>
      <c r="G93" s="1" t="s">
        <v>18</v>
      </c>
      <c r="H93" s="1" t="str">
        <f t="shared" si="4"/>
        <v>CA</v>
      </c>
      <c r="I93" s="1">
        <f t="shared" si="5"/>
        <v>1</v>
      </c>
    </row>
    <row r="94" spans="1:9" x14ac:dyDescent="0.2">
      <c r="A94" s="1" t="s">
        <v>159</v>
      </c>
      <c r="B94" s="1">
        <v>52616.72</v>
      </c>
      <c r="C94" s="1" t="s">
        <v>6</v>
      </c>
      <c r="D94" s="1">
        <f t="shared" si="3"/>
        <v>50588.018746491216</v>
      </c>
      <c r="E94" s="1">
        <v>38.678362870000001</v>
      </c>
      <c r="F94" s="1">
        <v>-121.2351575</v>
      </c>
      <c r="G94" s="1" t="s">
        <v>18</v>
      </c>
      <c r="H94" s="1" t="str">
        <f t="shared" si="4"/>
        <v>CA</v>
      </c>
      <c r="I94" s="1">
        <f t="shared" si="5"/>
        <v>1</v>
      </c>
    </row>
    <row r="95" spans="1:9" x14ac:dyDescent="0.2">
      <c r="A95" s="1" t="s">
        <v>160</v>
      </c>
      <c r="B95" s="1">
        <v>59092.61</v>
      </c>
      <c r="C95" s="1" t="s">
        <v>6</v>
      </c>
      <c r="D95" s="1">
        <f t="shared" si="3"/>
        <v>50588.018746491216</v>
      </c>
      <c r="E95" s="1">
        <v>38.583558709999998</v>
      </c>
      <c r="F95" s="1">
        <v>-121.3087292</v>
      </c>
      <c r="G95" s="1" t="s">
        <v>19</v>
      </c>
      <c r="H95" s="1" t="str">
        <f t="shared" si="4"/>
        <v>CA</v>
      </c>
      <c r="I95" s="1">
        <f t="shared" si="5"/>
        <v>1</v>
      </c>
    </row>
    <row r="96" spans="1:9" x14ac:dyDescent="0.2">
      <c r="A96" s="1" t="s">
        <v>161</v>
      </c>
      <c r="B96" s="1">
        <v>37636.15</v>
      </c>
      <c r="C96" s="1" t="s">
        <v>6</v>
      </c>
      <c r="D96" s="1">
        <f t="shared" si="3"/>
        <v>50588.018746491216</v>
      </c>
      <c r="E96" s="1">
        <v>38.604497369999997</v>
      </c>
      <c r="F96" s="1">
        <v>-121.2721477</v>
      </c>
      <c r="G96" s="1" t="s">
        <v>19</v>
      </c>
      <c r="H96" s="1" t="str">
        <f t="shared" si="4"/>
        <v>CA</v>
      </c>
      <c r="I96" s="1">
        <f t="shared" si="5"/>
        <v>0</v>
      </c>
    </row>
    <row r="97" spans="1:9" x14ac:dyDescent="0.2">
      <c r="A97" s="1" t="s">
        <v>162</v>
      </c>
      <c r="B97" s="1">
        <v>90218.51</v>
      </c>
      <c r="C97" s="1" t="s">
        <v>6</v>
      </c>
      <c r="D97" s="1">
        <f t="shared" si="3"/>
        <v>50588.018746491216</v>
      </c>
      <c r="E97" s="1">
        <v>38.585360520000002</v>
      </c>
      <c r="F97" s="1">
        <v>-121.26503510000001</v>
      </c>
      <c r="G97" s="1" t="s">
        <v>19</v>
      </c>
      <c r="H97" s="1" t="str">
        <f t="shared" si="4"/>
        <v>CA</v>
      </c>
      <c r="I97" s="1">
        <f t="shared" si="5"/>
        <v>1</v>
      </c>
    </row>
    <row r="98" spans="1:9" x14ac:dyDescent="0.2">
      <c r="A98" s="1" t="s">
        <v>163</v>
      </c>
      <c r="B98" s="1">
        <v>72402.570000000007</v>
      </c>
      <c r="C98" s="1" t="s">
        <v>6</v>
      </c>
      <c r="D98" s="1">
        <f t="shared" si="3"/>
        <v>50588.018746491216</v>
      </c>
      <c r="E98" s="1">
        <v>38.55796522</v>
      </c>
      <c r="F98" s="1">
        <v>-121.2431838</v>
      </c>
      <c r="G98" s="1" t="s">
        <v>19</v>
      </c>
      <c r="H98" s="1" t="str">
        <f t="shared" si="4"/>
        <v>CA</v>
      </c>
      <c r="I98" s="1">
        <f t="shared" si="5"/>
        <v>1</v>
      </c>
    </row>
    <row r="99" spans="1:9" x14ac:dyDescent="0.2">
      <c r="A99" s="1" t="s">
        <v>164</v>
      </c>
      <c r="B99" s="1">
        <v>71949.86</v>
      </c>
      <c r="C99" s="1" t="s">
        <v>6</v>
      </c>
      <c r="D99" s="1">
        <f t="shared" si="3"/>
        <v>50588.018746491216</v>
      </c>
      <c r="E99" s="1">
        <v>38.590055139999997</v>
      </c>
      <c r="F99" s="1">
        <v>-121.2652047</v>
      </c>
      <c r="G99" s="1" t="s">
        <v>19</v>
      </c>
      <c r="H99" s="1" t="str">
        <f t="shared" si="4"/>
        <v>CA</v>
      </c>
      <c r="I99" s="1">
        <f t="shared" si="5"/>
        <v>1</v>
      </c>
    </row>
    <row r="100" spans="1:9" x14ac:dyDescent="0.2">
      <c r="A100" s="1" t="s">
        <v>165</v>
      </c>
      <c r="B100" s="1">
        <v>41327.599999999999</v>
      </c>
      <c r="C100" s="1" t="s">
        <v>6</v>
      </c>
      <c r="D100" s="1">
        <f t="shared" si="3"/>
        <v>50588.018746491216</v>
      </c>
      <c r="E100" s="1">
        <v>38.593646739999997</v>
      </c>
      <c r="F100" s="1">
        <v>-121.2881402</v>
      </c>
      <c r="G100" s="1" t="s">
        <v>19</v>
      </c>
      <c r="H100" s="1" t="str">
        <f t="shared" si="4"/>
        <v>CA</v>
      </c>
      <c r="I100" s="1">
        <f t="shared" si="5"/>
        <v>0</v>
      </c>
    </row>
    <row r="101" spans="1:9" x14ac:dyDescent="0.2">
      <c r="A101" s="1" t="s">
        <v>166</v>
      </c>
      <c r="B101" s="1">
        <v>48044.77</v>
      </c>
      <c r="C101" s="1" t="s">
        <v>6</v>
      </c>
      <c r="D101" s="1">
        <f t="shared" si="3"/>
        <v>50588.018746491216</v>
      </c>
      <c r="E101" s="1">
        <v>38.632067499999998</v>
      </c>
      <c r="F101" s="1">
        <v>-121.21928339999999</v>
      </c>
      <c r="G101" s="1" t="s">
        <v>19</v>
      </c>
      <c r="H101" s="1" t="str">
        <f t="shared" si="4"/>
        <v>CA</v>
      </c>
      <c r="I101" s="1">
        <f t="shared" si="5"/>
        <v>0</v>
      </c>
    </row>
    <row r="102" spans="1:9" x14ac:dyDescent="0.2">
      <c r="A102" s="1" t="s">
        <v>167</v>
      </c>
      <c r="B102" s="1">
        <v>61330.33</v>
      </c>
      <c r="C102" s="1" t="s">
        <v>6</v>
      </c>
      <c r="D102" s="1">
        <f t="shared" si="3"/>
        <v>50588.018746491216</v>
      </c>
      <c r="E102" s="1">
        <v>38.556929619999998</v>
      </c>
      <c r="F102" s="1">
        <v>-121.2431273</v>
      </c>
      <c r="G102" s="1" t="s">
        <v>19</v>
      </c>
      <c r="H102" s="1" t="str">
        <f t="shared" si="4"/>
        <v>CA</v>
      </c>
      <c r="I102" s="1">
        <f t="shared" si="5"/>
        <v>1</v>
      </c>
    </row>
    <row r="103" spans="1:9" x14ac:dyDescent="0.2">
      <c r="A103" s="1" t="s">
        <v>168</v>
      </c>
      <c r="B103" s="1">
        <v>2386.54</v>
      </c>
      <c r="C103" s="1" t="s">
        <v>6</v>
      </c>
      <c r="D103" s="1">
        <f t="shared" si="3"/>
        <v>50588.018746491216</v>
      </c>
      <c r="E103" s="1">
        <v>38.625880389999999</v>
      </c>
      <c r="F103" s="1">
        <v>-121.2626029</v>
      </c>
      <c r="G103" s="1" t="s">
        <v>19</v>
      </c>
      <c r="H103" s="1" t="str">
        <f t="shared" si="4"/>
        <v>CA</v>
      </c>
      <c r="I103" s="1">
        <f t="shared" si="5"/>
        <v>0</v>
      </c>
    </row>
    <row r="104" spans="1:9" x14ac:dyDescent="0.2">
      <c r="A104" s="1" t="s">
        <v>169</v>
      </c>
      <c r="B104" s="1">
        <v>87773.440000000002</v>
      </c>
      <c r="C104" s="1" t="s">
        <v>6</v>
      </c>
      <c r="D104" s="1">
        <f t="shared" si="3"/>
        <v>50588.018746491216</v>
      </c>
      <c r="E104" s="1">
        <v>38.594642870000001</v>
      </c>
      <c r="F104" s="1">
        <v>-121.2921645</v>
      </c>
      <c r="G104" s="1" t="s">
        <v>19</v>
      </c>
      <c r="H104" s="1" t="str">
        <f t="shared" si="4"/>
        <v>CA</v>
      </c>
      <c r="I104" s="1">
        <f t="shared" si="5"/>
        <v>1</v>
      </c>
    </row>
    <row r="105" spans="1:9" x14ac:dyDescent="0.2">
      <c r="A105" s="1" t="s">
        <v>170</v>
      </c>
      <c r="B105" s="1">
        <v>83232.929999999993</v>
      </c>
      <c r="C105" s="1" t="s">
        <v>6</v>
      </c>
      <c r="D105" s="1">
        <f t="shared" si="3"/>
        <v>50588.018746491216</v>
      </c>
      <c r="E105" s="1">
        <v>38.594545359999998</v>
      </c>
      <c r="F105" s="1">
        <v>-121.2842335</v>
      </c>
      <c r="G105" s="1" t="s">
        <v>19</v>
      </c>
      <c r="H105" s="1" t="str">
        <f t="shared" si="4"/>
        <v>CA</v>
      </c>
      <c r="I105" s="1">
        <f t="shared" si="5"/>
        <v>1</v>
      </c>
    </row>
    <row r="106" spans="1:9" x14ac:dyDescent="0.2">
      <c r="A106" s="1" t="s">
        <v>171</v>
      </c>
      <c r="C106" s="1" t="s">
        <v>6</v>
      </c>
      <c r="D106" s="1">
        <f t="shared" si="3"/>
        <v>50588.018746491216</v>
      </c>
      <c r="E106" s="1">
        <v>38.596242660000001</v>
      </c>
      <c r="F106" s="1">
        <v>-121.2889285</v>
      </c>
      <c r="G106" s="1" t="s">
        <v>19</v>
      </c>
      <c r="H106" s="1" t="str">
        <f t="shared" si="4"/>
        <v>CA</v>
      </c>
      <c r="I106" s="1">
        <f t="shared" si="5"/>
        <v>0</v>
      </c>
    </row>
    <row r="107" spans="1:9" x14ac:dyDescent="0.2">
      <c r="A107" s="1" t="s">
        <v>172</v>
      </c>
      <c r="B107" s="1">
        <v>18054.82</v>
      </c>
      <c r="C107" s="1" t="s">
        <v>6</v>
      </c>
      <c r="D107" s="1">
        <f t="shared" si="3"/>
        <v>50588.018746491216</v>
      </c>
      <c r="E107" s="1">
        <v>38.55582854</v>
      </c>
      <c r="F107" s="1">
        <v>-121.2431254</v>
      </c>
      <c r="G107" s="1" t="s">
        <v>19</v>
      </c>
      <c r="H107" s="1" t="str">
        <f t="shared" si="4"/>
        <v>CA</v>
      </c>
      <c r="I107" s="1">
        <f t="shared" si="5"/>
        <v>0</v>
      </c>
    </row>
    <row r="108" spans="1:9" x14ac:dyDescent="0.2">
      <c r="A108" s="1" t="s">
        <v>173</v>
      </c>
      <c r="B108" s="1">
        <v>38098.07</v>
      </c>
      <c r="C108" s="1" t="s">
        <v>6</v>
      </c>
      <c r="D108" s="1">
        <f t="shared" si="3"/>
        <v>50588.018746491216</v>
      </c>
      <c r="E108" s="1">
        <v>38.492138240000003</v>
      </c>
      <c r="F108" s="1">
        <v>-121.0995242</v>
      </c>
      <c r="G108" s="1" t="s">
        <v>20</v>
      </c>
      <c r="H108" s="1" t="str">
        <f t="shared" si="4"/>
        <v>CA</v>
      </c>
      <c r="I108" s="1">
        <f t="shared" si="5"/>
        <v>0</v>
      </c>
    </row>
    <row r="109" spans="1:9" x14ac:dyDescent="0.2">
      <c r="A109" s="1" t="s">
        <v>174</v>
      </c>
      <c r="B109" s="1">
        <v>59189.760000000002</v>
      </c>
      <c r="C109" s="1" t="s">
        <v>6</v>
      </c>
      <c r="D109" s="1">
        <f t="shared" si="3"/>
        <v>50588.018746491216</v>
      </c>
      <c r="E109" s="1">
        <v>38.683720270000002</v>
      </c>
      <c r="F109" s="1">
        <v>-121.45741200000001</v>
      </c>
      <c r="G109" s="1" t="s">
        <v>21</v>
      </c>
      <c r="H109" s="1" t="str">
        <f t="shared" si="4"/>
        <v>CA</v>
      </c>
      <c r="I109" s="1">
        <f t="shared" si="5"/>
        <v>1</v>
      </c>
    </row>
    <row r="110" spans="1:9" x14ac:dyDescent="0.2">
      <c r="A110" s="1" t="s">
        <v>175</v>
      </c>
      <c r="B110" s="1">
        <v>4219.6400000000003</v>
      </c>
      <c r="C110" s="1" t="s">
        <v>6</v>
      </c>
      <c r="D110" s="1">
        <f t="shared" si="3"/>
        <v>50588.018746491216</v>
      </c>
      <c r="E110" s="1">
        <v>38.689579999999999</v>
      </c>
      <c r="F110" s="1">
        <v>-121.45581</v>
      </c>
      <c r="G110" s="1" t="s">
        <v>21</v>
      </c>
      <c r="H110" s="1" t="str">
        <f t="shared" si="4"/>
        <v>CA</v>
      </c>
      <c r="I110" s="1">
        <f t="shared" si="5"/>
        <v>0</v>
      </c>
    </row>
    <row r="111" spans="1:9" x14ac:dyDescent="0.2">
      <c r="A111" s="1" t="s">
        <v>176</v>
      </c>
      <c r="B111" s="1">
        <v>58709.89</v>
      </c>
      <c r="C111" s="1" t="s">
        <v>6</v>
      </c>
      <c r="D111" s="1">
        <f t="shared" si="3"/>
        <v>50588.018746491216</v>
      </c>
      <c r="E111" s="1">
        <v>38.516048400000003</v>
      </c>
      <c r="F111" s="1">
        <v>-121.5144485</v>
      </c>
      <c r="G111" s="1" t="s">
        <v>6</v>
      </c>
      <c r="H111" s="1" t="str">
        <f t="shared" si="4"/>
        <v>CA</v>
      </c>
      <c r="I111" s="1">
        <f t="shared" si="5"/>
        <v>1</v>
      </c>
    </row>
    <row r="112" spans="1:9" x14ac:dyDescent="0.2">
      <c r="A112" s="1" t="s">
        <v>177</v>
      </c>
      <c r="B112" s="1">
        <v>39568.57</v>
      </c>
      <c r="C112" s="1" t="s">
        <v>6</v>
      </c>
      <c r="D112" s="1">
        <f t="shared" si="3"/>
        <v>50588.018746491216</v>
      </c>
      <c r="E112" s="1">
        <v>38.468642869999996</v>
      </c>
      <c r="F112" s="1">
        <v>-121.4261869</v>
      </c>
      <c r="G112" s="1" t="s">
        <v>6</v>
      </c>
      <c r="H112" s="1" t="str">
        <f t="shared" si="4"/>
        <v>CA</v>
      </c>
      <c r="I112" s="1">
        <f t="shared" si="5"/>
        <v>0</v>
      </c>
    </row>
    <row r="113" spans="1:9" x14ac:dyDescent="0.2">
      <c r="A113" s="1" t="s">
        <v>178</v>
      </c>
      <c r="B113" s="1">
        <v>34578.53</v>
      </c>
      <c r="C113" s="1" t="s">
        <v>6</v>
      </c>
      <c r="D113" s="1">
        <f t="shared" si="3"/>
        <v>50588.018746491216</v>
      </c>
      <c r="E113" s="1">
        <v>38.556351569999997</v>
      </c>
      <c r="F113" s="1">
        <v>-121.4103951</v>
      </c>
      <c r="G113" s="1" t="s">
        <v>6</v>
      </c>
      <c r="H113" s="1" t="str">
        <f t="shared" si="4"/>
        <v>CA</v>
      </c>
      <c r="I113" s="1">
        <f t="shared" si="5"/>
        <v>0</v>
      </c>
    </row>
    <row r="114" spans="1:9" x14ac:dyDescent="0.2">
      <c r="A114" s="1" t="s">
        <v>179</v>
      </c>
      <c r="B114" s="1">
        <v>51921.87</v>
      </c>
      <c r="C114" s="1" t="s">
        <v>6</v>
      </c>
      <c r="D114" s="1">
        <f t="shared" si="3"/>
        <v>50588.018746491216</v>
      </c>
      <c r="E114" s="1">
        <v>38.546887130000002</v>
      </c>
      <c r="F114" s="1">
        <v>-121.43805500000001</v>
      </c>
      <c r="G114" s="1" t="s">
        <v>6</v>
      </c>
      <c r="H114" s="1" t="str">
        <f t="shared" si="4"/>
        <v>CA</v>
      </c>
      <c r="I114" s="1">
        <f t="shared" si="5"/>
        <v>1</v>
      </c>
    </row>
    <row r="115" spans="1:9" x14ac:dyDescent="0.2">
      <c r="A115" s="1" t="s">
        <v>180</v>
      </c>
      <c r="B115" s="1">
        <v>44255.01</v>
      </c>
      <c r="C115" s="1" t="s">
        <v>6</v>
      </c>
      <c r="D115" s="1">
        <f t="shared" si="3"/>
        <v>50588.018746491216</v>
      </c>
      <c r="E115" s="1">
        <v>38.595832870000002</v>
      </c>
      <c r="F115" s="1">
        <v>-121.40233000000001</v>
      </c>
      <c r="G115" s="1" t="s">
        <v>6</v>
      </c>
      <c r="H115" s="1" t="str">
        <f t="shared" si="4"/>
        <v>CA</v>
      </c>
      <c r="I115" s="1">
        <f t="shared" si="5"/>
        <v>0</v>
      </c>
    </row>
    <row r="116" spans="1:9" x14ac:dyDescent="0.2">
      <c r="A116" s="1" t="s">
        <v>181</v>
      </c>
      <c r="B116" s="1">
        <v>52878.93</v>
      </c>
      <c r="C116" s="1" t="s">
        <v>6</v>
      </c>
      <c r="D116" s="1">
        <f t="shared" si="3"/>
        <v>50588.018746491216</v>
      </c>
      <c r="E116" s="1">
        <v>38.561852500000001</v>
      </c>
      <c r="F116" s="1">
        <v>-121.3358546</v>
      </c>
      <c r="G116" s="1" t="s">
        <v>6</v>
      </c>
      <c r="H116" s="1" t="str">
        <f t="shared" si="4"/>
        <v>CA</v>
      </c>
      <c r="I116" s="1">
        <f t="shared" si="5"/>
        <v>1</v>
      </c>
    </row>
    <row r="117" spans="1:9" x14ac:dyDescent="0.2">
      <c r="A117" s="1" t="s">
        <v>182</v>
      </c>
      <c r="B117" s="1">
        <v>45595.85</v>
      </c>
      <c r="C117" s="1" t="s">
        <v>6</v>
      </c>
      <c r="D117" s="1">
        <f t="shared" si="3"/>
        <v>50588.018746491216</v>
      </c>
      <c r="E117" s="1">
        <v>38.481907130000003</v>
      </c>
      <c r="F117" s="1">
        <v>-121.39024000000001</v>
      </c>
      <c r="G117" s="1" t="s">
        <v>6</v>
      </c>
      <c r="H117" s="1" t="str">
        <f t="shared" si="4"/>
        <v>CA</v>
      </c>
      <c r="I117" s="1">
        <f t="shared" si="5"/>
        <v>0</v>
      </c>
    </row>
    <row r="118" spans="1:9" x14ac:dyDescent="0.2">
      <c r="A118" s="1" t="s">
        <v>183</v>
      </c>
      <c r="B118" s="1">
        <v>45097.89</v>
      </c>
      <c r="C118" s="1" t="s">
        <v>6</v>
      </c>
      <c r="D118" s="1">
        <f t="shared" si="3"/>
        <v>50588.018746491216</v>
      </c>
      <c r="E118" s="1">
        <v>38.614879999999999</v>
      </c>
      <c r="F118" s="1">
        <v>-121.51416</v>
      </c>
      <c r="G118" s="1" t="s">
        <v>6</v>
      </c>
      <c r="H118" s="1" t="str">
        <f t="shared" si="4"/>
        <v>CA</v>
      </c>
      <c r="I118" s="1">
        <f t="shared" si="5"/>
        <v>0</v>
      </c>
    </row>
    <row r="119" spans="1:9" x14ac:dyDescent="0.2">
      <c r="A119" s="1" t="s">
        <v>184</v>
      </c>
      <c r="B119" s="1">
        <v>54650.35</v>
      </c>
      <c r="C119" s="1" t="s">
        <v>6</v>
      </c>
      <c r="D119" s="1">
        <f t="shared" si="3"/>
        <v>50588.018746491216</v>
      </c>
      <c r="E119" s="1">
        <v>38.661245440000002</v>
      </c>
      <c r="F119" s="1">
        <v>-121.3461069</v>
      </c>
      <c r="G119" s="1" t="s">
        <v>6</v>
      </c>
      <c r="H119" s="1" t="str">
        <f t="shared" si="4"/>
        <v>CA</v>
      </c>
      <c r="I119" s="1">
        <f t="shared" si="5"/>
        <v>1</v>
      </c>
    </row>
    <row r="120" spans="1:9" x14ac:dyDescent="0.2">
      <c r="A120" s="1" t="s">
        <v>185</v>
      </c>
      <c r="B120" s="1">
        <v>41955.41</v>
      </c>
      <c r="C120" s="1" t="s">
        <v>6</v>
      </c>
      <c r="D120" s="1">
        <f t="shared" si="3"/>
        <v>50588.018746491216</v>
      </c>
      <c r="E120" s="1">
        <v>38.627629310000003</v>
      </c>
      <c r="F120" s="1">
        <v>-121.38269699999999</v>
      </c>
      <c r="G120" s="1" t="s">
        <v>6</v>
      </c>
      <c r="H120" s="1" t="str">
        <f t="shared" si="4"/>
        <v>CA</v>
      </c>
      <c r="I120" s="1">
        <f t="shared" si="5"/>
        <v>0</v>
      </c>
    </row>
    <row r="121" spans="1:9" x14ac:dyDescent="0.2">
      <c r="A121" s="1" t="s">
        <v>186</v>
      </c>
      <c r="B121" s="1">
        <v>50777.09</v>
      </c>
      <c r="C121" s="1" t="s">
        <v>6</v>
      </c>
      <c r="D121" s="1">
        <f t="shared" si="3"/>
        <v>50588.018746491216</v>
      </c>
      <c r="E121" s="1">
        <v>38.547113590000002</v>
      </c>
      <c r="F121" s="1">
        <v>-121.35777299999999</v>
      </c>
      <c r="G121" s="1" t="s">
        <v>6</v>
      </c>
      <c r="H121" s="1" t="str">
        <f t="shared" si="4"/>
        <v>CA</v>
      </c>
      <c r="I121" s="1">
        <f t="shared" si="5"/>
        <v>1</v>
      </c>
    </row>
    <row r="122" spans="1:9" x14ac:dyDescent="0.2">
      <c r="A122" s="1" t="s">
        <v>187</v>
      </c>
      <c r="B122" s="1">
        <v>39994</v>
      </c>
      <c r="C122" s="1" t="s">
        <v>6</v>
      </c>
      <c r="D122" s="1">
        <f t="shared" si="3"/>
        <v>50588.018746491216</v>
      </c>
      <c r="E122" s="1">
        <v>38.474447130000001</v>
      </c>
      <c r="F122" s="1">
        <v>-121.43603400000001</v>
      </c>
      <c r="G122" s="1" t="s">
        <v>6</v>
      </c>
      <c r="H122" s="1" t="str">
        <f t="shared" si="4"/>
        <v>CA</v>
      </c>
      <c r="I122" s="1">
        <f t="shared" si="5"/>
        <v>0</v>
      </c>
    </row>
    <row r="123" spans="1:9" x14ac:dyDescent="0.2">
      <c r="A123" s="1" t="s">
        <v>188</v>
      </c>
      <c r="B123" s="1">
        <v>52311.519999999997</v>
      </c>
      <c r="C123" s="1" t="s">
        <v>6</v>
      </c>
      <c r="D123" s="1">
        <f t="shared" si="3"/>
        <v>50588.018746491216</v>
      </c>
      <c r="E123" s="1">
        <v>38.66974708</v>
      </c>
      <c r="F123" s="1">
        <v>-121.36132360000001</v>
      </c>
      <c r="G123" s="1" t="s">
        <v>6</v>
      </c>
      <c r="H123" s="1" t="str">
        <f t="shared" si="4"/>
        <v>CA</v>
      </c>
      <c r="I123" s="1">
        <f t="shared" si="5"/>
        <v>1</v>
      </c>
    </row>
    <row r="124" spans="1:9" x14ac:dyDescent="0.2">
      <c r="A124" s="1" t="s">
        <v>189</v>
      </c>
      <c r="B124" s="1">
        <v>80985.039999999994</v>
      </c>
      <c r="C124" s="1" t="s">
        <v>6</v>
      </c>
      <c r="D124" s="1">
        <f t="shared" si="3"/>
        <v>50588.018746491216</v>
      </c>
      <c r="E124" s="1">
        <v>38.525592949999997</v>
      </c>
      <c r="F124" s="1">
        <v>-121.3909903</v>
      </c>
      <c r="G124" s="1" t="s">
        <v>6</v>
      </c>
      <c r="H124" s="1" t="str">
        <f t="shared" si="4"/>
        <v>CA</v>
      </c>
      <c r="I124" s="1">
        <f t="shared" si="5"/>
        <v>1</v>
      </c>
    </row>
    <row r="125" spans="1:9" x14ac:dyDescent="0.2">
      <c r="A125" s="1" t="s">
        <v>190</v>
      </c>
      <c r="B125" s="1">
        <v>64783.73</v>
      </c>
      <c r="C125" s="1" t="s">
        <v>6</v>
      </c>
      <c r="D125" s="1">
        <f t="shared" si="3"/>
        <v>50588.018746491216</v>
      </c>
      <c r="E125" s="1">
        <v>38.668637990000001</v>
      </c>
      <c r="F125" s="1">
        <v>-121.3362731</v>
      </c>
      <c r="G125" s="1" t="s">
        <v>6</v>
      </c>
      <c r="H125" s="1" t="str">
        <f t="shared" si="4"/>
        <v>CA</v>
      </c>
      <c r="I125" s="1">
        <f t="shared" si="5"/>
        <v>1</v>
      </c>
    </row>
    <row r="126" spans="1:9" x14ac:dyDescent="0.2">
      <c r="A126" s="1" t="s">
        <v>191</v>
      </c>
      <c r="B126" s="1">
        <v>58649.65</v>
      </c>
      <c r="C126" s="1" t="s">
        <v>6</v>
      </c>
      <c r="D126" s="1">
        <f t="shared" si="3"/>
        <v>50588.018746491216</v>
      </c>
      <c r="E126" s="1">
        <v>38.620002659999997</v>
      </c>
      <c r="F126" s="1">
        <v>-121.4189715</v>
      </c>
      <c r="G126" s="1" t="s">
        <v>6</v>
      </c>
      <c r="H126" s="1" t="str">
        <f t="shared" si="4"/>
        <v>CA</v>
      </c>
      <c r="I126" s="1">
        <f t="shared" si="5"/>
        <v>1</v>
      </c>
    </row>
    <row r="127" spans="1:9" x14ac:dyDescent="0.2">
      <c r="A127" s="1" t="s">
        <v>192</v>
      </c>
      <c r="B127" s="1">
        <v>50236.27</v>
      </c>
      <c r="C127" s="1" t="s">
        <v>6</v>
      </c>
      <c r="D127" s="1">
        <f t="shared" si="3"/>
        <v>50588.018746491216</v>
      </c>
      <c r="E127" s="1">
        <v>38.704243499999997</v>
      </c>
      <c r="F127" s="1">
        <v>-121.3285097</v>
      </c>
      <c r="G127" s="1" t="s">
        <v>6</v>
      </c>
      <c r="H127" s="1" t="str">
        <f t="shared" si="4"/>
        <v>CA</v>
      </c>
      <c r="I127" s="1">
        <f t="shared" si="5"/>
        <v>0</v>
      </c>
    </row>
    <row r="128" spans="1:9" x14ac:dyDescent="0.2">
      <c r="A128" s="1" t="s">
        <v>193</v>
      </c>
      <c r="B128" s="1">
        <v>71579.600000000006</v>
      </c>
      <c r="C128" s="1" t="s">
        <v>6</v>
      </c>
      <c r="D128" s="1">
        <f t="shared" si="3"/>
        <v>50588.018746491216</v>
      </c>
      <c r="E128" s="1">
        <v>38.693420000000003</v>
      </c>
      <c r="F128" s="1">
        <v>-121.3639257</v>
      </c>
      <c r="G128" s="1" t="s">
        <v>6</v>
      </c>
      <c r="H128" s="1" t="str">
        <f t="shared" si="4"/>
        <v>CA</v>
      </c>
      <c r="I128" s="1">
        <f t="shared" si="5"/>
        <v>1</v>
      </c>
    </row>
    <row r="129" spans="1:9" x14ac:dyDescent="0.2">
      <c r="A129" s="1" t="s">
        <v>194</v>
      </c>
      <c r="B129" s="1">
        <v>50081.53</v>
      </c>
      <c r="C129" s="1" t="s">
        <v>6</v>
      </c>
      <c r="D129" s="1">
        <f t="shared" si="3"/>
        <v>50588.018746491216</v>
      </c>
      <c r="E129" s="1">
        <v>38.578970060000003</v>
      </c>
      <c r="F129" s="1">
        <v>-121.4879365</v>
      </c>
      <c r="G129" s="1" t="s">
        <v>6</v>
      </c>
      <c r="H129" s="1" t="str">
        <f t="shared" si="4"/>
        <v>CA</v>
      </c>
      <c r="I129" s="1">
        <f t="shared" si="5"/>
        <v>0</v>
      </c>
    </row>
    <row r="130" spans="1:9" x14ac:dyDescent="0.2">
      <c r="A130" s="1" t="s">
        <v>195</v>
      </c>
      <c r="B130" s="1">
        <v>33999.440000000002</v>
      </c>
      <c r="C130" s="1" t="s">
        <v>6</v>
      </c>
      <c r="D130" s="1">
        <f t="shared" si="3"/>
        <v>50588.018746491216</v>
      </c>
      <c r="E130" s="1">
        <v>38.625410000000002</v>
      </c>
      <c r="F130" s="1">
        <v>-121.38473999999999</v>
      </c>
      <c r="G130" s="1" t="s">
        <v>6</v>
      </c>
      <c r="H130" s="1" t="str">
        <f t="shared" si="4"/>
        <v>CA</v>
      </c>
      <c r="I130" s="1">
        <f t="shared" si="5"/>
        <v>0</v>
      </c>
    </row>
    <row r="131" spans="1:9" x14ac:dyDescent="0.2">
      <c r="A131" s="1" t="s">
        <v>196</v>
      </c>
      <c r="B131" s="1">
        <v>46729.05</v>
      </c>
      <c r="C131" s="1" t="s">
        <v>6</v>
      </c>
      <c r="D131" s="1">
        <f t="shared" ref="D131:D194" si="6">AVERAGEIFS($B:$B,$C:$C,$C131)</f>
        <v>50588.018746491216</v>
      </c>
      <c r="E131" s="1">
        <v>38.554121000000002</v>
      </c>
      <c r="F131" s="1">
        <v>-121.42748949999999</v>
      </c>
      <c r="G131" s="1" t="s">
        <v>6</v>
      </c>
      <c r="H131" s="1" t="str">
        <f t="shared" ref="H131:H194" si="7">TRIM(_xlfn.TEXTAFTER(A131, ",", -1))</f>
        <v>CA</v>
      </c>
      <c r="I131" s="1">
        <f t="shared" ref="I131:I194" si="8">IF(B131&gt;D131,1,0)</f>
        <v>0</v>
      </c>
    </row>
    <row r="132" spans="1:9" x14ac:dyDescent="0.2">
      <c r="A132" s="1" t="s">
        <v>197</v>
      </c>
      <c r="B132" s="1">
        <v>59543.78</v>
      </c>
      <c r="C132" s="1" t="s">
        <v>6</v>
      </c>
      <c r="D132" s="1">
        <f t="shared" si="6"/>
        <v>50588.018746491216</v>
      </c>
      <c r="E132" s="1">
        <v>38.589260000000003</v>
      </c>
      <c r="F132" s="1">
        <v>-121.4156354</v>
      </c>
      <c r="G132" s="1" t="s">
        <v>6</v>
      </c>
      <c r="H132" s="1" t="str">
        <f t="shared" si="7"/>
        <v>CA</v>
      </c>
      <c r="I132" s="1">
        <f t="shared" si="8"/>
        <v>1</v>
      </c>
    </row>
    <row r="133" spans="1:9" x14ac:dyDescent="0.2">
      <c r="A133" s="1" t="s">
        <v>198</v>
      </c>
      <c r="B133" s="1">
        <v>60849.18</v>
      </c>
      <c r="C133" s="1" t="s">
        <v>6</v>
      </c>
      <c r="D133" s="1">
        <f t="shared" si="6"/>
        <v>50588.018746491216</v>
      </c>
      <c r="E133" s="1">
        <v>38.524967119999999</v>
      </c>
      <c r="F133" s="1">
        <v>-121.4831125</v>
      </c>
      <c r="G133" s="1" t="s">
        <v>6</v>
      </c>
      <c r="H133" s="1" t="str">
        <f t="shared" si="7"/>
        <v>CA</v>
      </c>
      <c r="I133" s="1">
        <f t="shared" si="8"/>
        <v>1</v>
      </c>
    </row>
    <row r="134" spans="1:9" x14ac:dyDescent="0.2">
      <c r="A134" s="1" t="s">
        <v>199</v>
      </c>
      <c r="B134" s="1">
        <v>71746.55</v>
      </c>
      <c r="C134" s="1" t="s">
        <v>6</v>
      </c>
      <c r="D134" s="1">
        <f t="shared" si="6"/>
        <v>50588.018746491216</v>
      </c>
      <c r="E134" s="1">
        <v>38.580850230000003</v>
      </c>
      <c r="F134" s="1">
        <v>-121.4961356</v>
      </c>
      <c r="G134" s="1" t="s">
        <v>6</v>
      </c>
      <c r="H134" s="1" t="str">
        <f t="shared" si="7"/>
        <v>CA</v>
      </c>
      <c r="I134" s="1">
        <f t="shared" si="8"/>
        <v>1</v>
      </c>
    </row>
    <row r="135" spans="1:9" x14ac:dyDescent="0.2">
      <c r="A135" s="1" t="s">
        <v>200</v>
      </c>
      <c r="B135" s="1">
        <v>10956.6142</v>
      </c>
      <c r="C135" s="1" t="s">
        <v>6</v>
      </c>
      <c r="D135" s="1">
        <f t="shared" si="6"/>
        <v>50588.018746491216</v>
      </c>
      <c r="E135" s="1">
        <v>38.496588699999997</v>
      </c>
      <c r="F135" s="1">
        <v>-121.42905159999999</v>
      </c>
      <c r="G135" s="1" t="s">
        <v>6</v>
      </c>
      <c r="H135" s="1" t="str">
        <f t="shared" si="7"/>
        <v>CA</v>
      </c>
      <c r="I135" s="1">
        <f t="shared" si="8"/>
        <v>0</v>
      </c>
    </row>
    <row r="136" spans="1:9" x14ac:dyDescent="0.2">
      <c r="A136" s="1" t="s">
        <v>201</v>
      </c>
      <c r="B136" s="1">
        <v>56411.93</v>
      </c>
      <c r="C136" s="1" t="s">
        <v>6</v>
      </c>
      <c r="D136" s="1">
        <f t="shared" si="6"/>
        <v>50588.018746491216</v>
      </c>
      <c r="E136" s="1">
        <v>38.526433259999997</v>
      </c>
      <c r="F136" s="1">
        <v>-121.37050600000001</v>
      </c>
      <c r="G136" s="1" t="s">
        <v>6</v>
      </c>
      <c r="H136" s="1" t="str">
        <f t="shared" si="7"/>
        <v>CA</v>
      </c>
      <c r="I136" s="1">
        <f t="shared" si="8"/>
        <v>1</v>
      </c>
    </row>
    <row r="137" spans="1:9" x14ac:dyDescent="0.2">
      <c r="A137" s="1" t="s">
        <v>202</v>
      </c>
      <c r="B137" s="1">
        <v>55409.67</v>
      </c>
      <c r="C137" s="1" t="s">
        <v>6</v>
      </c>
      <c r="D137" s="1">
        <f t="shared" si="6"/>
        <v>50588.018746491216</v>
      </c>
      <c r="E137" s="1">
        <v>38.561592220000001</v>
      </c>
      <c r="F137" s="1">
        <v>-121.35867949999999</v>
      </c>
      <c r="G137" s="1" t="s">
        <v>6</v>
      </c>
      <c r="H137" s="1" t="str">
        <f t="shared" si="7"/>
        <v>CA</v>
      </c>
      <c r="I137" s="1">
        <f t="shared" si="8"/>
        <v>1</v>
      </c>
    </row>
    <row r="138" spans="1:9" x14ac:dyDescent="0.2">
      <c r="A138" s="1" t="s">
        <v>203</v>
      </c>
      <c r="B138" s="1">
        <v>28586.71</v>
      </c>
      <c r="C138" s="1" t="s">
        <v>6</v>
      </c>
      <c r="D138" s="1">
        <f t="shared" si="6"/>
        <v>50588.018746491216</v>
      </c>
      <c r="E138" s="1">
        <v>38.588740000000001</v>
      </c>
      <c r="F138" s="1">
        <v>-121.4012546</v>
      </c>
      <c r="G138" s="1" t="s">
        <v>6</v>
      </c>
      <c r="H138" s="1" t="str">
        <f t="shared" si="7"/>
        <v>CA</v>
      </c>
      <c r="I138" s="1">
        <f t="shared" si="8"/>
        <v>0</v>
      </c>
    </row>
    <row r="139" spans="1:9" x14ac:dyDescent="0.2">
      <c r="A139" s="1" t="s">
        <v>204</v>
      </c>
      <c r="B139" s="1">
        <v>60364.480000000003</v>
      </c>
      <c r="C139" s="1" t="s">
        <v>6</v>
      </c>
      <c r="D139" s="1">
        <f t="shared" si="6"/>
        <v>50588.018746491216</v>
      </c>
      <c r="E139" s="1">
        <v>38.625410000000002</v>
      </c>
      <c r="F139" s="1">
        <v>-121.38473999999999</v>
      </c>
      <c r="G139" s="1" t="s">
        <v>6</v>
      </c>
      <c r="H139" s="1" t="str">
        <f t="shared" si="7"/>
        <v>CA</v>
      </c>
      <c r="I139" s="1">
        <f t="shared" si="8"/>
        <v>1</v>
      </c>
    </row>
    <row r="140" spans="1:9" x14ac:dyDescent="0.2">
      <c r="A140" s="1" t="s">
        <v>205</v>
      </c>
      <c r="B140" s="1">
        <v>50835.3</v>
      </c>
      <c r="C140" s="1" t="s">
        <v>6</v>
      </c>
      <c r="D140" s="1">
        <f t="shared" si="6"/>
        <v>50588.018746491216</v>
      </c>
      <c r="E140" s="1">
        <v>38.495952870000004</v>
      </c>
      <c r="F140" s="1">
        <v>-121.39064</v>
      </c>
      <c r="G140" s="1" t="s">
        <v>6</v>
      </c>
      <c r="H140" s="1" t="str">
        <f t="shared" si="7"/>
        <v>CA</v>
      </c>
      <c r="I140" s="1">
        <f t="shared" si="8"/>
        <v>1</v>
      </c>
    </row>
    <row r="141" spans="1:9" x14ac:dyDescent="0.2">
      <c r="A141" s="1" t="s">
        <v>206</v>
      </c>
      <c r="B141" s="1">
        <v>104543.89</v>
      </c>
      <c r="C141" s="1" t="s">
        <v>6</v>
      </c>
      <c r="D141" s="1">
        <f t="shared" si="6"/>
        <v>50588.018746491216</v>
      </c>
      <c r="E141" s="1">
        <v>38.64489425</v>
      </c>
      <c r="F141" s="1">
        <v>-121.4755704</v>
      </c>
      <c r="G141" s="1" t="s">
        <v>6</v>
      </c>
      <c r="H141" s="1" t="str">
        <f t="shared" si="7"/>
        <v>CA</v>
      </c>
      <c r="I141" s="1">
        <f t="shared" si="8"/>
        <v>1</v>
      </c>
    </row>
    <row r="142" spans="1:9" x14ac:dyDescent="0.2">
      <c r="A142" s="1" t="s">
        <v>207</v>
      </c>
      <c r="B142" s="1">
        <v>68422.460000000006</v>
      </c>
      <c r="C142" s="1" t="s">
        <v>6</v>
      </c>
      <c r="D142" s="1">
        <f t="shared" si="6"/>
        <v>50588.018746491216</v>
      </c>
      <c r="E142" s="1">
        <v>38.614237129999999</v>
      </c>
      <c r="F142" s="1">
        <v>-121.5290557</v>
      </c>
      <c r="G142" s="1" t="s">
        <v>6</v>
      </c>
      <c r="H142" s="1" t="str">
        <f t="shared" si="7"/>
        <v>CA</v>
      </c>
      <c r="I142" s="1">
        <f t="shared" si="8"/>
        <v>1</v>
      </c>
    </row>
    <row r="143" spans="1:9" x14ac:dyDescent="0.2">
      <c r="A143" s="1" t="s">
        <v>208</v>
      </c>
      <c r="B143" s="1">
        <v>86300.79</v>
      </c>
      <c r="C143" s="1" t="s">
        <v>6</v>
      </c>
      <c r="D143" s="1">
        <f t="shared" si="6"/>
        <v>50588.018746491216</v>
      </c>
      <c r="E143" s="1">
        <v>38.448039999999999</v>
      </c>
      <c r="F143" s="1">
        <v>-121.49518999999999</v>
      </c>
      <c r="G143" s="1" t="s">
        <v>6</v>
      </c>
      <c r="H143" s="1" t="str">
        <f t="shared" si="7"/>
        <v>CA</v>
      </c>
      <c r="I143" s="1">
        <f t="shared" si="8"/>
        <v>1</v>
      </c>
    </row>
    <row r="144" spans="1:9" x14ac:dyDescent="0.2">
      <c r="A144" s="1" t="s">
        <v>209</v>
      </c>
      <c r="B144" s="1">
        <v>24081.15</v>
      </c>
      <c r="C144" s="1" t="s">
        <v>6</v>
      </c>
      <c r="D144" s="1">
        <f t="shared" si="6"/>
        <v>50588.018746491216</v>
      </c>
      <c r="E144" s="1">
        <v>38.559566840000002</v>
      </c>
      <c r="F144" s="1">
        <v>-121.48542689999999</v>
      </c>
      <c r="G144" s="1" t="s">
        <v>6</v>
      </c>
      <c r="H144" s="1" t="str">
        <f t="shared" si="7"/>
        <v>CA</v>
      </c>
      <c r="I144" s="1">
        <f t="shared" si="8"/>
        <v>0</v>
      </c>
    </row>
    <row r="145" spans="1:9" x14ac:dyDescent="0.2">
      <c r="A145" s="1" t="s">
        <v>210</v>
      </c>
      <c r="B145" s="1">
        <v>34655.18</v>
      </c>
      <c r="C145" s="1" t="s">
        <v>6</v>
      </c>
      <c r="D145" s="1">
        <f t="shared" si="6"/>
        <v>50588.018746491216</v>
      </c>
      <c r="E145" s="1">
        <v>38.598806670000002</v>
      </c>
      <c r="F145" s="1">
        <v>-121.3832755</v>
      </c>
      <c r="G145" s="1" t="s">
        <v>6</v>
      </c>
      <c r="H145" s="1" t="str">
        <f t="shared" si="7"/>
        <v>CA</v>
      </c>
      <c r="I145" s="1">
        <f t="shared" si="8"/>
        <v>0</v>
      </c>
    </row>
    <row r="146" spans="1:9" x14ac:dyDescent="0.2">
      <c r="A146" s="1" t="s">
        <v>211</v>
      </c>
      <c r="B146" s="1">
        <v>43975.3</v>
      </c>
      <c r="C146" s="1" t="s">
        <v>6</v>
      </c>
      <c r="D146" s="1">
        <f t="shared" si="6"/>
        <v>50588.018746491216</v>
      </c>
      <c r="E146" s="1">
        <v>38.636275599999998</v>
      </c>
      <c r="F146" s="1">
        <v>-121.3832226</v>
      </c>
      <c r="G146" s="1" t="s">
        <v>6</v>
      </c>
      <c r="H146" s="1" t="str">
        <f t="shared" si="7"/>
        <v>CA</v>
      </c>
      <c r="I146" s="1">
        <f t="shared" si="8"/>
        <v>0</v>
      </c>
    </row>
    <row r="147" spans="1:9" x14ac:dyDescent="0.2">
      <c r="A147" s="1" t="s">
        <v>212</v>
      </c>
      <c r="B147" s="1">
        <v>38040.720000000001</v>
      </c>
      <c r="C147" s="1" t="s">
        <v>6</v>
      </c>
      <c r="D147" s="1">
        <f t="shared" si="6"/>
        <v>50588.018746491216</v>
      </c>
      <c r="E147" s="1">
        <v>38.617494690000001</v>
      </c>
      <c r="F147" s="1">
        <v>-121.36568130000001</v>
      </c>
      <c r="G147" s="1" t="s">
        <v>6</v>
      </c>
      <c r="H147" s="1" t="str">
        <f t="shared" si="7"/>
        <v>CA</v>
      </c>
      <c r="I147" s="1">
        <f t="shared" si="8"/>
        <v>0</v>
      </c>
    </row>
    <row r="148" spans="1:9" x14ac:dyDescent="0.2">
      <c r="A148" s="1" t="s">
        <v>213</v>
      </c>
      <c r="B148" s="1">
        <v>69785</v>
      </c>
      <c r="C148" s="1" t="s">
        <v>6</v>
      </c>
      <c r="D148" s="1">
        <f t="shared" si="6"/>
        <v>50588.018746491216</v>
      </c>
      <c r="E148" s="1">
        <v>38.510332869999999</v>
      </c>
      <c r="F148" s="1">
        <v>-121.40944500000001</v>
      </c>
      <c r="G148" s="1" t="s">
        <v>6</v>
      </c>
      <c r="H148" s="1" t="str">
        <f t="shared" si="7"/>
        <v>CA</v>
      </c>
      <c r="I148" s="1">
        <f t="shared" si="8"/>
        <v>1</v>
      </c>
    </row>
    <row r="149" spans="1:9" x14ac:dyDescent="0.2">
      <c r="A149" s="1" t="s">
        <v>214</v>
      </c>
      <c r="B149" s="1">
        <v>47873.67</v>
      </c>
      <c r="C149" s="1" t="s">
        <v>6</v>
      </c>
      <c r="D149" s="1">
        <f t="shared" si="6"/>
        <v>50588.018746491216</v>
      </c>
      <c r="E149" s="1">
        <v>38.496216580000002</v>
      </c>
      <c r="F149" s="1">
        <v>-121.4080026</v>
      </c>
      <c r="G149" s="1" t="s">
        <v>6</v>
      </c>
      <c r="H149" s="1" t="str">
        <f t="shared" si="7"/>
        <v>CA</v>
      </c>
      <c r="I149" s="1">
        <f t="shared" si="8"/>
        <v>0</v>
      </c>
    </row>
    <row r="150" spans="1:9" x14ac:dyDescent="0.2">
      <c r="A150" s="1" t="s">
        <v>215</v>
      </c>
      <c r="B150" s="1">
        <v>49312.59</v>
      </c>
      <c r="C150" s="1" t="s">
        <v>6</v>
      </c>
      <c r="D150" s="1">
        <f t="shared" si="6"/>
        <v>50588.018746491216</v>
      </c>
      <c r="E150" s="1">
        <v>38.51396321</v>
      </c>
      <c r="F150" s="1">
        <v>-121.5009443</v>
      </c>
      <c r="G150" s="1" t="s">
        <v>6</v>
      </c>
      <c r="H150" s="1" t="str">
        <f t="shared" si="7"/>
        <v>CA</v>
      </c>
      <c r="I150" s="1">
        <f t="shared" si="8"/>
        <v>0</v>
      </c>
    </row>
    <row r="151" spans="1:9" x14ac:dyDescent="0.2">
      <c r="A151" s="1" t="s">
        <v>216</v>
      </c>
      <c r="B151" s="1">
        <v>49694.69</v>
      </c>
      <c r="C151" s="1" t="s">
        <v>6</v>
      </c>
      <c r="D151" s="1">
        <f t="shared" si="6"/>
        <v>50588.018746491216</v>
      </c>
      <c r="E151" s="1" t="s">
        <v>11</v>
      </c>
      <c r="F151" s="1" t="s">
        <v>11</v>
      </c>
      <c r="G151" s="1" t="s">
        <v>6</v>
      </c>
      <c r="H151" s="1" t="str">
        <f t="shared" si="7"/>
        <v>CA</v>
      </c>
      <c r="I151" s="1">
        <f t="shared" si="8"/>
        <v>0</v>
      </c>
    </row>
    <row r="152" spans="1:9" x14ac:dyDescent="0.2">
      <c r="A152" s="1" t="s">
        <v>217</v>
      </c>
      <c r="B152" s="1">
        <v>89343.27</v>
      </c>
      <c r="C152" s="1" t="s">
        <v>6</v>
      </c>
      <c r="D152" s="1">
        <f t="shared" si="6"/>
        <v>50588.018746491216</v>
      </c>
      <c r="E152" s="1">
        <v>38.543689479999998</v>
      </c>
      <c r="F152" s="1">
        <v>-121.3345118</v>
      </c>
      <c r="G152" s="1" t="s">
        <v>6</v>
      </c>
      <c r="H152" s="1" t="str">
        <f t="shared" si="7"/>
        <v>CA</v>
      </c>
      <c r="I152" s="1">
        <f t="shared" si="8"/>
        <v>1</v>
      </c>
    </row>
    <row r="153" spans="1:9" x14ac:dyDescent="0.2">
      <c r="A153" s="1" t="s">
        <v>218</v>
      </c>
      <c r="B153" s="1">
        <v>58058.63</v>
      </c>
      <c r="C153" s="1" t="s">
        <v>6</v>
      </c>
      <c r="D153" s="1">
        <f t="shared" si="6"/>
        <v>50588.018746491216</v>
      </c>
      <c r="E153" s="1">
        <v>38.46615843</v>
      </c>
      <c r="F153" s="1">
        <v>-121.49042559999999</v>
      </c>
      <c r="G153" s="1" t="s">
        <v>6</v>
      </c>
      <c r="H153" s="1" t="str">
        <f t="shared" si="7"/>
        <v>CA</v>
      </c>
      <c r="I153" s="1">
        <f t="shared" si="8"/>
        <v>1</v>
      </c>
    </row>
    <row r="154" spans="1:9" x14ac:dyDescent="0.2">
      <c r="A154" s="1" t="s">
        <v>219</v>
      </c>
      <c r="B154" s="1">
        <v>40541.03</v>
      </c>
      <c r="C154" s="1" t="s">
        <v>6</v>
      </c>
      <c r="D154" s="1">
        <f t="shared" si="6"/>
        <v>50588.018746491216</v>
      </c>
      <c r="E154" s="1">
        <v>38.496277130000003</v>
      </c>
      <c r="F154" s="1">
        <v>-121.45445770000001</v>
      </c>
      <c r="G154" s="1" t="s">
        <v>6</v>
      </c>
      <c r="H154" s="1" t="str">
        <f t="shared" si="7"/>
        <v>CA</v>
      </c>
      <c r="I154" s="1">
        <f t="shared" si="8"/>
        <v>0</v>
      </c>
    </row>
    <row r="155" spans="1:9" x14ac:dyDescent="0.2">
      <c r="A155" s="1" t="s">
        <v>220</v>
      </c>
      <c r="B155" s="1">
        <v>34737.839999999997</v>
      </c>
      <c r="C155" s="1" t="s">
        <v>6</v>
      </c>
      <c r="D155" s="1">
        <f t="shared" si="6"/>
        <v>50588.018746491216</v>
      </c>
      <c r="E155" s="1">
        <v>38.52516713</v>
      </c>
      <c r="F155" s="1">
        <v>-121.44304889999999</v>
      </c>
      <c r="G155" s="1" t="s">
        <v>6</v>
      </c>
      <c r="H155" s="1" t="str">
        <f t="shared" si="7"/>
        <v>CA</v>
      </c>
      <c r="I155" s="1">
        <f t="shared" si="8"/>
        <v>0</v>
      </c>
    </row>
    <row r="156" spans="1:9" x14ac:dyDescent="0.2">
      <c r="A156" s="1" t="s">
        <v>221</v>
      </c>
      <c r="B156" s="1">
        <v>36368.53</v>
      </c>
      <c r="C156" s="1" t="s">
        <v>6</v>
      </c>
      <c r="D156" s="1">
        <f t="shared" si="6"/>
        <v>50588.018746491216</v>
      </c>
      <c r="E156" s="1">
        <v>38.613510159999997</v>
      </c>
      <c r="F156" s="1">
        <v>-121.5302946</v>
      </c>
      <c r="G156" s="1" t="s">
        <v>6</v>
      </c>
      <c r="H156" s="1" t="str">
        <f t="shared" si="7"/>
        <v>CA</v>
      </c>
      <c r="I156" s="1">
        <f t="shared" si="8"/>
        <v>0</v>
      </c>
    </row>
    <row r="157" spans="1:9" x14ac:dyDescent="0.2">
      <c r="A157" s="1" t="s">
        <v>222</v>
      </c>
      <c r="B157" s="1">
        <v>69771.72</v>
      </c>
      <c r="C157" s="1" t="s">
        <v>6</v>
      </c>
      <c r="D157" s="1">
        <f t="shared" si="6"/>
        <v>50588.018746491216</v>
      </c>
      <c r="E157" s="1">
        <v>38.510172869999998</v>
      </c>
      <c r="F157" s="1">
        <v>-121.46405</v>
      </c>
      <c r="G157" s="1" t="s">
        <v>6</v>
      </c>
      <c r="H157" s="1" t="str">
        <f t="shared" si="7"/>
        <v>CA</v>
      </c>
      <c r="I157" s="1">
        <f t="shared" si="8"/>
        <v>1</v>
      </c>
    </row>
    <row r="158" spans="1:9" x14ac:dyDescent="0.2">
      <c r="A158" s="1" t="s">
        <v>223</v>
      </c>
      <c r="B158" s="1">
        <v>107045.36</v>
      </c>
      <c r="C158" s="1" t="s">
        <v>6</v>
      </c>
      <c r="D158" s="1">
        <f t="shared" si="6"/>
        <v>50588.018746491216</v>
      </c>
      <c r="E158" s="1">
        <v>38.640502499999997</v>
      </c>
      <c r="F158" s="1">
        <v>-121.4567344</v>
      </c>
      <c r="G158" s="1" t="s">
        <v>6</v>
      </c>
      <c r="H158" s="1" t="str">
        <f t="shared" si="7"/>
        <v>CA</v>
      </c>
      <c r="I158" s="1">
        <f t="shared" si="8"/>
        <v>1</v>
      </c>
    </row>
    <row r="159" spans="1:9" x14ac:dyDescent="0.2">
      <c r="A159" s="1" t="s">
        <v>224</v>
      </c>
      <c r="B159" s="1">
        <v>43279.74</v>
      </c>
      <c r="C159" s="1" t="s">
        <v>6</v>
      </c>
      <c r="D159" s="1">
        <f t="shared" si="6"/>
        <v>50588.018746491216</v>
      </c>
      <c r="E159" s="1">
        <v>38.525072870000002</v>
      </c>
      <c r="F159" s="1">
        <v>-121.37132</v>
      </c>
      <c r="G159" s="1" t="s">
        <v>6</v>
      </c>
      <c r="H159" s="1" t="str">
        <f t="shared" si="7"/>
        <v>CA</v>
      </c>
      <c r="I159" s="1">
        <f t="shared" si="8"/>
        <v>0</v>
      </c>
    </row>
    <row r="160" spans="1:9" x14ac:dyDescent="0.2">
      <c r="A160" s="1" t="s">
        <v>225</v>
      </c>
      <c r="B160" s="1">
        <v>63734.19</v>
      </c>
      <c r="C160" s="1" t="s">
        <v>6</v>
      </c>
      <c r="D160" s="1">
        <f t="shared" si="6"/>
        <v>50588.018746491216</v>
      </c>
      <c r="E160" s="1">
        <v>38.625410000000002</v>
      </c>
      <c r="F160" s="1">
        <v>-121.38473999999999</v>
      </c>
      <c r="G160" s="1" t="s">
        <v>6</v>
      </c>
      <c r="H160" s="1" t="str">
        <f t="shared" si="7"/>
        <v>CA</v>
      </c>
      <c r="I160" s="1">
        <f t="shared" si="8"/>
        <v>1</v>
      </c>
    </row>
    <row r="161" spans="1:9" x14ac:dyDescent="0.2">
      <c r="A161" s="1" t="s">
        <v>226</v>
      </c>
      <c r="B161" s="1">
        <v>62348.28</v>
      </c>
      <c r="C161" s="1" t="s">
        <v>6</v>
      </c>
      <c r="D161" s="1">
        <f t="shared" si="6"/>
        <v>50588.018746491216</v>
      </c>
      <c r="E161" s="1">
        <v>38.56409515</v>
      </c>
      <c r="F161" s="1">
        <v>-121.4911065</v>
      </c>
      <c r="G161" s="1" t="s">
        <v>6</v>
      </c>
      <c r="H161" s="1" t="str">
        <f t="shared" si="7"/>
        <v>CA</v>
      </c>
      <c r="I161" s="1">
        <f t="shared" si="8"/>
        <v>1</v>
      </c>
    </row>
    <row r="162" spans="1:9" x14ac:dyDescent="0.2">
      <c r="A162" s="1" t="s">
        <v>227</v>
      </c>
      <c r="B162" s="1">
        <v>60480.75</v>
      </c>
      <c r="C162" s="1" t="s">
        <v>6</v>
      </c>
      <c r="D162" s="1">
        <f t="shared" si="6"/>
        <v>50588.018746491216</v>
      </c>
      <c r="E162" s="1">
        <v>38.629640000000002</v>
      </c>
      <c r="F162" s="1">
        <v>-121.4758255</v>
      </c>
      <c r="G162" s="1" t="s">
        <v>6</v>
      </c>
      <c r="H162" s="1" t="str">
        <f t="shared" si="7"/>
        <v>CA</v>
      </c>
      <c r="I162" s="1">
        <f t="shared" si="8"/>
        <v>1</v>
      </c>
    </row>
    <row r="163" spans="1:9" x14ac:dyDescent="0.2">
      <c r="A163" s="1" t="s">
        <v>228</v>
      </c>
      <c r="B163" s="1">
        <v>85947.5</v>
      </c>
      <c r="C163" s="1" t="s">
        <v>6</v>
      </c>
      <c r="D163" s="1">
        <f t="shared" si="6"/>
        <v>50588.018746491216</v>
      </c>
      <c r="E163" s="1">
        <v>38.654727010000002</v>
      </c>
      <c r="F163" s="1">
        <v>-121.4782742</v>
      </c>
      <c r="G163" s="1" t="s">
        <v>6</v>
      </c>
      <c r="H163" s="1" t="str">
        <f t="shared" si="7"/>
        <v>CA</v>
      </c>
      <c r="I163" s="1">
        <f t="shared" si="8"/>
        <v>1</v>
      </c>
    </row>
    <row r="164" spans="1:9" x14ac:dyDescent="0.2">
      <c r="A164" s="1" t="s">
        <v>229</v>
      </c>
      <c r="B164" s="1">
        <v>124253.57</v>
      </c>
      <c r="C164" s="1" t="s">
        <v>6</v>
      </c>
      <c r="D164" s="1">
        <f t="shared" si="6"/>
        <v>50588.018746491216</v>
      </c>
      <c r="E164" s="1">
        <v>38.676893659999998</v>
      </c>
      <c r="F164" s="1">
        <v>-121.59066559999999</v>
      </c>
      <c r="G164" s="1" t="s">
        <v>6</v>
      </c>
      <c r="H164" s="1" t="str">
        <f t="shared" si="7"/>
        <v>CA</v>
      </c>
      <c r="I164" s="1">
        <f t="shared" si="8"/>
        <v>1</v>
      </c>
    </row>
    <row r="165" spans="1:9" x14ac:dyDescent="0.2">
      <c r="A165" s="1" t="s">
        <v>230</v>
      </c>
      <c r="B165" s="1">
        <v>77267.179999999993</v>
      </c>
      <c r="C165" s="1" t="s">
        <v>6</v>
      </c>
      <c r="D165" s="1">
        <f t="shared" si="6"/>
        <v>50588.018746491216</v>
      </c>
      <c r="E165" s="1">
        <v>38.474042879999999</v>
      </c>
      <c r="F165" s="1">
        <v>-121.4260476</v>
      </c>
      <c r="G165" s="1" t="s">
        <v>6</v>
      </c>
      <c r="H165" s="1" t="str">
        <f t="shared" si="7"/>
        <v>CA</v>
      </c>
      <c r="I165" s="1">
        <f t="shared" si="8"/>
        <v>1</v>
      </c>
    </row>
    <row r="166" spans="1:9" x14ac:dyDescent="0.2">
      <c r="A166" s="1" t="s">
        <v>231</v>
      </c>
      <c r="B166" s="1">
        <v>69631.789999999994</v>
      </c>
      <c r="C166" s="1" t="s">
        <v>6</v>
      </c>
      <c r="D166" s="1">
        <f t="shared" si="6"/>
        <v>50588.018746491216</v>
      </c>
      <c r="E166" s="1">
        <v>38.573357870000002</v>
      </c>
      <c r="F166" s="1">
        <v>-121.46796689999999</v>
      </c>
      <c r="G166" s="1" t="s">
        <v>6</v>
      </c>
      <c r="H166" s="1" t="str">
        <f t="shared" si="7"/>
        <v>CA</v>
      </c>
      <c r="I166" s="1">
        <f t="shared" si="8"/>
        <v>1</v>
      </c>
    </row>
    <row r="167" spans="1:9" x14ac:dyDescent="0.2">
      <c r="A167" s="1" t="s">
        <v>232</v>
      </c>
      <c r="B167" s="1">
        <v>42618.95</v>
      </c>
      <c r="C167" s="1" t="s">
        <v>6</v>
      </c>
      <c r="D167" s="1">
        <f t="shared" si="6"/>
        <v>50588.018746491216</v>
      </c>
      <c r="E167" s="1">
        <v>38.481482870000001</v>
      </c>
      <c r="F167" s="1">
        <v>-121.40868</v>
      </c>
      <c r="G167" s="1" t="s">
        <v>6</v>
      </c>
      <c r="H167" s="1" t="str">
        <f t="shared" si="7"/>
        <v>CA</v>
      </c>
      <c r="I167" s="1">
        <f t="shared" si="8"/>
        <v>0</v>
      </c>
    </row>
    <row r="168" spans="1:9" x14ac:dyDescent="0.2">
      <c r="A168" s="1" t="s">
        <v>233</v>
      </c>
      <c r="B168" s="1">
        <v>50365.65</v>
      </c>
      <c r="C168" s="1" t="s">
        <v>6</v>
      </c>
      <c r="D168" s="1">
        <f t="shared" si="6"/>
        <v>50588.018746491216</v>
      </c>
      <c r="E168" s="1">
        <v>38.597123199999999</v>
      </c>
      <c r="F168" s="1">
        <v>-121.42122449999999</v>
      </c>
      <c r="G168" s="1" t="s">
        <v>6</v>
      </c>
      <c r="H168" s="1" t="str">
        <f t="shared" si="7"/>
        <v>CA</v>
      </c>
      <c r="I168" s="1">
        <f t="shared" si="8"/>
        <v>0</v>
      </c>
    </row>
    <row r="169" spans="1:9" x14ac:dyDescent="0.2">
      <c r="A169" s="1" t="s">
        <v>234</v>
      </c>
      <c r="B169" s="1">
        <v>42780.28</v>
      </c>
      <c r="C169" s="1" t="s">
        <v>6</v>
      </c>
      <c r="D169" s="1">
        <f t="shared" si="6"/>
        <v>50588.018746491216</v>
      </c>
      <c r="E169" s="1">
        <v>38.574302869999997</v>
      </c>
      <c r="F169" s="1">
        <v>-121.3829934</v>
      </c>
      <c r="G169" s="1" t="s">
        <v>6</v>
      </c>
      <c r="H169" s="1" t="str">
        <f t="shared" si="7"/>
        <v>CA</v>
      </c>
      <c r="I169" s="1">
        <f t="shared" si="8"/>
        <v>0</v>
      </c>
    </row>
    <row r="170" spans="1:9" x14ac:dyDescent="0.2">
      <c r="A170" s="1" t="s">
        <v>235</v>
      </c>
      <c r="B170" s="1">
        <v>65536.399999999994</v>
      </c>
      <c r="C170" s="1" t="s">
        <v>6</v>
      </c>
      <c r="D170" s="1">
        <f t="shared" si="6"/>
        <v>50588.018746491216</v>
      </c>
      <c r="E170" s="1">
        <v>38.547904389999999</v>
      </c>
      <c r="F170" s="1">
        <v>-121.4276515</v>
      </c>
      <c r="G170" s="1" t="s">
        <v>6</v>
      </c>
      <c r="H170" s="1" t="str">
        <f t="shared" si="7"/>
        <v>CA</v>
      </c>
      <c r="I170" s="1">
        <f t="shared" si="8"/>
        <v>1</v>
      </c>
    </row>
    <row r="171" spans="1:9" x14ac:dyDescent="0.2">
      <c r="A171" s="1" t="s">
        <v>236</v>
      </c>
      <c r="B171" s="1">
        <v>47905.4</v>
      </c>
      <c r="C171" s="1" t="s">
        <v>6</v>
      </c>
      <c r="D171" s="1">
        <f t="shared" si="6"/>
        <v>50588.018746491216</v>
      </c>
      <c r="E171" s="1">
        <v>38.495877129999997</v>
      </c>
      <c r="F171" s="1">
        <v>-121.50373999999999</v>
      </c>
      <c r="G171" s="1" t="s">
        <v>6</v>
      </c>
      <c r="H171" s="1" t="str">
        <f t="shared" si="7"/>
        <v>CA</v>
      </c>
      <c r="I171" s="1">
        <f t="shared" si="8"/>
        <v>0</v>
      </c>
    </row>
    <row r="172" spans="1:9" x14ac:dyDescent="0.2">
      <c r="A172" s="1" t="s">
        <v>237</v>
      </c>
      <c r="B172" s="1">
        <v>49238.26</v>
      </c>
      <c r="C172" s="1" t="s">
        <v>6</v>
      </c>
      <c r="D172" s="1">
        <f t="shared" si="6"/>
        <v>50588.018746491216</v>
      </c>
      <c r="E172" s="1">
        <v>38.660772899999998</v>
      </c>
      <c r="F172" s="1">
        <v>-121.3551538</v>
      </c>
      <c r="G172" s="1" t="s">
        <v>6</v>
      </c>
      <c r="H172" s="1" t="str">
        <f t="shared" si="7"/>
        <v>CA</v>
      </c>
      <c r="I172" s="1">
        <f t="shared" si="8"/>
        <v>0</v>
      </c>
    </row>
    <row r="173" spans="1:9" x14ac:dyDescent="0.2">
      <c r="A173" s="1" t="s">
        <v>238</v>
      </c>
      <c r="B173" s="1">
        <v>85727.77</v>
      </c>
      <c r="C173" s="1" t="s">
        <v>6</v>
      </c>
      <c r="D173" s="1">
        <f t="shared" si="6"/>
        <v>50588.018746491216</v>
      </c>
      <c r="E173" s="1">
        <v>38.496342980000001</v>
      </c>
      <c r="F173" s="1">
        <v>-121.4403047</v>
      </c>
      <c r="G173" s="1" t="s">
        <v>6</v>
      </c>
      <c r="H173" s="1" t="str">
        <f t="shared" si="7"/>
        <v>CA</v>
      </c>
      <c r="I173" s="1">
        <f t="shared" si="8"/>
        <v>1</v>
      </c>
    </row>
    <row r="174" spans="1:9" x14ac:dyDescent="0.2">
      <c r="A174" s="1" t="s">
        <v>239</v>
      </c>
      <c r="B174" s="1">
        <v>49407.16</v>
      </c>
      <c r="C174" s="1" t="s">
        <v>6</v>
      </c>
      <c r="D174" s="1">
        <f t="shared" si="6"/>
        <v>50588.018746491216</v>
      </c>
      <c r="E174" s="1">
        <v>38.605699999999999</v>
      </c>
      <c r="F174" s="1">
        <v>-121.44364</v>
      </c>
      <c r="G174" s="1" t="s">
        <v>6</v>
      </c>
      <c r="H174" s="1" t="str">
        <f t="shared" si="7"/>
        <v>CA</v>
      </c>
      <c r="I174" s="1">
        <f t="shared" si="8"/>
        <v>0</v>
      </c>
    </row>
    <row r="175" spans="1:9" x14ac:dyDescent="0.2">
      <c r="A175" s="1" t="s">
        <v>240</v>
      </c>
      <c r="B175" s="1">
        <v>61066.61</v>
      </c>
      <c r="C175" s="1" t="s">
        <v>6</v>
      </c>
      <c r="D175" s="1">
        <f t="shared" si="6"/>
        <v>50588.018746491216</v>
      </c>
      <c r="E175" s="1">
        <v>38.525203189999999</v>
      </c>
      <c r="F175" s="1">
        <v>-121.4320653</v>
      </c>
      <c r="G175" s="1" t="s">
        <v>6</v>
      </c>
      <c r="H175" s="1" t="str">
        <f t="shared" si="7"/>
        <v>CA</v>
      </c>
      <c r="I175" s="1">
        <f t="shared" si="8"/>
        <v>1</v>
      </c>
    </row>
    <row r="176" spans="1:9" x14ac:dyDescent="0.2">
      <c r="A176" s="1" t="s">
        <v>241</v>
      </c>
      <c r="B176" s="1">
        <v>27547.72</v>
      </c>
      <c r="C176" s="1" t="s">
        <v>6</v>
      </c>
      <c r="D176" s="1">
        <f t="shared" si="6"/>
        <v>50588.018746491216</v>
      </c>
      <c r="E176" s="1">
        <v>38.595382870000002</v>
      </c>
      <c r="F176" s="1">
        <v>-121.36366</v>
      </c>
      <c r="G176" s="1" t="s">
        <v>6</v>
      </c>
      <c r="H176" s="1" t="str">
        <f t="shared" si="7"/>
        <v>CA</v>
      </c>
      <c r="I176" s="1">
        <f t="shared" si="8"/>
        <v>0</v>
      </c>
    </row>
    <row r="177" spans="1:9" x14ac:dyDescent="0.2">
      <c r="A177" s="1" t="s">
        <v>242</v>
      </c>
      <c r="B177" s="1">
        <v>49697.279999999999</v>
      </c>
      <c r="C177" s="1" t="s">
        <v>6</v>
      </c>
      <c r="D177" s="1">
        <f t="shared" si="6"/>
        <v>50588.018746491216</v>
      </c>
      <c r="E177" s="1">
        <v>38.495791230000002</v>
      </c>
      <c r="F177" s="1">
        <v>-121.509114</v>
      </c>
      <c r="G177" s="1" t="s">
        <v>6</v>
      </c>
      <c r="H177" s="1" t="str">
        <f t="shared" si="7"/>
        <v>CA</v>
      </c>
      <c r="I177" s="1">
        <f t="shared" si="8"/>
        <v>0</v>
      </c>
    </row>
    <row r="178" spans="1:9" x14ac:dyDescent="0.2">
      <c r="A178" s="1" t="s">
        <v>243</v>
      </c>
      <c r="B178" s="1">
        <v>63738.49</v>
      </c>
      <c r="C178" s="1" t="s">
        <v>6</v>
      </c>
      <c r="D178" s="1">
        <f t="shared" si="6"/>
        <v>50588.018746491216</v>
      </c>
      <c r="E178" s="1">
        <v>38.614879999999999</v>
      </c>
      <c r="F178" s="1">
        <v>-121.51416</v>
      </c>
      <c r="G178" s="1" t="s">
        <v>6</v>
      </c>
      <c r="H178" s="1" t="str">
        <f t="shared" si="7"/>
        <v>CA</v>
      </c>
      <c r="I178" s="1">
        <f t="shared" si="8"/>
        <v>1</v>
      </c>
    </row>
    <row r="179" spans="1:9" x14ac:dyDescent="0.2">
      <c r="A179" s="1" t="s">
        <v>244</v>
      </c>
      <c r="B179" s="1">
        <v>55177.06</v>
      </c>
      <c r="C179" s="1" t="s">
        <v>6</v>
      </c>
      <c r="D179" s="1">
        <f t="shared" si="6"/>
        <v>50588.018746491216</v>
      </c>
      <c r="E179" s="1">
        <v>38.48652225</v>
      </c>
      <c r="F179" s="1">
        <v>-121.53654040000001</v>
      </c>
      <c r="G179" s="1" t="s">
        <v>6</v>
      </c>
      <c r="H179" s="1" t="str">
        <f t="shared" si="7"/>
        <v>CA</v>
      </c>
      <c r="I179" s="1">
        <f t="shared" si="8"/>
        <v>1</v>
      </c>
    </row>
    <row r="180" spans="1:9" x14ac:dyDescent="0.2">
      <c r="A180" s="1" t="s">
        <v>245</v>
      </c>
      <c r="B180" s="1">
        <v>61667.41</v>
      </c>
      <c r="C180" s="1" t="s">
        <v>6</v>
      </c>
      <c r="D180" s="1">
        <f t="shared" si="6"/>
        <v>50588.018746491216</v>
      </c>
      <c r="E180" s="1">
        <v>38.642822870000003</v>
      </c>
      <c r="F180" s="1">
        <v>-121.53292519999999</v>
      </c>
      <c r="G180" s="1" t="s">
        <v>6</v>
      </c>
      <c r="H180" s="1" t="str">
        <f t="shared" si="7"/>
        <v>CA</v>
      </c>
      <c r="I180" s="1">
        <f t="shared" si="8"/>
        <v>1</v>
      </c>
    </row>
    <row r="181" spans="1:9" x14ac:dyDescent="0.2">
      <c r="A181" s="1" t="s">
        <v>246</v>
      </c>
      <c r="B181" s="1">
        <v>10633.18</v>
      </c>
      <c r="C181" s="1" t="s">
        <v>6</v>
      </c>
      <c r="D181" s="1">
        <f t="shared" si="6"/>
        <v>50588.018746491216</v>
      </c>
      <c r="E181" s="1">
        <v>38.524799870000002</v>
      </c>
      <c r="F181" s="1">
        <v>-121.4624104</v>
      </c>
      <c r="G181" s="1" t="s">
        <v>6</v>
      </c>
      <c r="H181" s="1" t="str">
        <f t="shared" si="7"/>
        <v>CA</v>
      </c>
      <c r="I181" s="1">
        <f t="shared" si="8"/>
        <v>0</v>
      </c>
    </row>
    <row r="182" spans="1:9" x14ac:dyDescent="0.2">
      <c r="A182" s="1" t="s">
        <v>247</v>
      </c>
      <c r="B182" s="1">
        <v>28452.53</v>
      </c>
      <c r="C182" s="1" t="s">
        <v>6</v>
      </c>
      <c r="D182" s="1">
        <f t="shared" si="6"/>
        <v>50588.018746491216</v>
      </c>
      <c r="E182" s="1">
        <v>38.704593029999998</v>
      </c>
      <c r="F182" s="1">
        <v>-121.3274457</v>
      </c>
      <c r="G182" s="1" t="s">
        <v>6</v>
      </c>
      <c r="H182" s="1" t="str">
        <f t="shared" si="7"/>
        <v>CA</v>
      </c>
      <c r="I182" s="1">
        <f t="shared" si="8"/>
        <v>0</v>
      </c>
    </row>
    <row r="183" spans="1:9" x14ac:dyDescent="0.2">
      <c r="A183" s="1" t="s">
        <v>248</v>
      </c>
      <c r="B183" s="1">
        <v>40057.85</v>
      </c>
      <c r="C183" s="1" t="s">
        <v>6</v>
      </c>
      <c r="D183" s="1">
        <f t="shared" si="6"/>
        <v>50588.018746491216</v>
      </c>
      <c r="E183" s="1">
        <v>38.588611999999998</v>
      </c>
      <c r="F183" s="1">
        <v>-121.4012546</v>
      </c>
      <c r="G183" s="1" t="s">
        <v>6</v>
      </c>
      <c r="H183" s="1" t="str">
        <f t="shared" si="7"/>
        <v>CA</v>
      </c>
      <c r="I183" s="1">
        <f t="shared" si="8"/>
        <v>0</v>
      </c>
    </row>
    <row r="184" spans="1:9" x14ac:dyDescent="0.2">
      <c r="A184" s="1" t="s">
        <v>249</v>
      </c>
      <c r="B184" s="1">
        <v>27902.66</v>
      </c>
      <c r="C184" s="1" t="s">
        <v>6</v>
      </c>
      <c r="D184" s="1">
        <f t="shared" si="6"/>
        <v>50588.018746491216</v>
      </c>
      <c r="E184" s="1">
        <v>38.495942890000002</v>
      </c>
      <c r="F184" s="1">
        <v>-121.39049319999999</v>
      </c>
      <c r="G184" s="1" t="s">
        <v>6</v>
      </c>
      <c r="H184" s="1" t="str">
        <f t="shared" si="7"/>
        <v>CA</v>
      </c>
      <c r="I184" s="1">
        <f t="shared" si="8"/>
        <v>0</v>
      </c>
    </row>
    <row r="185" spans="1:9" x14ac:dyDescent="0.2">
      <c r="A185" s="1" t="s">
        <v>250</v>
      </c>
      <c r="B185" s="1">
        <v>22904.2</v>
      </c>
      <c r="C185" s="1" t="s">
        <v>6</v>
      </c>
      <c r="D185" s="1">
        <f t="shared" si="6"/>
        <v>50588.018746491216</v>
      </c>
      <c r="E185" s="1">
        <v>38.628700690000002</v>
      </c>
      <c r="F185" s="1">
        <v>-121.4315423</v>
      </c>
      <c r="G185" s="1" t="s">
        <v>6</v>
      </c>
      <c r="H185" s="1" t="str">
        <f t="shared" si="7"/>
        <v>CA</v>
      </c>
      <c r="I185" s="1">
        <f t="shared" si="8"/>
        <v>0</v>
      </c>
    </row>
    <row r="186" spans="1:9" x14ac:dyDescent="0.2">
      <c r="A186" s="1" t="s">
        <v>251</v>
      </c>
      <c r="B186" s="1">
        <v>71637.789999999994</v>
      </c>
      <c r="C186" s="1" t="s">
        <v>6</v>
      </c>
      <c r="D186" s="1">
        <f t="shared" si="6"/>
        <v>50588.018746491216</v>
      </c>
      <c r="E186" s="1">
        <v>38.49585287</v>
      </c>
      <c r="F186" s="1">
        <v>-121.4619416</v>
      </c>
      <c r="G186" s="1" t="s">
        <v>6</v>
      </c>
      <c r="H186" s="1" t="str">
        <f t="shared" si="7"/>
        <v>CA</v>
      </c>
      <c r="I186" s="1">
        <f t="shared" si="8"/>
        <v>1</v>
      </c>
    </row>
    <row r="187" spans="1:9" x14ac:dyDescent="0.2">
      <c r="A187" s="1" t="s">
        <v>252</v>
      </c>
      <c r="B187" s="1">
        <v>68656.600000000006</v>
      </c>
      <c r="C187" s="1" t="s">
        <v>6</v>
      </c>
      <c r="D187" s="1">
        <f t="shared" si="6"/>
        <v>50588.018746491216</v>
      </c>
      <c r="E187" s="1">
        <v>38.627212569999998</v>
      </c>
      <c r="F187" s="1">
        <v>-121.4981635</v>
      </c>
      <c r="G187" s="1" t="s">
        <v>6</v>
      </c>
      <c r="H187" s="1" t="str">
        <f t="shared" si="7"/>
        <v>CA</v>
      </c>
      <c r="I187" s="1">
        <f t="shared" si="8"/>
        <v>1</v>
      </c>
    </row>
    <row r="188" spans="1:9" x14ac:dyDescent="0.2">
      <c r="A188" s="1" t="s">
        <v>253</v>
      </c>
      <c r="B188" s="1">
        <v>100501.68</v>
      </c>
      <c r="C188" s="1" t="s">
        <v>6</v>
      </c>
      <c r="D188" s="1">
        <f t="shared" si="6"/>
        <v>50588.018746491216</v>
      </c>
      <c r="E188" s="1">
        <v>38.643329999999999</v>
      </c>
      <c r="F188" s="1">
        <v>-121.52281000000001</v>
      </c>
      <c r="G188" s="1" t="s">
        <v>6</v>
      </c>
      <c r="H188" s="1" t="str">
        <f t="shared" si="7"/>
        <v>CA</v>
      </c>
      <c r="I188" s="1">
        <f t="shared" si="8"/>
        <v>1</v>
      </c>
    </row>
    <row r="189" spans="1:9" x14ac:dyDescent="0.2">
      <c r="A189" s="1" t="s">
        <v>254</v>
      </c>
      <c r="B189" s="1">
        <v>42923.32</v>
      </c>
      <c r="C189" s="1" t="s">
        <v>6</v>
      </c>
      <c r="D189" s="1">
        <f t="shared" si="6"/>
        <v>50588.018746491216</v>
      </c>
      <c r="E189" s="1">
        <v>38.481482870000001</v>
      </c>
      <c r="F189" s="1">
        <v>-121.40745</v>
      </c>
      <c r="G189" s="1" t="s">
        <v>6</v>
      </c>
      <c r="H189" s="1" t="str">
        <f t="shared" si="7"/>
        <v>CA</v>
      </c>
      <c r="I189" s="1">
        <f t="shared" si="8"/>
        <v>0</v>
      </c>
    </row>
    <row r="190" spans="1:9" x14ac:dyDescent="0.2">
      <c r="A190" s="1" t="s">
        <v>255</v>
      </c>
      <c r="B190" s="1">
        <v>42233.62</v>
      </c>
      <c r="C190" s="1" t="s">
        <v>6</v>
      </c>
      <c r="D190" s="1">
        <f t="shared" si="6"/>
        <v>50588.018746491216</v>
      </c>
      <c r="E190" s="1">
        <v>38.527221009999998</v>
      </c>
      <c r="F190" s="1">
        <v>-121.44380580000001</v>
      </c>
      <c r="G190" s="1" t="s">
        <v>6</v>
      </c>
      <c r="H190" s="1" t="str">
        <f t="shared" si="7"/>
        <v>CA</v>
      </c>
      <c r="I190" s="1">
        <f t="shared" si="8"/>
        <v>0</v>
      </c>
    </row>
    <row r="191" spans="1:9" x14ac:dyDescent="0.2">
      <c r="A191" s="1" t="s">
        <v>256</v>
      </c>
      <c r="B191" s="1">
        <v>54930.7</v>
      </c>
      <c r="C191" s="1" t="s">
        <v>6</v>
      </c>
      <c r="D191" s="1">
        <f t="shared" si="6"/>
        <v>50588.018746491216</v>
      </c>
      <c r="E191" s="1">
        <v>38.455533619999997</v>
      </c>
      <c r="F191" s="1">
        <v>-121.4159081</v>
      </c>
      <c r="G191" s="1" t="s">
        <v>6</v>
      </c>
      <c r="H191" s="1" t="str">
        <f t="shared" si="7"/>
        <v>CA</v>
      </c>
      <c r="I191" s="1">
        <f t="shared" si="8"/>
        <v>1</v>
      </c>
    </row>
    <row r="192" spans="1:9" x14ac:dyDescent="0.2">
      <c r="A192" s="1" t="s">
        <v>257</v>
      </c>
      <c r="B192" s="1">
        <v>47995.360000000001</v>
      </c>
      <c r="C192" s="1" t="s">
        <v>6</v>
      </c>
      <c r="D192" s="1">
        <f t="shared" si="6"/>
        <v>50588.018746491216</v>
      </c>
      <c r="E192" s="1">
        <v>38.53253093</v>
      </c>
      <c r="F192" s="1">
        <v>-121.4948509</v>
      </c>
      <c r="G192" s="1" t="s">
        <v>6</v>
      </c>
      <c r="H192" s="1" t="str">
        <f t="shared" si="7"/>
        <v>CA</v>
      </c>
      <c r="I192" s="1">
        <f t="shared" si="8"/>
        <v>0</v>
      </c>
    </row>
    <row r="193" spans="1:9" x14ac:dyDescent="0.2">
      <c r="A193" s="1" t="s">
        <v>258</v>
      </c>
      <c r="B193" s="1">
        <v>36336.400000000001</v>
      </c>
      <c r="C193" s="1" t="s">
        <v>6</v>
      </c>
      <c r="D193" s="1">
        <f t="shared" si="6"/>
        <v>50588.018746491216</v>
      </c>
      <c r="E193" s="1">
        <v>38.61760005</v>
      </c>
      <c r="F193" s="1">
        <v>-121.3819032</v>
      </c>
      <c r="G193" s="1" t="s">
        <v>6</v>
      </c>
      <c r="H193" s="1" t="str">
        <f t="shared" si="7"/>
        <v>CA</v>
      </c>
      <c r="I193" s="1">
        <f t="shared" si="8"/>
        <v>0</v>
      </c>
    </row>
    <row r="194" spans="1:9" x14ac:dyDescent="0.2">
      <c r="A194" s="1" t="s">
        <v>259</v>
      </c>
      <c r="B194" s="1">
        <v>57181.43</v>
      </c>
      <c r="C194" s="1" t="s">
        <v>6</v>
      </c>
      <c r="D194" s="1">
        <f t="shared" si="6"/>
        <v>50588.018746491216</v>
      </c>
      <c r="E194" s="1">
        <v>38.547295179999999</v>
      </c>
      <c r="F194" s="1">
        <v>-121.39421230000001</v>
      </c>
      <c r="G194" s="1" t="s">
        <v>6</v>
      </c>
      <c r="H194" s="1" t="str">
        <f t="shared" si="7"/>
        <v>CA</v>
      </c>
      <c r="I194" s="1">
        <f t="shared" si="8"/>
        <v>1</v>
      </c>
    </row>
    <row r="195" spans="1:9" x14ac:dyDescent="0.2">
      <c r="A195" s="1" t="s">
        <v>260</v>
      </c>
      <c r="B195" s="1">
        <v>42834.97</v>
      </c>
      <c r="C195" s="1" t="s">
        <v>6</v>
      </c>
      <c r="D195" s="1">
        <f t="shared" ref="D195:D258" si="9">AVERAGEIFS($B:$B,$C:$C,$C195)</f>
        <v>50588.018746491216</v>
      </c>
      <c r="E195" s="1">
        <v>38.5737971</v>
      </c>
      <c r="F195" s="1">
        <v>-121.4165089</v>
      </c>
      <c r="G195" s="1" t="s">
        <v>6</v>
      </c>
      <c r="H195" s="1" t="str">
        <f t="shared" ref="H195:H258" si="10">TRIM(_xlfn.TEXTAFTER(A195, ",", -1))</f>
        <v>CA</v>
      </c>
      <c r="I195" s="1">
        <f t="shared" ref="I195:I258" si="11">IF(B195&gt;D195,1,0)</f>
        <v>0</v>
      </c>
    </row>
    <row r="196" spans="1:9" x14ac:dyDescent="0.2">
      <c r="A196" s="1" t="s">
        <v>261</v>
      </c>
      <c r="B196" s="1">
        <v>64902.51</v>
      </c>
      <c r="C196" s="1" t="s">
        <v>6</v>
      </c>
      <c r="D196" s="1">
        <f t="shared" si="9"/>
        <v>50588.018746491216</v>
      </c>
      <c r="E196" s="1">
        <v>38.657340920000003</v>
      </c>
      <c r="F196" s="1">
        <v>-121.51179260000001</v>
      </c>
      <c r="G196" s="1" t="s">
        <v>6</v>
      </c>
      <c r="H196" s="1" t="str">
        <f t="shared" si="10"/>
        <v>CA</v>
      </c>
      <c r="I196" s="1">
        <f t="shared" si="11"/>
        <v>1</v>
      </c>
    </row>
    <row r="197" spans="1:9" x14ac:dyDescent="0.2">
      <c r="A197" s="1" t="s">
        <v>262</v>
      </c>
      <c r="B197" s="1">
        <v>1498.34</v>
      </c>
      <c r="C197" s="1" t="s">
        <v>6</v>
      </c>
      <c r="D197" s="1">
        <f t="shared" si="9"/>
        <v>50588.018746491216</v>
      </c>
      <c r="E197" s="1">
        <v>38.547397099999998</v>
      </c>
      <c r="F197" s="1">
        <v>-121.3608838</v>
      </c>
      <c r="G197" s="1" t="s">
        <v>6</v>
      </c>
      <c r="H197" s="1" t="str">
        <f t="shared" si="10"/>
        <v>CA</v>
      </c>
      <c r="I197" s="1">
        <f t="shared" si="11"/>
        <v>0</v>
      </c>
    </row>
    <row r="198" spans="1:9" x14ac:dyDescent="0.2">
      <c r="A198" s="1" t="s">
        <v>263</v>
      </c>
      <c r="B198" s="1">
        <v>2972.76</v>
      </c>
      <c r="C198" s="1" t="s">
        <v>6</v>
      </c>
      <c r="D198" s="1">
        <f t="shared" si="9"/>
        <v>50588.018746491216</v>
      </c>
      <c r="E198" s="1">
        <v>38.481482870000001</v>
      </c>
      <c r="F198" s="1">
        <v>-121.4111338</v>
      </c>
      <c r="G198" s="1" t="s">
        <v>6</v>
      </c>
      <c r="H198" s="1" t="str">
        <f t="shared" si="10"/>
        <v>CA</v>
      </c>
      <c r="I198" s="1">
        <f t="shared" si="11"/>
        <v>0</v>
      </c>
    </row>
    <row r="199" spans="1:9" x14ac:dyDescent="0.2">
      <c r="A199" s="1" t="s">
        <v>264</v>
      </c>
      <c r="B199" s="1">
        <v>4211.38</v>
      </c>
      <c r="C199" s="1" t="s">
        <v>6</v>
      </c>
      <c r="D199" s="1">
        <f t="shared" si="9"/>
        <v>50588.018746491216</v>
      </c>
      <c r="E199" s="1">
        <v>38.495554749999997</v>
      </c>
      <c r="F199" s="1">
        <v>-121.522854</v>
      </c>
      <c r="G199" s="1" t="s">
        <v>6</v>
      </c>
      <c r="H199" s="1" t="str">
        <f t="shared" si="10"/>
        <v>CA</v>
      </c>
      <c r="I199" s="1">
        <f t="shared" si="11"/>
        <v>0</v>
      </c>
    </row>
    <row r="200" spans="1:9" x14ac:dyDescent="0.2">
      <c r="A200" s="1" t="s">
        <v>265</v>
      </c>
      <c r="B200" s="1">
        <v>4413.57</v>
      </c>
      <c r="C200" s="1" t="s">
        <v>6</v>
      </c>
      <c r="D200" s="1">
        <f t="shared" si="9"/>
        <v>50588.018746491216</v>
      </c>
      <c r="E200" s="1">
        <v>38.644642560000001</v>
      </c>
      <c r="F200" s="1">
        <v>-121.4570726</v>
      </c>
      <c r="G200" s="1" t="s">
        <v>6</v>
      </c>
      <c r="H200" s="1" t="str">
        <f t="shared" si="10"/>
        <v>CA</v>
      </c>
      <c r="I200" s="1">
        <f t="shared" si="11"/>
        <v>0</v>
      </c>
    </row>
    <row r="201" spans="1:9" x14ac:dyDescent="0.2">
      <c r="A201" s="1" t="s">
        <v>266</v>
      </c>
      <c r="B201" s="1">
        <v>4576.32</v>
      </c>
      <c r="C201" s="1" t="s">
        <v>6</v>
      </c>
      <c r="D201" s="1">
        <f t="shared" si="9"/>
        <v>50588.018746491216</v>
      </c>
      <c r="E201" s="1">
        <v>38.61774484</v>
      </c>
      <c r="F201" s="1">
        <v>-121.3656826</v>
      </c>
      <c r="G201" s="1" t="s">
        <v>6</v>
      </c>
      <c r="H201" s="1" t="str">
        <f t="shared" si="10"/>
        <v>CA</v>
      </c>
      <c r="I201" s="1">
        <f t="shared" si="11"/>
        <v>0</v>
      </c>
    </row>
    <row r="202" spans="1:9" x14ac:dyDescent="0.2">
      <c r="A202" s="1" t="s">
        <v>267</v>
      </c>
      <c r="B202" s="1">
        <v>3185.15</v>
      </c>
      <c r="C202" s="1" t="s">
        <v>6</v>
      </c>
      <c r="D202" s="1">
        <f t="shared" si="9"/>
        <v>50588.018746491216</v>
      </c>
      <c r="E202" s="1">
        <v>38.656127130000002</v>
      </c>
      <c r="F202" s="1">
        <v>-121.52325</v>
      </c>
      <c r="G202" s="1" t="s">
        <v>6</v>
      </c>
      <c r="H202" s="1" t="str">
        <f t="shared" si="10"/>
        <v>CA</v>
      </c>
      <c r="I202" s="1">
        <f t="shared" si="11"/>
        <v>0</v>
      </c>
    </row>
    <row r="203" spans="1:9" x14ac:dyDescent="0.2">
      <c r="A203" s="1" t="s">
        <v>268</v>
      </c>
      <c r="B203" s="1">
        <v>2739.06</v>
      </c>
      <c r="C203" s="1" t="s">
        <v>6</v>
      </c>
      <c r="D203" s="1">
        <f t="shared" si="9"/>
        <v>50588.018746491216</v>
      </c>
      <c r="E203" s="1">
        <v>38.566815839999997</v>
      </c>
      <c r="F203" s="1">
        <v>-121.4434712</v>
      </c>
      <c r="G203" s="1" t="s">
        <v>6</v>
      </c>
      <c r="H203" s="1" t="str">
        <f t="shared" si="10"/>
        <v>CA</v>
      </c>
      <c r="I203" s="1">
        <f t="shared" si="11"/>
        <v>0</v>
      </c>
    </row>
    <row r="204" spans="1:9" x14ac:dyDescent="0.2">
      <c r="A204" s="1" t="s">
        <v>269</v>
      </c>
      <c r="B204" s="1">
        <v>81834.429999999993</v>
      </c>
      <c r="C204" s="1" t="s">
        <v>6</v>
      </c>
      <c r="D204" s="1">
        <f t="shared" si="9"/>
        <v>50588.018746491216</v>
      </c>
      <c r="E204" s="1">
        <v>38.45349401</v>
      </c>
      <c r="F204" s="1">
        <v>-121.3714524</v>
      </c>
      <c r="G204" s="1" t="s">
        <v>6</v>
      </c>
      <c r="H204" s="1" t="str">
        <f t="shared" si="10"/>
        <v>CA</v>
      </c>
      <c r="I204" s="1">
        <f t="shared" si="11"/>
        <v>1</v>
      </c>
    </row>
    <row r="205" spans="1:9" x14ac:dyDescent="0.2">
      <c r="A205" s="1" t="s">
        <v>270</v>
      </c>
      <c r="B205" s="1">
        <v>70539.63</v>
      </c>
      <c r="C205" s="1" t="s">
        <v>6</v>
      </c>
      <c r="D205" s="1">
        <f t="shared" si="9"/>
        <v>50588.018746491216</v>
      </c>
      <c r="E205" s="1">
        <v>38.595634279999999</v>
      </c>
      <c r="F205" s="1">
        <v>-121.3862136</v>
      </c>
      <c r="G205" s="1" t="s">
        <v>6</v>
      </c>
      <c r="H205" s="1" t="str">
        <f t="shared" si="10"/>
        <v>CA</v>
      </c>
      <c r="I205" s="1">
        <f t="shared" si="11"/>
        <v>1</v>
      </c>
    </row>
    <row r="206" spans="1:9" x14ac:dyDescent="0.2">
      <c r="A206" s="1" t="s">
        <v>271</v>
      </c>
      <c r="B206" s="1">
        <v>57714.91</v>
      </c>
      <c r="C206" s="1" t="s">
        <v>6</v>
      </c>
      <c r="D206" s="1">
        <f t="shared" si="9"/>
        <v>50588.018746491216</v>
      </c>
      <c r="E206" s="1">
        <v>38.572594209999998</v>
      </c>
      <c r="F206" s="1">
        <v>-121.4138375</v>
      </c>
      <c r="G206" s="1" t="s">
        <v>6</v>
      </c>
      <c r="H206" s="1" t="str">
        <f t="shared" si="10"/>
        <v>CA</v>
      </c>
      <c r="I206" s="1">
        <f t="shared" si="11"/>
        <v>1</v>
      </c>
    </row>
    <row r="207" spans="1:9" x14ac:dyDescent="0.2">
      <c r="A207" s="1" t="s">
        <v>272</v>
      </c>
      <c r="B207" s="1">
        <v>54386.23</v>
      </c>
      <c r="C207" s="1" t="s">
        <v>6</v>
      </c>
      <c r="D207" s="1">
        <f t="shared" si="9"/>
        <v>50588.018746491216</v>
      </c>
      <c r="E207" s="1">
        <v>38.572213699999999</v>
      </c>
      <c r="F207" s="1">
        <v>-121.4653014</v>
      </c>
      <c r="G207" s="1" t="s">
        <v>6</v>
      </c>
      <c r="H207" s="1" t="str">
        <f t="shared" si="10"/>
        <v>CA</v>
      </c>
      <c r="I207" s="1">
        <f t="shared" si="11"/>
        <v>1</v>
      </c>
    </row>
    <row r="208" spans="1:9" x14ac:dyDescent="0.2">
      <c r="A208" s="1" t="s">
        <v>273</v>
      </c>
      <c r="B208" s="1">
        <v>60257.51</v>
      </c>
      <c r="C208" s="1" t="s">
        <v>6</v>
      </c>
      <c r="D208" s="1">
        <f t="shared" si="9"/>
        <v>50588.018746491216</v>
      </c>
      <c r="E208" s="1">
        <v>38.685657329999998</v>
      </c>
      <c r="F208" s="1">
        <v>-121.340234</v>
      </c>
      <c r="G208" s="1" t="s">
        <v>6</v>
      </c>
      <c r="H208" s="1" t="str">
        <f t="shared" si="10"/>
        <v>CA</v>
      </c>
      <c r="I208" s="1">
        <f t="shared" si="11"/>
        <v>1</v>
      </c>
    </row>
    <row r="209" spans="1:9" x14ac:dyDescent="0.2">
      <c r="A209" s="1" t="s">
        <v>274</v>
      </c>
      <c r="B209" s="1">
        <v>92758.5</v>
      </c>
      <c r="C209" s="1" t="s">
        <v>6</v>
      </c>
      <c r="D209" s="1">
        <f t="shared" si="9"/>
        <v>50588.018746491216</v>
      </c>
      <c r="E209" s="1">
        <v>38.567735499999998</v>
      </c>
      <c r="F209" s="1">
        <v>-121.4854504</v>
      </c>
      <c r="G209" s="1" t="s">
        <v>6</v>
      </c>
      <c r="H209" s="1" t="str">
        <f t="shared" si="10"/>
        <v>CA</v>
      </c>
      <c r="I209" s="1">
        <f t="shared" si="11"/>
        <v>1</v>
      </c>
    </row>
    <row r="210" spans="1:9" x14ac:dyDescent="0.2">
      <c r="A210" s="1" t="s">
        <v>275</v>
      </c>
      <c r="B210" s="1">
        <v>122629.23</v>
      </c>
      <c r="C210" s="1" t="s">
        <v>6</v>
      </c>
      <c r="D210" s="1">
        <f t="shared" si="9"/>
        <v>50588.018746491216</v>
      </c>
      <c r="E210" s="1">
        <v>38.656117119999998</v>
      </c>
      <c r="F210" s="1">
        <v>-121.5243426</v>
      </c>
      <c r="G210" s="1" t="s">
        <v>6</v>
      </c>
      <c r="H210" s="1" t="str">
        <f t="shared" si="10"/>
        <v>CA</v>
      </c>
      <c r="I210" s="1">
        <f t="shared" si="11"/>
        <v>1</v>
      </c>
    </row>
    <row r="211" spans="1:9" x14ac:dyDescent="0.2">
      <c r="A211" s="1" t="s">
        <v>276</v>
      </c>
      <c r="B211" s="1">
        <v>69472.429999999993</v>
      </c>
      <c r="C211" s="1" t="s">
        <v>6</v>
      </c>
      <c r="D211" s="1">
        <f t="shared" si="9"/>
        <v>50588.018746491216</v>
      </c>
      <c r="E211" s="1">
        <v>38.54097582</v>
      </c>
      <c r="F211" s="1">
        <v>-121.4822911</v>
      </c>
      <c r="G211" s="1" t="s">
        <v>6</v>
      </c>
      <c r="H211" s="1" t="str">
        <f t="shared" si="10"/>
        <v>CA</v>
      </c>
      <c r="I211" s="1">
        <f t="shared" si="11"/>
        <v>1</v>
      </c>
    </row>
    <row r="212" spans="1:9" x14ac:dyDescent="0.2">
      <c r="A212" s="1" t="s">
        <v>277</v>
      </c>
      <c r="B212" s="1">
        <v>34236.39</v>
      </c>
      <c r="C212" s="1" t="s">
        <v>6</v>
      </c>
      <c r="D212" s="1">
        <f t="shared" si="9"/>
        <v>50588.018746491216</v>
      </c>
      <c r="E212" s="1">
        <v>38.481482870000001</v>
      </c>
      <c r="F212" s="1">
        <v>-121.4104313</v>
      </c>
      <c r="G212" s="1" t="s">
        <v>6</v>
      </c>
      <c r="H212" s="1" t="str">
        <f t="shared" si="10"/>
        <v>CA</v>
      </c>
      <c r="I212" s="1">
        <f t="shared" si="11"/>
        <v>0</v>
      </c>
    </row>
    <row r="213" spans="1:9" x14ac:dyDescent="0.2">
      <c r="A213" s="1" t="s">
        <v>278</v>
      </c>
      <c r="B213" s="1">
        <v>56251.7</v>
      </c>
      <c r="C213" s="1" t="s">
        <v>6</v>
      </c>
      <c r="D213" s="1">
        <f t="shared" si="9"/>
        <v>50588.018746491216</v>
      </c>
      <c r="E213" s="1">
        <v>38.558313200000001</v>
      </c>
      <c r="F213" s="1">
        <v>-121.4381368</v>
      </c>
      <c r="G213" s="1" t="s">
        <v>6</v>
      </c>
      <c r="H213" s="1" t="str">
        <f t="shared" si="10"/>
        <v>CA</v>
      </c>
      <c r="I213" s="1">
        <f t="shared" si="11"/>
        <v>1</v>
      </c>
    </row>
    <row r="214" spans="1:9" x14ac:dyDescent="0.2">
      <c r="A214" s="1" t="s">
        <v>279</v>
      </c>
      <c r="B214" s="1">
        <v>58840.38</v>
      </c>
      <c r="C214" s="1" t="s">
        <v>6</v>
      </c>
      <c r="D214" s="1">
        <f t="shared" si="9"/>
        <v>50588.018746491216</v>
      </c>
      <c r="E214" s="1">
        <v>38.547403099999997</v>
      </c>
      <c r="F214" s="1">
        <v>-121.3606078</v>
      </c>
      <c r="G214" s="1" t="s">
        <v>6</v>
      </c>
      <c r="H214" s="1" t="str">
        <f t="shared" si="10"/>
        <v>CA</v>
      </c>
      <c r="I214" s="1">
        <f t="shared" si="11"/>
        <v>1</v>
      </c>
    </row>
    <row r="215" spans="1:9" x14ac:dyDescent="0.2">
      <c r="A215" s="1" t="s">
        <v>280</v>
      </c>
      <c r="B215" s="1">
        <v>58141.3</v>
      </c>
      <c r="C215" s="1" t="s">
        <v>6</v>
      </c>
      <c r="D215" s="1">
        <f t="shared" si="9"/>
        <v>50588.018746491216</v>
      </c>
      <c r="E215" s="1">
        <v>38.574467759999997</v>
      </c>
      <c r="F215" s="1">
        <v>-121.4039054</v>
      </c>
      <c r="G215" s="1" t="s">
        <v>6</v>
      </c>
      <c r="H215" s="1" t="str">
        <f t="shared" si="10"/>
        <v>CA</v>
      </c>
      <c r="I215" s="1">
        <f t="shared" si="11"/>
        <v>1</v>
      </c>
    </row>
    <row r="216" spans="1:9" x14ac:dyDescent="0.2">
      <c r="A216" s="1" t="s">
        <v>281</v>
      </c>
      <c r="B216" s="1">
        <v>32708.12</v>
      </c>
      <c r="C216" s="1" t="s">
        <v>6</v>
      </c>
      <c r="D216" s="1">
        <f t="shared" si="9"/>
        <v>50588.018746491216</v>
      </c>
      <c r="E216" s="1">
        <v>38.625410000000002</v>
      </c>
      <c r="F216" s="1">
        <v>-121.38473999999999</v>
      </c>
      <c r="G216" s="1" t="s">
        <v>6</v>
      </c>
      <c r="H216" s="1" t="str">
        <f t="shared" si="10"/>
        <v>CA</v>
      </c>
      <c r="I216" s="1">
        <f t="shared" si="11"/>
        <v>0</v>
      </c>
    </row>
    <row r="217" spans="1:9" x14ac:dyDescent="0.2">
      <c r="A217" s="1" t="s">
        <v>282</v>
      </c>
      <c r="B217" s="1">
        <v>41662.410000000003</v>
      </c>
      <c r="C217" s="1" t="s">
        <v>6</v>
      </c>
      <c r="D217" s="1">
        <f t="shared" si="9"/>
        <v>50588.018746491216</v>
      </c>
      <c r="E217" s="1">
        <v>38.613108150000002</v>
      </c>
      <c r="F217" s="1">
        <v>-121.51671090000001</v>
      </c>
      <c r="G217" s="1" t="s">
        <v>6</v>
      </c>
      <c r="H217" s="1" t="str">
        <f t="shared" si="10"/>
        <v>CA</v>
      </c>
      <c r="I217" s="1">
        <f t="shared" si="11"/>
        <v>0</v>
      </c>
    </row>
    <row r="218" spans="1:9" x14ac:dyDescent="0.2">
      <c r="A218" s="1" t="s">
        <v>283</v>
      </c>
      <c r="B218" s="1">
        <v>35538.730000000003</v>
      </c>
      <c r="C218" s="1" t="s">
        <v>6</v>
      </c>
      <c r="D218" s="1">
        <f t="shared" si="9"/>
        <v>50588.018746491216</v>
      </c>
      <c r="E218" s="1">
        <v>38.595822869999999</v>
      </c>
      <c r="F218" s="1">
        <v>-121.40142</v>
      </c>
      <c r="G218" s="1" t="s">
        <v>6</v>
      </c>
      <c r="H218" s="1" t="str">
        <f t="shared" si="10"/>
        <v>CA</v>
      </c>
      <c r="I218" s="1">
        <f t="shared" si="11"/>
        <v>0</v>
      </c>
    </row>
    <row r="219" spans="1:9" x14ac:dyDescent="0.2">
      <c r="A219" s="1" t="s">
        <v>284</v>
      </c>
      <c r="B219" s="1">
        <v>46329.24</v>
      </c>
      <c r="C219" s="1" t="s">
        <v>6</v>
      </c>
      <c r="D219" s="1">
        <f t="shared" si="9"/>
        <v>50588.018746491216</v>
      </c>
      <c r="E219" s="1">
        <v>38.577752879999998</v>
      </c>
      <c r="F219" s="1">
        <v>-121.4833467</v>
      </c>
      <c r="G219" s="1" t="s">
        <v>6</v>
      </c>
      <c r="H219" s="1" t="str">
        <f t="shared" si="10"/>
        <v>CA</v>
      </c>
      <c r="I219" s="1">
        <f t="shared" si="11"/>
        <v>0</v>
      </c>
    </row>
    <row r="220" spans="1:9" x14ac:dyDescent="0.2">
      <c r="A220" s="1" t="s">
        <v>285</v>
      </c>
      <c r="B220" s="1">
        <v>79047.100000000006</v>
      </c>
      <c r="C220" s="1" t="s">
        <v>6</v>
      </c>
      <c r="D220" s="1">
        <f t="shared" si="9"/>
        <v>50588.018746491216</v>
      </c>
      <c r="E220" s="1">
        <v>38.457446779999998</v>
      </c>
      <c r="F220" s="1">
        <v>-121.4142775</v>
      </c>
      <c r="G220" s="1" t="s">
        <v>6</v>
      </c>
      <c r="H220" s="1" t="str">
        <f t="shared" si="10"/>
        <v>CA</v>
      </c>
      <c r="I220" s="1">
        <f t="shared" si="11"/>
        <v>1</v>
      </c>
    </row>
    <row r="221" spans="1:9" x14ac:dyDescent="0.2">
      <c r="A221" s="1" t="s">
        <v>286</v>
      </c>
      <c r="B221" s="1">
        <v>134211.85</v>
      </c>
      <c r="C221" s="1" t="s">
        <v>6</v>
      </c>
      <c r="D221" s="1">
        <f t="shared" si="9"/>
        <v>50588.018746491216</v>
      </c>
      <c r="E221" s="1">
        <v>38.639957129999999</v>
      </c>
      <c r="F221" s="1">
        <v>-121.49963</v>
      </c>
      <c r="G221" s="1" t="s">
        <v>6</v>
      </c>
      <c r="H221" s="1" t="str">
        <f t="shared" si="10"/>
        <v>CA</v>
      </c>
      <c r="I221" s="1">
        <f t="shared" si="11"/>
        <v>1</v>
      </c>
    </row>
    <row r="222" spans="1:9" x14ac:dyDescent="0.2">
      <c r="A222" s="1" t="s">
        <v>287</v>
      </c>
      <c r="B222" s="1">
        <v>127172.04</v>
      </c>
      <c r="C222" s="1" t="s">
        <v>6</v>
      </c>
      <c r="D222" s="1">
        <f t="shared" si="9"/>
        <v>50588.018746491216</v>
      </c>
      <c r="E222" s="1">
        <v>38.548497130000001</v>
      </c>
      <c r="F222" s="1">
        <v>-121.4265072</v>
      </c>
      <c r="G222" s="1" t="s">
        <v>6</v>
      </c>
      <c r="H222" s="1" t="str">
        <f t="shared" si="10"/>
        <v>CA</v>
      </c>
      <c r="I222" s="1">
        <f t="shared" si="11"/>
        <v>1</v>
      </c>
    </row>
    <row r="223" spans="1:9" x14ac:dyDescent="0.2">
      <c r="A223" s="1" t="s">
        <v>288</v>
      </c>
      <c r="B223" s="1">
        <v>89281.85</v>
      </c>
      <c r="C223" s="1" t="s">
        <v>6</v>
      </c>
      <c r="D223" s="1">
        <f t="shared" si="9"/>
        <v>50588.018746491216</v>
      </c>
      <c r="E223" s="1">
        <v>38.563022789999998</v>
      </c>
      <c r="F223" s="1">
        <v>-121.4983428</v>
      </c>
      <c r="G223" s="1" t="s">
        <v>6</v>
      </c>
      <c r="H223" s="1" t="str">
        <f t="shared" si="10"/>
        <v>CA</v>
      </c>
      <c r="I223" s="1">
        <f t="shared" si="11"/>
        <v>1</v>
      </c>
    </row>
    <row r="224" spans="1:9" x14ac:dyDescent="0.2">
      <c r="A224" s="1" t="s">
        <v>289</v>
      </c>
      <c r="B224" s="1">
        <v>63096.75</v>
      </c>
      <c r="C224" s="1" t="s">
        <v>6</v>
      </c>
      <c r="D224" s="1">
        <f t="shared" si="9"/>
        <v>50588.018746491216</v>
      </c>
      <c r="E224" s="1">
        <v>38.661107129999998</v>
      </c>
      <c r="F224" s="1">
        <v>-121.34919840000001</v>
      </c>
      <c r="G224" s="1" t="s">
        <v>6</v>
      </c>
      <c r="H224" s="1" t="str">
        <f t="shared" si="10"/>
        <v>CA</v>
      </c>
      <c r="I224" s="1">
        <f t="shared" si="11"/>
        <v>1</v>
      </c>
    </row>
    <row r="225" spans="1:9" x14ac:dyDescent="0.2">
      <c r="A225" s="1" t="s">
        <v>290</v>
      </c>
      <c r="B225" s="1">
        <v>93745.11</v>
      </c>
      <c r="C225" s="1" t="s">
        <v>6</v>
      </c>
      <c r="D225" s="1">
        <f t="shared" si="9"/>
        <v>50588.018746491216</v>
      </c>
      <c r="E225" s="1">
        <v>38.600403999999997</v>
      </c>
      <c r="F225" s="1">
        <v>-121.40171549999999</v>
      </c>
      <c r="G225" s="1" t="s">
        <v>6</v>
      </c>
      <c r="H225" s="1" t="str">
        <f t="shared" si="10"/>
        <v>CA</v>
      </c>
      <c r="I225" s="1">
        <f t="shared" si="11"/>
        <v>1</v>
      </c>
    </row>
    <row r="226" spans="1:9" x14ac:dyDescent="0.2">
      <c r="A226" s="1" t="s">
        <v>291</v>
      </c>
      <c r="B226" s="1">
        <v>23004.41</v>
      </c>
      <c r="C226" s="1" t="s">
        <v>6</v>
      </c>
      <c r="D226" s="1">
        <f t="shared" si="9"/>
        <v>50588.018746491216</v>
      </c>
      <c r="E226" s="1">
        <v>38.655917119999998</v>
      </c>
      <c r="F226" s="1">
        <v>-121.5414127</v>
      </c>
      <c r="G226" s="1" t="s">
        <v>6</v>
      </c>
      <c r="H226" s="1" t="str">
        <f t="shared" si="10"/>
        <v>CA</v>
      </c>
      <c r="I226" s="1">
        <f t="shared" si="11"/>
        <v>0</v>
      </c>
    </row>
    <row r="227" spans="1:9" x14ac:dyDescent="0.2">
      <c r="A227" s="1" t="s">
        <v>292</v>
      </c>
      <c r="B227" s="1">
        <v>12431.66</v>
      </c>
      <c r="C227" s="1" t="s">
        <v>6</v>
      </c>
      <c r="D227" s="1">
        <f t="shared" si="9"/>
        <v>50588.018746491216</v>
      </c>
      <c r="E227" s="1">
        <v>38.509352560000004</v>
      </c>
      <c r="F227" s="1">
        <v>-121.5426842</v>
      </c>
      <c r="G227" s="1" t="s">
        <v>6</v>
      </c>
      <c r="H227" s="1" t="str">
        <f t="shared" si="10"/>
        <v>CA</v>
      </c>
      <c r="I227" s="1">
        <f t="shared" si="11"/>
        <v>0</v>
      </c>
    </row>
    <row r="228" spans="1:9" x14ac:dyDescent="0.2">
      <c r="A228" s="1" t="s">
        <v>293</v>
      </c>
      <c r="C228" s="1" t="s">
        <v>6</v>
      </c>
      <c r="D228" s="1">
        <f t="shared" si="9"/>
        <v>50588.018746491216</v>
      </c>
      <c r="E228" s="1">
        <v>38.605699999999999</v>
      </c>
      <c r="F228" s="1">
        <v>-121.44364</v>
      </c>
      <c r="G228" s="1" t="s">
        <v>6</v>
      </c>
      <c r="H228" s="1" t="str">
        <f t="shared" si="10"/>
        <v>CA</v>
      </c>
      <c r="I228" s="1">
        <f t="shared" si="11"/>
        <v>0</v>
      </c>
    </row>
    <row r="229" spans="1:9" x14ac:dyDescent="0.2">
      <c r="A229" s="1" t="s">
        <v>294</v>
      </c>
      <c r="B229" s="1">
        <v>13222.35</v>
      </c>
      <c r="C229" s="1" t="s">
        <v>6</v>
      </c>
      <c r="D229" s="1">
        <f t="shared" si="9"/>
        <v>50588.018746491216</v>
      </c>
      <c r="E229" s="1">
        <v>38.524907130000003</v>
      </c>
      <c r="F229" s="1">
        <v>-121.495825</v>
      </c>
      <c r="G229" s="1" t="s">
        <v>6</v>
      </c>
      <c r="H229" s="1" t="str">
        <f t="shared" si="10"/>
        <v>CA</v>
      </c>
      <c r="I229" s="1">
        <f t="shared" si="11"/>
        <v>0</v>
      </c>
    </row>
    <row r="230" spans="1:9" x14ac:dyDescent="0.2">
      <c r="A230" s="1" t="s">
        <v>295</v>
      </c>
      <c r="B230" s="1">
        <v>14100.95</v>
      </c>
      <c r="C230" s="1" t="s">
        <v>6</v>
      </c>
      <c r="D230" s="1">
        <f t="shared" si="9"/>
        <v>50588.018746491216</v>
      </c>
      <c r="E230" s="1">
        <v>38.595412899999999</v>
      </c>
      <c r="F230" s="1">
        <v>-121.3659038</v>
      </c>
      <c r="G230" s="1" t="s">
        <v>6</v>
      </c>
      <c r="H230" s="1" t="str">
        <f t="shared" si="10"/>
        <v>CA</v>
      </c>
      <c r="I230" s="1">
        <f t="shared" si="11"/>
        <v>0</v>
      </c>
    </row>
    <row r="231" spans="1:9" x14ac:dyDescent="0.2">
      <c r="A231" s="1" t="s">
        <v>296</v>
      </c>
      <c r="B231" s="1">
        <v>17817.740000000002</v>
      </c>
      <c r="C231" s="1" t="s">
        <v>6</v>
      </c>
      <c r="D231" s="1">
        <f t="shared" si="9"/>
        <v>50588.018746491216</v>
      </c>
      <c r="E231" s="1">
        <v>38.47453608</v>
      </c>
      <c r="F231" s="1">
        <v>-121.4508709</v>
      </c>
      <c r="G231" s="1" t="s">
        <v>6</v>
      </c>
      <c r="H231" s="1" t="str">
        <f t="shared" si="10"/>
        <v>CA</v>
      </c>
      <c r="I231" s="1">
        <f t="shared" si="11"/>
        <v>0</v>
      </c>
    </row>
    <row r="232" spans="1:9" x14ac:dyDescent="0.2">
      <c r="A232" s="1" t="s">
        <v>297</v>
      </c>
      <c r="B232" s="1">
        <v>9930.9599999999991</v>
      </c>
      <c r="C232" s="1" t="s">
        <v>6</v>
      </c>
      <c r="D232" s="1">
        <f t="shared" si="9"/>
        <v>50588.018746491216</v>
      </c>
      <c r="E232" s="1">
        <v>38.548052689999999</v>
      </c>
      <c r="F232" s="1">
        <v>-121.4545068</v>
      </c>
      <c r="G232" s="1" t="s">
        <v>6</v>
      </c>
      <c r="H232" s="1" t="str">
        <f t="shared" si="10"/>
        <v>CA</v>
      </c>
      <c r="I232" s="1">
        <f t="shared" si="11"/>
        <v>0</v>
      </c>
    </row>
    <row r="233" spans="1:9" x14ac:dyDescent="0.2">
      <c r="A233" s="1" t="s">
        <v>298</v>
      </c>
      <c r="B233" s="1">
        <v>17562.060000000001</v>
      </c>
      <c r="C233" s="1" t="s">
        <v>6</v>
      </c>
      <c r="D233" s="1">
        <f t="shared" si="9"/>
        <v>50588.018746491216</v>
      </c>
      <c r="E233" s="1">
        <v>38.704067129999999</v>
      </c>
      <c r="F233" s="1">
        <v>-121.3630433</v>
      </c>
      <c r="G233" s="1" t="s">
        <v>6</v>
      </c>
      <c r="H233" s="1" t="str">
        <f t="shared" si="10"/>
        <v>CA</v>
      </c>
      <c r="I233" s="1">
        <f t="shared" si="11"/>
        <v>0</v>
      </c>
    </row>
    <row r="234" spans="1:9" x14ac:dyDescent="0.2">
      <c r="A234" s="1" t="s">
        <v>299</v>
      </c>
      <c r="C234" s="1" t="s">
        <v>6</v>
      </c>
      <c r="D234" s="1">
        <f t="shared" si="9"/>
        <v>50588.018746491216</v>
      </c>
      <c r="E234" s="1">
        <v>38.596357130000001</v>
      </c>
      <c r="F234" s="1">
        <v>-121.41522999999999</v>
      </c>
      <c r="G234" s="1" t="s">
        <v>6</v>
      </c>
      <c r="H234" s="1" t="str">
        <f t="shared" si="10"/>
        <v>CA</v>
      </c>
      <c r="I234" s="1">
        <f t="shared" si="11"/>
        <v>0</v>
      </c>
    </row>
    <row r="235" spans="1:9" x14ac:dyDescent="0.2">
      <c r="A235" s="1" t="s">
        <v>300</v>
      </c>
      <c r="B235" s="1">
        <v>756.57</v>
      </c>
      <c r="C235" s="1" t="s">
        <v>6</v>
      </c>
      <c r="D235" s="1">
        <f t="shared" si="9"/>
        <v>50588.018746491216</v>
      </c>
      <c r="E235" s="1">
        <v>38.562482490000001</v>
      </c>
      <c r="F235" s="1">
        <v>-121.49495469999999</v>
      </c>
      <c r="G235" s="1" t="s">
        <v>6</v>
      </c>
      <c r="H235" s="1" t="str">
        <f t="shared" si="10"/>
        <v>CA</v>
      </c>
      <c r="I235" s="1">
        <f t="shared" si="11"/>
        <v>0</v>
      </c>
    </row>
    <row r="236" spans="1:9" x14ac:dyDescent="0.2">
      <c r="A236" s="1" t="s">
        <v>301</v>
      </c>
      <c r="B236" s="1">
        <v>591.73</v>
      </c>
      <c r="C236" s="1" t="s">
        <v>6</v>
      </c>
      <c r="D236" s="1">
        <f t="shared" si="9"/>
        <v>50588.018746491216</v>
      </c>
      <c r="E236" s="1">
        <v>38.496462860000001</v>
      </c>
      <c r="F236" s="1">
        <v>-121.4825048</v>
      </c>
      <c r="G236" s="1" t="s">
        <v>6</v>
      </c>
      <c r="H236" s="1" t="str">
        <f t="shared" si="10"/>
        <v>CA</v>
      </c>
      <c r="I236" s="1">
        <f t="shared" si="11"/>
        <v>0</v>
      </c>
    </row>
    <row r="237" spans="1:9" x14ac:dyDescent="0.2">
      <c r="A237" s="1" t="s">
        <v>302</v>
      </c>
      <c r="B237" s="1">
        <v>81454.69</v>
      </c>
      <c r="C237" s="1" t="s">
        <v>22</v>
      </c>
      <c r="D237" s="1">
        <f t="shared" si="9"/>
        <v>65711.239166666681</v>
      </c>
      <c r="E237" s="1">
        <v>39.494226849999997</v>
      </c>
      <c r="F237" s="1">
        <v>-106.0454625</v>
      </c>
      <c r="G237" s="1" t="s">
        <v>23</v>
      </c>
      <c r="H237" s="1" t="str">
        <f t="shared" si="10"/>
        <v>CO</v>
      </c>
      <c r="I237" s="1">
        <f t="shared" si="11"/>
        <v>1</v>
      </c>
    </row>
    <row r="238" spans="1:9" x14ac:dyDescent="0.2">
      <c r="A238" s="1" t="s">
        <v>303</v>
      </c>
      <c r="B238" s="1">
        <v>172242.9</v>
      </c>
      <c r="C238" s="1" t="s">
        <v>22</v>
      </c>
      <c r="D238" s="1">
        <f t="shared" si="9"/>
        <v>65711.239166666681</v>
      </c>
      <c r="E238" s="1">
        <v>39.470930000000003</v>
      </c>
      <c r="F238" s="1">
        <v>-106.01689</v>
      </c>
      <c r="G238" s="1" t="s">
        <v>23</v>
      </c>
      <c r="H238" s="1" t="str">
        <f t="shared" si="10"/>
        <v>CO</v>
      </c>
      <c r="I238" s="1">
        <f t="shared" si="11"/>
        <v>1</v>
      </c>
    </row>
    <row r="239" spans="1:9" x14ac:dyDescent="0.2">
      <c r="A239" s="1" t="s">
        <v>304</v>
      </c>
      <c r="B239" s="1">
        <v>131596.57</v>
      </c>
      <c r="C239" s="1" t="s">
        <v>22</v>
      </c>
      <c r="D239" s="1">
        <f t="shared" si="9"/>
        <v>65711.239166666681</v>
      </c>
      <c r="E239" s="1">
        <v>39.630274810000003</v>
      </c>
      <c r="F239" s="1">
        <v>-106.0565874</v>
      </c>
      <c r="G239" s="1" t="s">
        <v>24</v>
      </c>
      <c r="H239" s="1" t="str">
        <f t="shared" si="10"/>
        <v>CO</v>
      </c>
      <c r="I239" s="1">
        <f t="shared" si="11"/>
        <v>1</v>
      </c>
    </row>
    <row r="240" spans="1:9" x14ac:dyDescent="0.2">
      <c r="A240" s="1" t="s">
        <v>305</v>
      </c>
      <c r="B240" s="1">
        <v>7962.31</v>
      </c>
      <c r="C240" s="1" t="s">
        <v>22</v>
      </c>
      <c r="D240" s="1">
        <f t="shared" si="9"/>
        <v>65711.239166666681</v>
      </c>
      <c r="E240" s="1">
        <v>39.630003590000001</v>
      </c>
      <c r="F240" s="1">
        <v>-106.05772109999999</v>
      </c>
      <c r="G240" s="1" t="s">
        <v>24</v>
      </c>
      <c r="H240" s="1" t="str">
        <f t="shared" si="10"/>
        <v>CO</v>
      </c>
      <c r="I240" s="1">
        <f t="shared" si="11"/>
        <v>0</v>
      </c>
    </row>
    <row r="241" spans="1:9" x14ac:dyDescent="0.2">
      <c r="A241" s="1" t="s">
        <v>306</v>
      </c>
      <c r="B241" s="1">
        <v>44705.22</v>
      </c>
      <c r="C241" s="1" t="s">
        <v>22</v>
      </c>
      <c r="D241" s="1">
        <f t="shared" si="9"/>
        <v>65711.239166666681</v>
      </c>
      <c r="E241" s="1">
        <v>39.498649999999998</v>
      </c>
      <c r="F241" s="1">
        <v>-106.16679000000001</v>
      </c>
      <c r="G241" s="1" t="s">
        <v>25</v>
      </c>
      <c r="H241" s="1" t="str">
        <f t="shared" si="10"/>
        <v>CO</v>
      </c>
      <c r="I241" s="1">
        <f t="shared" si="11"/>
        <v>0</v>
      </c>
    </row>
    <row r="242" spans="1:9" x14ac:dyDescent="0.2">
      <c r="A242" s="1" t="s">
        <v>307</v>
      </c>
      <c r="B242" s="1">
        <v>19913.72</v>
      </c>
      <c r="C242" s="1" t="s">
        <v>22</v>
      </c>
      <c r="D242" s="1">
        <f t="shared" si="9"/>
        <v>65711.239166666681</v>
      </c>
      <c r="E242" s="1">
        <v>39.589377900000002</v>
      </c>
      <c r="F242" s="1">
        <v>-106.095412</v>
      </c>
      <c r="G242" s="1" t="s">
        <v>25</v>
      </c>
      <c r="H242" s="1" t="str">
        <f t="shared" si="10"/>
        <v>CO</v>
      </c>
      <c r="I242" s="1">
        <f t="shared" si="11"/>
        <v>0</v>
      </c>
    </row>
    <row r="243" spans="1:9" x14ac:dyDescent="0.2">
      <c r="A243" s="1" t="s">
        <v>308</v>
      </c>
      <c r="B243" s="1">
        <v>34668.21</v>
      </c>
      <c r="C243" s="1" t="s">
        <v>22</v>
      </c>
      <c r="D243" s="1">
        <f t="shared" si="9"/>
        <v>65711.239166666681</v>
      </c>
      <c r="E243" s="1">
        <v>39.57537859</v>
      </c>
      <c r="F243" s="1">
        <v>-106.106754</v>
      </c>
      <c r="G243" s="1" t="s">
        <v>25</v>
      </c>
      <c r="H243" s="1" t="str">
        <f t="shared" si="10"/>
        <v>CO</v>
      </c>
      <c r="I243" s="1">
        <f t="shared" si="11"/>
        <v>0</v>
      </c>
    </row>
    <row r="244" spans="1:9" x14ac:dyDescent="0.2">
      <c r="A244" s="1" t="s">
        <v>309</v>
      </c>
      <c r="B244" s="1">
        <v>67705.919999999998</v>
      </c>
      <c r="C244" s="1" t="s">
        <v>22</v>
      </c>
      <c r="D244" s="1">
        <f t="shared" si="9"/>
        <v>65711.239166666681</v>
      </c>
      <c r="E244" s="1">
        <v>39.589341900000001</v>
      </c>
      <c r="F244" s="1">
        <v>-106.0954067</v>
      </c>
      <c r="G244" s="1" t="s">
        <v>25</v>
      </c>
      <c r="H244" s="1" t="str">
        <f t="shared" si="10"/>
        <v>CO</v>
      </c>
      <c r="I244" s="1">
        <f t="shared" si="11"/>
        <v>1</v>
      </c>
    </row>
    <row r="245" spans="1:9" x14ac:dyDescent="0.2">
      <c r="A245" s="1" t="s">
        <v>310</v>
      </c>
      <c r="B245" s="1">
        <v>41271.03</v>
      </c>
      <c r="C245" s="1" t="s">
        <v>22</v>
      </c>
      <c r="D245" s="1">
        <f t="shared" si="9"/>
        <v>65711.239166666681</v>
      </c>
      <c r="E245" s="1">
        <v>39.628949900000002</v>
      </c>
      <c r="F245" s="1">
        <v>-106.0712363</v>
      </c>
      <c r="G245" s="1" t="s">
        <v>26</v>
      </c>
      <c r="H245" s="1" t="str">
        <f t="shared" si="10"/>
        <v>CO</v>
      </c>
      <c r="I245" s="1">
        <f t="shared" si="11"/>
        <v>0</v>
      </c>
    </row>
    <row r="246" spans="1:9" x14ac:dyDescent="0.2">
      <c r="A246" s="1" t="s">
        <v>311</v>
      </c>
      <c r="B246" s="1">
        <v>75964.55</v>
      </c>
      <c r="C246" s="1" t="s">
        <v>22</v>
      </c>
      <c r="D246" s="1">
        <f t="shared" si="9"/>
        <v>65711.239166666681</v>
      </c>
      <c r="E246" s="1">
        <v>39.629022210000002</v>
      </c>
      <c r="F246" s="1">
        <v>-106.0691815</v>
      </c>
      <c r="G246" s="1" t="s">
        <v>26</v>
      </c>
      <c r="H246" s="1" t="str">
        <f t="shared" si="10"/>
        <v>CO</v>
      </c>
      <c r="I246" s="1">
        <f t="shared" si="11"/>
        <v>1</v>
      </c>
    </row>
    <row r="247" spans="1:9" x14ac:dyDescent="0.2">
      <c r="A247" s="1" t="s">
        <v>312</v>
      </c>
      <c r="B247" s="1">
        <v>49093.89</v>
      </c>
      <c r="C247" s="1" t="s">
        <v>22</v>
      </c>
      <c r="D247" s="1">
        <f t="shared" si="9"/>
        <v>65711.239166666681</v>
      </c>
      <c r="E247" s="1">
        <v>39.627207370000001</v>
      </c>
      <c r="F247" s="1">
        <v>-106.0710155</v>
      </c>
      <c r="G247" s="1" t="s">
        <v>26</v>
      </c>
      <c r="H247" s="1" t="str">
        <f t="shared" si="10"/>
        <v>CO</v>
      </c>
      <c r="I247" s="1">
        <f t="shared" si="11"/>
        <v>0</v>
      </c>
    </row>
    <row r="248" spans="1:9" x14ac:dyDescent="0.2">
      <c r="A248" s="1" t="s">
        <v>313</v>
      </c>
      <c r="B248" s="1">
        <v>61955.86</v>
      </c>
      <c r="C248" s="1" t="s">
        <v>22</v>
      </c>
      <c r="D248" s="1">
        <f t="shared" si="9"/>
        <v>65711.239166666681</v>
      </c>
      <c r="E248" s="1">
        <v>39.636927909999997</v>
      </c>
      <c r="F248" s="1">
        <v>-106.0765165</v>
      </c>
      <c r="G248" s="1" t="s">
        <v>26</v>
      </c>
      <c r="H248" s="1" t="str">
        <f t="shared" si="10"/>
        <v>CO</v>
      </c>
      <c r="I248" s="1">
        <f t="shared" si="11"/>
        <v>0</v>
      </c>
    </row>
    <row r="249" spans="1:9" x14ac:dyDescent="0.2">
      <c r="A249" s="1" t="s">
        <v>314</v>
      </c>
      <c r="B249" s="1">
        <v>93364.66</v>
      </c>
      <c r="C249" s="1" t="s">
        <v>27</v>
      </c>
      <c r="D249" s="1">
        <f t="shared" si="9"/>
        <v>55993.991594411818</v>
      </c>
      <c r="E249" s="1">
        <v>33.842823709999998</v>
      </c>
      <c r="F249" s="1">
        <v>-112.13825540000001</v>
      </c>
      <c r="G249" s="1" t="s">
        <v>28</v>
      </c>
      <c r="H249" s="1" t="str">
        <f t="shared" si="10"/>
        <v>AZ</v>
      </c>
      <c r="I249" s="1">
        <f t="shared" si="11"/>
        <v>1</v>
      </c>
    </row>
    <row r="250" spans="1:9" x14ac:dyDescent="0.2">
      <c r="A250" s="1" t="s">
        <v>315</v>
      </c>
      <c r="B250" s="1">
        <v>79552.75</v>
      </c>
      <c r="C250" s="1" t="s">
        <v>27</v>
      </c>
      <c r="D250" s="1">
        <f t="shared" si="9"/>
        <v>55993.991594411818</v>
      </c>
      <c r="E250" s="1">
        <v>33.865234460000003</v>
      </c>
      <c r="F250" s="1">
        <v>-112.1352919</v>
      </c>
      <c r="G250" s="1" t="s">
        <v>28</v>
      </c>
      <c r="H250" s="1" t="str">
        <f t="shared" si="10"/>
        <v>AZ</v>
      </c>
      <c r="I250" s="1">
        <f t="shared" si="11"/>
        <v>1</v>
      </c>
    </row>
    <row r="251" spans="1:9" x14ac:dyDescent="0.2">
      <c r="A251" s="1" t="s">
        <v>316</v>
      </c>
      <c r="B251" s="1">
        <v>91602.71</v>
      </c>
      <c r="C251" s="1" t="s">
        <v>27</v>
      </c>
      <c r="D251" s="1">
        <f t="shared" si="9"/>
        <v>55993.991594411818</v>
      </c>
      <c r="E251" s="1">
        <v>33.87088619</v>
      </c>
      <c r="F251" s="1">
        <v>-112.14929739999999</v>
      </c>
      <c r="G251" s="1" t="s">
        <v>28</v>
      </c>
      <c r="H251" s="1" t="str">
        <f t="shared" si="10"/>
        <v>AZ</v>
      </c>
      <c r="I251" s="1">
        <f t="shared" si="11"/>
        <v>1</v>
      </c>
    </row>
    <row r="252" spans="1:9" x14ac:dyDescent="0.2">
      <c r="A252" s="1" t="s">
        <v>317</v>
      </c>
      <c r="B252" s="1">
        <v>41695.769999999997</v>
      </c>
      <c r="C252" s="1" t="s">
        <v>27</v>
      </c>
      <c r="D252" s="1">
        <f t="shared" si="9"/>
        <v>55993.991594411818</v>
      </c>
      <c r="E252" s="1">
        <v>33.866203939999998</v>
      </c>
      <c r="F252" s="1">
        <v>-112.13784769999999</v>
      </c>
      <c r="G252" s="1" t="s">
        <v>28</v>
      </c>
      <c r="H252" s="1" t="str">
        <f t="shared" si="10"/>
        <v>AZ</v>
      </c>
      <c r="I252" s="1">
        <f t="shared" si="11"/>
        <v>0</v>
      </c>
    </row>
    <row r="253" spans="1:9" x14ac:dyDescent="0.2">
      <c r="A253" s="1" t="s">
        <v>318</v>
      </c>
      <c r="B253" s="1">
        <v>11679.6</v>
      </c>
      <c r="C253" s="1" t="s">
        <v>27</v>
      </c>
      <c r="D253" s="1">
        <f t="shared" si="9"/>
        <v>55993.991594411818</v>
      </c>
      <c r="E253" s="1">
        <v>33.859399779999997</v>
      </c>
      <c r="F253" s="1">
        <v>-112.1115203</v>
      </c>
      <c r="G253" s="1" t="s">
        <v>28</v>
      </c>
      <c r="H253" s="1" t="str">
        <f t="shared" si="10"/>
        <v>AZ</v>
      </c>
      <c r="I253" s="1">
        <f t="shared" si="11"/>
        <v>0</v>
      </c>
    </row>
    <row r="254" spans="1:9" x14ac:dyDescent="0.2">
      <c r="A254" s="1" t="s">
        <v>319</v>
      </c>
      <c r="B254" s="1">
        <v>11885.88</v>
      </c>
      <c r="C254" s="1" t="s">
        <v>27</v>
      </c>
      <c r="D254" s="1">
        <f t="shared" si="9"/>
        <v>55993.991594411818</v>
      </c>
      <c r="E254" s="1">
        <v>33.431132329999997</v>
      </c>
      <c r="F254" s="1">
        <v>-112.34574259999999</v>
      </c>
      <c r="G254" s="1" t="s">
        <v>29</v>
      </c>
      <c r="H254" s="1" t="str">
        <f t="shared" si="10"/>
        <v>AZ</v>
      </c>
      <c r="I254" s="1">
        <f t="shared" si="11"/>
        <v>0</v>
      </c>
    </row>
    <row r="255" spans="1:9" x14ac:dyDescent="0.2">
      <c r="A255" s="1" t="s">
        <v>320</v>
      </c>
      <c r="B255" s="1">
        <v>38411.51</v>
      </c>
      <c r="C255" s="1" t="s">
        <v>27</v>
      </c>
      <c r="D255" s="1">
        <f t="shared" si="9"/>
        <v>55993.991594411818</v>
      </c>
      <c r="E255" s="1">
        <v>33.449143329999998</v>
      </c>
      <c r="F255" s="1">
        <v>-112.3412644</v>
      </c>
      <c r="G255" s="1" t="s">
        <v>29</v>
      </c>
      <c r="H255" s="1" t="str">
        <f t="shared" si="10"/>
        <v>AZ</v>
      </c>
      <c r="I255" s="1">
        <f t="shared" si="11"/>
        <v>0</v>
      </c>
    </row>
    <row r="256" spans="1:9" x14ac:dyDescent="0.2">
      <c r="A256" s="1" t="s">
        <v>321</v>
      </c>
      <c r="B256" s="1">
        <v>36286.42</v>
      </c>
      <c r="C256" s="1" t="s">
        <v>27</v>
      </c>
      <c r="D256" s="1">
        <f t="shared" si="9"/>
        <v>55993.991594411818</v>
      </c>
      <c r="E256" s="1">
        <v>33.435342869999999</v>
      </c>
      <c r="F256" s="1">
        <v>-112.29768</v>
      </c>
      <c r="G256" s="1" t="s">
        <v>29</v>
      </c>
      <c r="H256" s="1" t="str">
        <f t="shared" si="10"/>
        <v>AZ</v>
      </c>
      <c r="I256" s="1">
        <f t="shared" si="11"/>
        <v>0</v>
      </c>
    </row>
    <row r="257" spans="1:9" x14ac:dyDescent="0.2">
      <c r="A257" s="1" t="s">
        <v>322</v>
      </c>
      <c r="B257" s="1">
        <v>45021.32</v>
      </c>
      <c r="C257" s="1" t="s">
        <v>27</v>
      </c>
      <c r="D257" s="1">
        <f t="shared" si="9"/>
        <v>55993.991594411818</v>
      </c>
      <c r="E257" s="1">
        <v>33.429109009999998</v>
      </c>
      <c r="F257" s="1">
        <v>-112.3492852</v>
      </c>
      <c r="G257" s="1" t="s">
        <v>29</v>
      </c>
      <c r="H257" s="1" t="str">
        <f t="shared" si="10"/>
        <v>AZ</v>
      </c>
      <c r="I257" s="1">
        <f t="shared" si="11"/>
        <v>0</v>
      </c>
    </row>
    <row r="258" spans="1:9" x14ac:dyDescent="0.2">
      <c r="A258" s="1" t="s">
        <v>323</v>
      </c>
      <c r="B258" s="1">
        <v>63224.79</v>
      </c>
      <c r="C258" s="1" t="s">
        <v>27</v>
      </c>
      <c r="D258" s="1">
        <f t="shared" si="9"/>
        <v>55993.991594411818</v>
      </c>
      <c r="E258" s="1">
        <v>33.420412880000001</v>
      </c>
      <c r="F258" s="1">
        <v>-112.3242723</v>
      </c>
      <c r="G258" s="1" t="s">
        <v>29</v>
      </c>
      <c r="H258" s="1" t="str">
        <f t="shared" si="10"/>
        <v>AZ</v>
      </c>
      <c r="I258" s="1">
        <f t="shared" si="11"/>
        <v>1</v>
      </c>
    </row>
    <row r="259" spans="1:9" x14ac:dyDescent="0.2">
      <c r="A259" s="1" t="s">
        <v>324</v>
      </c>
      <c r="B259" s="1">
        <v>43729.87</v>
      </c>
      <c r="C259" s="1" t="s">
        <v>27</v>
      </c>
      <c r="D259" s="1">
        <f t="shared" ref="D259:D322" si="12">AVERAGEIFS($B:$B,$C:$C,$C259)</f>
        <v>55993.991594411818</v>
      </c>
      <c r="E259" s="1">
        <v>33.449702870000003</v>
      </c>
      <c r="F259" s="1">
        <v>-112.34923999999999</v>
      </c>
      <c r="G259" s="1" t="s">
        <v>29</v>
      </c>
      <c r="H259" s="1" t="str">
        <f t="shared" ref="H259:H322" si="13">TRIM(_xlfn.TEXTAFTER(A259, ",", -1))</f>
        <v>AZ</v>
      </c>
      <c r="I259" s="1">
        <f t="shared" ref="I259:I322" si="14">IF(B259&gt;D259,1,0)</f>
        <v>0</v>
      </c>
    </row>
    <row r="260" spans="1:9" x14ac:dyDescent="0.2">
      <c r="A260" s="1" t="s">
        <v>325</v>
      </c>
      <c r="B260" s="1">
        <v>54970.89</v>
      </c>
      <c r="C260" s="1" t="s">
        <v>27</v>
      </c>
      <c r="D260" s="1">
        <f t="shared" si="12"/>
        <v>55993.991594411818</v>
      </c>
      <c r="E260" s="1">
        <v>33.46416833</v>
      </c>
      <c r="F260" s="1">
        <v>-112.3406856</v>
      </c>
      <c r="G260" s="1" t="s">
        <v>29</v>
      </c>
      <c r="H260" s="1" t="str">
        <f t="shared" si="13"/>
        <v>AZ</v>
      </c>
      <c r="I260" s="1">
        <f t="shared" si="14"/>
        <v>0</v>
      </c>
    </row>
    <row r="261" spans="1:9" x14ac:dyDescent="0.2">
      <c r="A261" s="1" t="s">
        <v>326</v>
      </c>
      <c r="B261" s="1">
        <v>59254.6</v>
      </c>
      <c r="C261" s="1" t="s">
        <v>27</v>
      </c>
      <c r="D261" s="1">
        <f t="shared" si="12"/>
        <v>55993.991594411818</v>
      </c>
      <c r="E261" s="1">
        <v>33.463254999999997</v>
      </c>
      <c r="F261" s="1">
        <v>-112.3063456</v>
      </c>
      <c r="G261" s="1" t="s">
        <v>29</v>
      </c>
      <c r="H261" s="1" t="str">
        <f t="shared" si="13"/>
        <v>AZ</v>
      </c>
      <c r="I261" s="1">
        <f t="shared" si="14"/>
        <v>1</v>
      </c>
    </row>
    <row r="262" spans="1:9" x14ac:dyDescent="0.2">
      <c r="A262" s="1" t="s">
        <v>327</v>
      </c>
      <c r="B262" s="1">
        <v>112713.43</v>
      </c>
      <c r="C262" s="1" t="s">
        <v>27</v>
      </c>
      <c r="D262" s="1">
        <f t="shared" si="12"/>
        <v>55993.991594411818</v>
      </c>
      <c r="E262" s="1">
        <v>33.46396</v>
      </c>
      <c r="F262" s="1">
        <v>-112.3406856</v>
      </c>
      <c r="G262" s="1" t="s">
        <v>29</v>
      </c>
      <c r="H262" s="1" t="str">
        <f t="shared" si="13"/>
        <v>AZ</v>
      </c>
      <c r="I262" s="1">
        <f t="shared" si="14"/>
        <v>1</v>
      </c>
    </row>
    <row r="263" spans="1:9" x14ac:dyDescent="0.2">
      <c r="A263" s="1" t="s">
        <v>328</v>
      </c>
      <c r="B263" s="1">
        <v>133143.13</v>
      </c>
      <c r="C263" s="1" t="s">
        <v>27</v>
      </c>
      <c r="D263" s="1">
        <f t="shared" si="12"/>
        <v>55993.991594411818</v>
      </c>
      <c r="E263" s="1">
        <v>33.493512870000004</v>
      </c>
      <c r="F263" s="1">
        <v>-112.2883885</v>
      </c>
      <c r="G263" s="1" t="s">
        <v>29</v>
      </c>
      <c r="H263" s="1" t="str">
        <f t="shared" si="13"/>
        <v>AZ</v>
      </c>
      <c r="I263" s="1">
        <f t="shared" si="14"/>
        <v>1</v>
      </c>
    </row>
    <row r="264" spans="1:9" x14ac:dyDescent="0.2">
      <c r="A264" s="1" t="s">
        <v>329</v>
      </c>
      <c r="B264" s="1">
        <v>194813.87</v>
      </c>
      <c r="C264" s="1" t="s">
        <v>27</v>
      </c>
      <c r="D264" s="1">
        <f t="shared" si="12"/>
        <v>55993.991594411818</v>
      </c>
      <c r="E264" s="1">
        <v>33.435292869999998</v>
      </c>
      <c r="F264" s="1">
        <v>-112.30505530000001</v>
      </c>
      <c r="G264" s="1" t="s">
        <v>29</v>
      </c>
      <c r="H264" s="1" t="str">
        <f t="shared" si="13"/>
        <v>AZ</v>
      </c>
      <c r="I264" s="1">
        <f t="shared" si="14"/>
        <v>1</v>
      </c>
    </row>
    <row r="265" spans="1:9" x14ac:dyDescent="0.2">
      <c r="A265" s="1" t="s">
        <v>330</v>
      </c>
      <c r="B265" s="1">
        <v>65719.103990000003</v>
      </c>
      <c r="C265" s="1" t="s">
        <v>27</v>
      </c>
      <c r="D265" s="1">
        <f t="shared" si="12"/>
        <v>55993.991594411818</v>
      </c>
      <c r="E265" s="1">
        <v>33.45646</v>
      </c>
      <c r="F265" s="1">
        <v>-112.27278440000001</v>
      </c>
      <c r="G265" s="1" t="s">
        <v>29</v>
      </c>
      <c r="H265" s="1" t="str">
        <f t="shared" si="13"/>
        <v>AZ</v>
      </c>
      <c r="I265" s="1">
        <f t="shared" si="14"/>
        <v>1</v>
      </c>
    </row>
    <row r="266" spans="1:9" x14ac:dyDescent="0.2">
      <c r="A266" s="1" t="s">
        <v>331</v>
      </c>
      <c r="B266" s="1">
        <v>13077.87</v>
      </c>
      <c r="C266" s="1" t="s">
        <v>27</v>
      </c>
      <c r="D266" s="1">
        <f t="shared" si="12"/>
        <v>55993.991594411818</v>
      </c>
      <c r="E266" s="1">
        <v>33.49345297</v>
      </c>
      <c r="F266" s="1">
        <v>-112.29121859999999</v>
      </c>
      <c r="G266" s="1" t="s">
        <v>29</v>
      </c>
      <c r="H266" s="1" t="str">
        <f t="shared" si="13"/>
        <v>AZ</v>
      </c>
      <c r="I266" s="1">
        <f t="shared" si="14"/>
        <v>0</v>
      </c>
    </row>
    <row r="267" spans="1:9" x14ac:dyDescent="0.2">
      <c r="A267" s="1" t="s">
        <v>332</v>
      </c>
      <c r="B267" s="1">
        <v>19671.09</v>
      </c>
      <c r="C267" s="1" t="s">
        <v>27</v>
      </c>
      <c r="D267" s="1">
        <f t="shared" si="12"/>
        <v>55993.991594411818</v>
      </c>
      <c r="E267" s="1">
        <v>33.450293090000002</v>
      </c>
      <c r="F267" s="1">
        <v>-112.3408538</v>
      </c>
      <c r="G267" s="1" t="s">
        <v>29</v>
      </c>
      <c r="H267" s="1" t="str">
        <f t="shared" si="13"/>
        <v>AZ</v>
      </c>
      <c r="I267" s="1">
        <f t="shared" si="14"/>
        <v>0</v>
      </c>
    </row>
    <row r="268" spans="1:9" x14ac:dyDescent="0.2">
      <c r="A268" s="1" t="s">
        <v>333</v>
      </c>
      <c r="B268" s="1">
        <v>30437.88</v>
      </c>
      <c r="C268" s="1" t="s">
        <v>27</v>
      </c>
      <c r="D268" s="1">
        <f t="shared" si="12"/>
        <v>55993.991594411818</v>
      </c>
      <c r="E268" s="1">
        <v>33.46460501</v>
      </c>
      <c r="F268" s="1">
        <v>-112.2904714</v>
      </c>
      <c r="G268" s="1" t="s">
        <v>29</v>
      </c>
      <c r="H268" s="1" t="str">
        <f t="shared" si="13"/>
        <v>AZ</v>
      </c>
      <c r="I268" s="1">
        <f t="shared" si="14"/>
        <v>0</v>
      </c>
    </row>
    <row r="269" spans="1:9" x14ac:dyDescent="0.2">
      <c r="A269" s="1" t="s">
        <v>334</v>
      </c>
      <c r="B269" s="1">
        <v>25879.51</v>
      </c>
      <c r="C269" s="1" t="s">
        <v>27</v>
      </c>
      <c r="D269" s="1">
        <f t="shared" si="12"/>
        <v>55993.991594411818</v>
      </c>
      <c r="E269" s="1">
        <v>33.496037129999998</v>
      </c>
      <c r="F269" s="1">
        <v>-112.51260910000001</v>
      </c>
      <c r="G269" s="1" t="s">
        <v>30</v>
      </c>
      <c r="H269" s="1" t="str">
        <f t="shared" si="13"/>
        <v>AZ</v>
      </c>
      <c r="I269" s="1">
        <f t="shared" si="14"/>
        <v>0</v>
      </c>
    </row>
    <row r="270" spans="1:9" x14ac:dyDescent="0.2">
      <c r="A270" s="1" t="s">
        <v>335</v>
      </c>
      <c r="B270" s="1">
        <v>71311.92</v>
      </c>
      <c r="C270" s="1" t="s">
        <v>27</v>
      </c>
      <c r="D270" s="1">
        <f t="shared" si="12"/>
        <v>55993.991594411818</v>
      </c>
      <c r="E270" s="1">
        <v>33.372046679999997</v>
      </c>
      <c r="F270" s="1">
        <v>-112.5741103</v>
      </c>
      <c r="G270" s="1" t="s">
        <v>30</v>
      </c>
      <c r="H270" s="1" t="str">
        <f t="shared" si="13"/>
        <v>AZ</v>
      </c>
      <c r="I270" s="1">
        <f t="shared" si="14"/>
        <v>1</v>
      </c>
    </row>
    <row r="271" spans="1:9" x14ac:dyDescent="0.2">
      <c r="A271" s="1" t="s">
        <v>336</v>
      </c>
      <c r="B271" s="1">
        <v>127254.32</v>
      </c>
      <c r="C271" s="1" t="s">
        <v>27</v>
      </c>
      <c r="D271" s="1">
        <f t="shared" si="12"/>
        <v>55993.991594411818</v>
      </c>
      <c r="E271" s="1">
        <v>33.455350000000003</v>
      </c>
      <c r="F271" s="1">
        <v>-112.47864559999999</v>
      </c>
      <c r="G271" s="1" t="s">
        <v>30</v>
      </c>
      <c r="H271" s="1" t="str">
        <f t="shared" si="13"/>
        <v>AZ</v>
      </c>
      <c r="I271" s="1">
        <f t="shared" si="14"/>
        <v>1</v>
      </c>
    </row>
    <row r="272" spans="1:9" x14ac:dyDescent="0.2">
      <c r="A272" s="1" t="s">
        <v>337</v>
      </c>
      <c r="B272" s="1">
        <v>148491.4</v>
      </c>
      <c r="C272" s="1" t="s">
        <v>27</v>
      </c>
      <c r="D272" s="1">
        <f t="shared" si="12"/>
        <v>55993.991594411818</v>
      </c>
      <c r="E272" s="1">
        <v>33.442078299999999</v>
      </c>
      <c r="F272" s="1">
        <v>-112.5561806</v>
      </c>
      <c r="G272" s="1" t="s">
        <v>30</v>
      </c>
      <c r="H272" s="1" t="str">
        <f t="shared" si="13"/>
        <v>AZ</v>
      </c>
      <c r="I272" s="1">
        <f t="shared" si="14"/>
        <v>1</v>
      </c>
    </row>
    <row r="273" spans="1:9" x14ac:dyDescent="0.2">
      <c r="A273" s="1" t="s">
        <v>338</v>
      </c>
      <c r="B273" s="1">
        <v>245971.89</v>
      </c>
      <c r="C273" s="1" t="s">
        <v>27</v>
      </c>
      <c r="D273" s="1">
        <f t="shared" si="12"/>
        <v>55993.991594411818</v>
      </c>
      <c r="E273" s="1">
        <v>33.434909470000001</v>
      </c>
      <c r="F273" s="1">
        <v>-112.55656430000001</v>
      </c>
      <c r="G273" s="1" t="s">
        <v>30</v>
      </c>
      <c r="H273" s="1" t="str">
        <f t="shared" si="13"/>
        <v>AZ</v>
      </c>
      <c r="I273" s="1">
        <f t="shared" si="14"/>
        <v>1</v>
      </c>
    </row>
    <row r="274" spans="1:9" x14ac:dyDescent="0.2">
      <c r="A274" s="1" t="s">
        <v>339</v>
      </c>
      <c r="B274" s="1">
        <v>308884.67</v>
      </c>
      <c r="C274" s="1" t="s">
        <v>27</v>
      </c>
      <c r="D274" s="1">
        <f t="shared" si="12"/>
        <v>55993.991594411818</v>
      </c>
      <c r="E274" s="1">
        <v>33.49381984</v>
      </c>
      <c r="F274" s="1">
        <v>-112.48117240000001</v>
      </c>
      <c r="G274" s="1" t="s">
        <v>30</v>
      </c>
      <c r="H274" s="1" t="str">
        <f t="shared" si="13"/>
        <v>AZ</v>
      </c>
      <c r="I274" s="1">
        <f t="shared" si="14"/>
        <v>1</v>
      </c>
    </row>
    <row r="275" spans="1:9" x14ac:dyDescent="0.2">
      <c r="A275" s="1" t="s">
        <v>340</v>
      </c>
      <c r="B275" s="1">
        <v>132066.26</v>
      </c>
      <c r="C275" s="1" t="s">
        <v>27</v>
      </c>
      <c r="D275" s="1">
        <f t="shared" si="12"/>
        <v>55993.991594411818</v>
      </c>
      <c r="E275" s="1">
        <v>33.430144759999997</v>
      </c>
      <c r="F275" s="1">
        <v>-112.5910643</v>
      </c>
      <c r="G275" s="1" t="s">
        <v>30</v>
      </c>
      <c r="H275" s="1" t="str">
        <f t="shared" si="13"/>
        <v>AZ</v>
      </c>
      <c r="I275" s="1">
        <f t="shared" si="14"/>
        <v>1</v>
      </c>
    </row>
    <row r="276" spans="1:9" x14ac:dyDescent="0.2">
      <c r="A276" s="1" t="s">
        <v>341</v>
      </c>
      <c r="B276" s="1">
        <v>55175.71</v>
      </c>
      <c r="C276" s="1" t="s">
        <v>27</v>
      </c>
      <c r="D276" s="1">
        <f t="shared" si="12"/>
        <v>55993.991594411818</v>
      </c>
      <c r="E276" s="1">
        <v>33.391882870000003</v>
      </c>
      <c r="F276" s="1">
        <v>-112.5904125</v>
      </c>
      <c r="G276" s="1" t="s">
        <v>30</v>
      </c>
      <c r="H276" s="1" t="str">
        <f t="shared" si="13"/>
        <v>AZ</v>
      </c>
      <c r="I276" s="1">
        <f t="shared" si="14"/>
        <v>0</v>
      </c>
    </row>
    <row r="277" spans="1:9" x14ac:dyDescent="0.2">
      <c r="A277" s="1" t="s">
        <v>342</v>
      </c>
      <c r="B277" s="1">
        <v>30613.18</v>
      </c>
      <c r="C277" s="1" t="s">
        <v>27</v>
      </c>
      <c r="D277" s="1">
        <f t="shared" si="12"/>
        <v>55993.991594411818</v>
      </c>
      <c r="E277" s="1">
        <v>33.435422869999996</v>
      </c>
      <c r="F277" s="1">
        <v>-112.55564099999999</v>
      </c>
      <c r="G277" s="1" t="s">
        <v>30</v>
      </c>
      <c r="H277" s="1" t="str">
        <f t="shared" si="13"/>
        <v>AZ</v>
      </c>
      <c r="I277" s="1">
        <f t="shared" si="14"/>
        <v>0</v>
      </c>
    </row>
    <row r="278" spans="1:9" x14ac:dyDescent="0.2">
      <c r="A278" s="1" t="s">
        <v>343</v>
      </c>
      <c r="B278" s="1">
        <v>11909.19</v>
      </c>
      <c r="C278" s="1" t="s">
        <v>27</v>
      </c>
      <c r="D278" s="1">
        <f t="shared" si="12"/>
        <v>55993.991594411818</v>
      </c>
      <c r="E278" s="1">
        <v>33.821057009999997</v>
      </c>
      <c r="F278" s="1">
        <v>-111.9239862</v>
      </c>
      <c r="G278" s="1" t="s">
        <v>31</v>
      </c>
      <c r="H278" s="1" t="str">
        <f t="shared" si="13"/>
        <v>AZ</v>
      </c>
      <c r="I278" s="1">
        <f t="shared" si="14"/>
        <v>0</v>
      </c>
    </row>
    <row r="279" spans="1:9" x14ac:dyDescent="0.2">
      <c r="A279" s="1" t="s">
        <v>344</v>
      </c>
      <c r="B279" s="1">
        <v>31947.67</v>
      </c>
      <c r="C279" s="1" t="s">
        <v>27</v>
      </c>
      <c r="D279" s="1">
        <f t="shared" si="12"/>
        <v>55993.991594411818</v>
      </c>
      <c r="E279" s="1">
        <v>33.831825879999997</v>
      </c>
      <c r="F279" s="1">
        <v>-111.93444460000001</v>
      </c>
      <c r="G279" s="1" t="s">
        <v>32</v>
      </c>
      <c r="H279" s="1" t="str">
        <f t="shared" si="13"/>
        <v>AZ</v>
      </c>
      <c r="I279" s="1">
        <f t="shared" si="14"/>
        <v>0</v>
      </c>
    </row>
    <row r="280" spans="1:9" x14ac:dyDescent="0.2">
      <c r="A280" s="1" t="s">
        <v>345</v>
      </c>
      <c r="B280" s="1">
        <v>32984.6</v>
      </c>
      <c r="C280" s="1" t="s">
        <v>27</v>
      </c>
      <c r="D280" s="1">
        <f t="shared" si="12"/>
        <v>55993.991594411818</v>
      </c>
      <c r="E280" s="1">
        <v>33.83228261</v>
      </c>
      <c r="F280" s="1">
        <v>-111.9470711</v>
      </c>
      <c r="G280" s="1" t="s">
        <v>32</v>
      </c>
      <c r="H280" s="1" t="str">
        <f t="shared" si="13"/>
        <v>AZ</v>
      </c>
      <c r="I280" s="1">
        <f t="shared" si="14"/>
        <v>0</v>
      </c>
    </row>
    <row r="281" spans="1:9" x14ac:dyDescent="0.2">
      <c r="A281" s="1" t="s">
        <v>346</v>
      </c>
      <c r="B281" s="1">
        <v>50910.2</v>
      </c>
      <c r="C281" s="1" t="s">
        <v>27</v>
      </c>
      <c r="D281" s="1">
        <f t="shared" si="12"/>
        <v>55993.991594411818</v>
      </c>
      <c r="E281" s="1">
        <v>33.752731050000001</v>
      </c>
      <c r="F281" s="1">
        <v>-111.9921712</v>
      </c>
      <c r="G281" s="1" t="s">
        <v>32</v>
      </c>
      <c r="H281" s="1" t="str">
        <f t="shared" si="13"/>
        <v>AZ</v>
      </c>
      <c r="I281" s="1">
        <f t="shared" si="14"/>
        <v>0</v>
      </c>
    </row>
    <row r="282" spans="1:9" x14ac:dyDescent="0.2">
      <c r="A282" s="1" t="s">
        <v>347</v>
      </c>
      <c r="B282" s="1">
        <v>36655.61</v>
      </c>
      <c r="C282" s="1" t="s">
        <v>27</v>
      </c>
      <c r="D282" s="1">
        <f t="shared" si="12"/>
        <v>55993.991594411818</v>
      </c>
      <c r="E282" s="1">
        <v>33.798992869999999</v>
      </c>
      <c r="F282" s="1">
        <v>-111.97714000000001</v>
      </c>
      <c r="G282" s="1" t="s">
        <v>32</v>
      </c>
      <c r="H282" s="1" t="str">
        <f t="shared" si="13"/>
        <v>AZ</v>
      </c>
      <c r="I282" s="1">
        <f t="shared" si="14"/>
        <v>0</v>
      </c>
    </row>
    <row r="283" spans="1:9" x14ac:dyDescent="0.2">
      <c r="A283" s="1" t="s">
        <v>348</v>
      </c>
      <c r="B283" s="1">
        <v>27695.3</v>
      </c>
      <c r="C283" s="1" t="s">
        <v>27</v>
      </c>
      <c r="D283" s="1">
        <f t="shared" si="12"/>
        <v>55993.991594411818</v>
      </c>
      <c r="E283" s="1">
        <v>33.756968039999997</v>
      </c>
      <c r="F283" s="1">
        <v>-111.9901232</v>
      </c>
      <c r="G283" s="1" t="s">
        <v>32</v>
      </c>
      <c r="H283" s="1" t="str">
        <f t="shared" si="13"/>
        <v>AZ</v>
      </c>
      <c r="I283" s="1">
        <f t="shared" si="14"/>
        <v>0</v>
      </c>
    </row>
    <row r="284" spans="1:9" x14ac:dyDescent="0.2">
      <c r="A284" s="1" t="s">
        <v>349</v>
      </c>
      <c r="B284" s="1">
        <v>4802.5200000000004</v>
      </c>
      <c r="C284" s="1" t="s">
        <v>27</v>
      </c>
      <c r="D284" s="1">
        <f t="shared" si="12"/>
        <v>55993.991594411818</v>
      </c>
      <c r="E284" s="1">
        <v>33.754565550000002</v>
      </c>
      <c r="F284" s="1">
        <v>-111.9880809</v>
      </c>
      <c r="G284" s="1" t="s">
        <v>32</v>
      </c>
      <c r="H284" s="1" t="str">
        <f t="shared" si="13"/>
        <v>AZ</v>
      </c>
      <c r="I284" s="1">
        <f t="shared" si="14"/>
        <v>0</v>
      </c>
    </row>
    <row r="285" spans="1:9" x14ac:dyDescent="0.2">
      <c r="A285" s="1" t="s">
        <v>350</v>
      </c>
      <c r="B285" s="1">
        <v>35919.57</v>
      </c>
      <c r="C285" s="1" t="s">
        <v>27</v>
      </c>
      <c r="D285" s="1">
        <f t="shared" si="12"/>
        <v>55993.991594411818</v>
      </c>
      <c r="E285" s="1">
        <v>33.316725759999997</v>
      </c>
      <c r="F285" s="1">
        <v>-111.8417196</v>
      </c>
      <c r="G285" s="1" t="s">
        <v>33</v>
      </c>
      <c r="H285" s="1" t="str">
        <f t="shared" si="13"/>
        <v>AZ</v>
      </c>
      <c r="I285" s="1">
        <f t="shared" si="14"/>
        <v>0</v>
      </c>
    </row>
    <row r="286" spans="1:9" x14ac:dyDescent="0.2">
      <c r="A286" s="1" t="s">
        <v>351</v>
      </c>
      <c r="B286" s="1">
        <v>33380.82</v>
      </c>
      <c r="C286" s="1" t="s">
        <v>27</v>
      </c>
      <c r="D286" s="1">
        <f t="shared" si="12"/>
        <v>55993.991594411818</v>
      </c>
      <c r="E286" s="1">
        <v>33.334912869999997</v>
      </c>
      <c r="F286" s="1">
        <v>-111.8769295</v>
      </c>
      <c r="G286" s="1" t="s">
        <v>33</v>
      </c>
      <c r="H286" s="1" t="str">
        <f t="shared" si="13"/>
        <v>AZ</v>
      </c>
      <c r="I286" s="1">
        <f t="shared" si="14"/>
        <v>0</v>
      </c>
    </row>
    <row r="287" spans="1:9" x14ac:dyDescent="0.2">
      <c r="A287" s="1" t="s">
        <v>352</v>
      </c>
      <c r="B287" s="1">
        <v>6320.9</v>
      </c>
      <c r="C287" s="1" t="s">
        <v>27</v>
      </c>
      <c r="D287" s="1">
        <f t="shared" si="12"/>
        <v>55993.991594411818</v>
      </c>
      <c r="E287" s="1">
        <v>33.319662899999997</v>
      </c>
      <c r="F287" s="1">
        <v>-111.9655836</v>
      </c>
      <c r="G287" s="1" t="s">
        <v>33</v>
      </c>
      <c r="H287" s="1" t="str">
        <f t="shared" si="13"/>
        <v>AZ</v>
      </c>
      <c r="I287" s="1">
        <f t="shared" si="14"/>
        <v>0</v>
      </c>
    </row>
    <row r="288" spans="1:9" x14ac:dyDescent="0.2">
      <c r="A288" s="1" t="s">
        <v>353</v>
      </c>
      <c r="B288" s="1">
        <v>49301.47</v>
      </c>
      <c r="C288" s="1" t="s">
        <v>27</v>
      </c>
      <c r="D288" s="1">
        <f t="shared" si="12"/>
        <v>55993.991594411818</v>
      </c>
      <c r="E288" s="1">
        <v>33.218992870000001</v>
      </c>
      <c r="F288" s="1">
        <v>-111.79132</v>
      </c>
      <c r="G288" s="1" t="s">
        <v>33</v>
      </c>
      <c r="H288" s="1" t="str">
        <f t="shared" si="13"/>
        <v>AZ</v>
      </c>
      <c r="I288" s="1">
        <f t="shared" si="14"/>
        <v>0</v>
      </c>
    </row>
    <row r="289" spans="1:9" x14ac:dyDescent="0.2">
      <c r="A289" s="1" t="s">
        <v>354</v>
      </c>
      <c r="B289" s="1">
        <v>33804.410000000003</v>
      </c>
      <c r="C289" s="1" t="s">
        <v>27</v>
      </c>
      <c r="D289" s="1">
        <f t="shared" si="12"/>
        <v>55993.991594411818</v>
      </c>
      <c r="E289" s="1">
        <v>33.320227129999999</v>
      </c>
      <c r="F289" s="1">
        <v>-111.91258670000001</v>
      </c>
      <c r="G289" s="1" t="s">
        <v>33</v>
      </c>
      <c r="H289" s="1" t="str">
        <f t="shared" si="13"/>
        <v>AZ</v>
      </c>
      <c r="I289" s="1">
        <f t="shared" si="14"/>
        <v>0</v>
      </c>
    </row>
    <row r="290" spans="1:9" x14ac:dyDescent="0.2">
      <c r="A290" s="1" t="s">
        <v>355</v>
      </c>
      <c r="B290" s="1">
        <v>52152.52</v>
      </c>
      <c r="C290" s="1" t="s">
        <v>27</v>
      </c>
      <c r="D290" s="1">
        <f t="shared" si="12"/>
        <v>55993.991594411818</v>
      </c>
      <c r="E290" s="1">
        <v>33.261339999999997</v>
      </c>
      <c r="F290" s="1">
        <v>-111.858296</v>
      </c>
      <c r="G290" s="1" t="s">
        <v>33</v>
      </c>
      <c r="H290" s="1" t="str">
        <f t="shared" si="13"/>
        <v>AZ</v>
      </c>
      <c r="I290" s="1">
        <f t="shared" si="14"/>
        <v>0</v>
      </c>
    </row>
    <row r="291" spans="1:9" x14ac:dyDescent="0.2">
      <c r="A291" s="1" t="s">
        <v>356</v>
      </c>
      <c r="B291" s="1">
        <v>52883</v>
      </c>
      <c r="C291" s="1" t="s">
        <v>27</v>
      </c>
      <c r="D291" s="1">
        <f t="shared" si="12"/>
        <v>55993.991594411818</v>
      </c>
      <c r="E291" s="1">
        <v>33.280688650000002</v>
      </c>
      <c r="F291" s="1">
        <v>-111.80665</v>
      </c>
      <c r="G291" s="1" t="s">
        <v>33</v>
      </c>
      <c r="H291" s="1" t="str">
        <f t="shared" si="13"/>
        <v>AZ</v>
      </c>
      <c r="I291" s="1">
        <f t="shared" si="14"/>
        <v>0</v>
      </c>
    </row>
    <row r="292" spans="1:9" x14ac:dyDescent="0.2">
      <c r="A292" s="1" t="s">
        <v>357</v>
      </c>
      <c r="B292" s="1">
        <v>52014.49</v>
      </c>
      <c r="C292" s="1" t="s">
        <v>27</v>
      </c>
      <c r="D292" s="1">
        <f t="shared" si="12"/>
        <v>55993.991594411818</v>
      </c>
      <c r="E292" s="1">
        <v>33.232678370000002</v>
      </c>
      <c r="F292" s="1">
        <v>-111.8415139</v>
      </c>
      <c r="G292" s="1" t="s">
        <v>33</v>
      </c>
      <c r="H292" s="1" t="str">
        <f t="shared" si="13"/>
        <v>AZ</v>
      </c>
      <c r="I292" s="1">
        <f t="shared" si="14"/>
        <v>0</v>
      </c>
    </row>
    <row r="293" spans="1:9" x14ac:dyDescent="0.2">
      <c r="A293" s="1" t="s">
        <v>358</v>
      </c>
      <c r="B293" s="1">
        <v>26659.09</v>
      </c>
      <c r="C293" s="1" t="s">
        <v>27</v>
      </c>
      <c r="D293" s="1">
        <f t="shared" si="12"/>
        <v>55993.991594411818</v>
      </c>
      <c r="E293" s="1">
        <v>33.234681029999997</v>
      </c>
      <c r="F293" s="1">
        <v>-111.7896339</v>
      </c>
      <c r="G293" s="1" t="s">
        <v>33</v>
      </c>
      <c r="H293" s="1" t="str">
        <f t="shared" si="13"/>
        <v>AZ</v>
      </c>
      <c r="I293" s="1">
        <f t="shared" si="14"/>
        <v>0</v>
      </c>
    </row>
    <row r="294" spans="1:9" x14ac:dyDescent="0.2">
      <c r="A294" s="1" t="s">
        <v>359</v>
      </c>
      <c r="B294" s="1">
        <v>23201.439999999999</v>
      </c>
      <c r="C294" s="1" t="s">
        <v>27</v>
      </c>
      <c r="D294" s="1">
        <f t="shared" si="12"/>
        <v>55993.991594411818</v>
      </c>
      <c r="E294" s="1">
        <v>33.320785000000001</v>
      </c>
      <c r="F294" s="1">
        <v>-111.8414559</v>
      </c>
      <c r="G294" s="1" t="s">
        <v>33</v>
      </c>
      <c r="H294" s="1" t="str">
        <f t="shared" si="13"/>
        <v>AZ</v>
      </c>
      <c r="I294" s="1">
        <f t="shared" si="14"/>
        <v>0</v>
      </c>
    </row>
    <row r="295" spans="1:9" x14ac:dyDescent="0.2">
      <c r="A295" s="1" t="s">
        <v>360</v>
      </c>
      <c r="B295" s="1">
        <v>28179.19</v>
      </c>
      <c r="C295" s="1" t="s">
        <v>27</v>
      </c>
      <c r="D295" s="1">
        <f t="shared" si="12"/>
        <v>55993.991594411818</v>
      </c>
      <c r="E295" s="1">
        <v>33.295299999999997</v>
      </c>
      <c r="F295" s="1">
        <v>-111.8417541</v>
      </c>
      <c r="G295" s="1" t="s">
        <v>33</v>
      </c>
      <c r="H295" s="1" t="str">
        <f t="shared" si="13"/>
        <v>AZ</v>
      </c>
      <c r="I295" s="1">
        <f t="shared" si="14"/>
        <v>0</v>
      </c>
    </row>
    <row r="296" spans="1:9" x14ac:dyDescent="0.2">
      <c r="A296" s="1" t="s">
        <v>361</v>
      </c>
      <c r="B296" s="1">
        <v>39399.089999999997</v>
      </c>
      <c r="C296" s="1" t="s">
        <v>27</v>
      </c>
      <c r="D296" s="1">
        <f t="shared" si="12"/>
        <v>55993.991594411818</v>
      </c>
      <c r="E296" s="1">
        <v>33.306226219999999</v>
      </c>
      <c r="F296" s="1">
        <v>-111.86587419999999</v>
      </c>
      <c r="G296" s="1" t="s">
        <v>33</v>
      </c>
      <c r="H296" s="1" t="str">
        <f t="shared" si="13"/>
        <v>AZ</v>
      </c>
      <c r="I296" s="1">
        <f t="shared" si="14"/>
        <v>0</v>
      </c>
    </row>
    <row r="297" spans="1:9" x14ac:dyDescent="0.2">
      <c r="A297" s="1" t="s">
        <v>362</v>
      </c>
      <c r="B297" s="1">
        <v>67072.12</v>
      </c>
      <c r="C297" s="1" t="s">
        <v>27</v>
      </c>
      <c r="D297" s="1">
        <f t="shared" si="12"/>
        <v>55993.991594411818</v>
      </c>
      <c r="E297" s="1">
        <v>33.262610000000002</v>
      </c>
      <c r="F297" s="1">
        <v>-111.789744</v>
      </c>
      <c r="G297" s="1" t="s">
        <v>33</v>
      </c>
      <c r="H297" s="1" t="str">
        <f t="shared" si="13"/>
        <v>AZ</v>
      </c>
      <c r="I297" s="1">
        <f t="shared" si="14"/>
        <v>1</v>
      </c>
    </row>
    <row r="298" spans="1:9" x14ac:dyDescent="0.2">
      <c r="A298" s="1" t="s">
        <v>363</v>
      </c>
      <c r="B298" s="1">
        <v>98537.41</v>
      </c>
      <c r="C298" s="1" t="s">
        <v>27</v>
      </c>
      <c r="D298" s="1">
        <f t="shared" si="12"/>
        <v>55993.991594411818</v>
      </c>
      <c r="E298" s="1">
        <v>33.349518889999999</v>
      </c>
      <c r="F298" s="1">
        <v>-111.8419042</v>
      </c>
      <c r="G298" s="1" t="s">
        <v>33</v>
      </c>
      <c r="H298" s="1" t="str">
        <f t="shared" si="13"/>
        <v>AZ</v>
      </c>
      <c r="I298" s="1">
        <f t="shared" si="14"/>
        <v>1</v>
      </c>
    </row>
    <row r="299" spans="1:9" x14ac:dyDescent="0.2">
      <c r="A299" s="1" t="s">
        <v>364</v>
      </c>
      <c r="B299" s="1">
        <v>91104.58</v>
      </c>
      <c r="C299" s="1" t="s">
        <v>27</v>
      </c>
      <c r="D299" s="1">
        <f t="shared" si="12"/>
        <v>55993.991594411818</v>
      </c>
      <c r="E299" s="1">
        <v>33.350904249999999</v>
      </c>
      <c r="F299" s="1">
        <v>-111.87623840000001</v>
      </c>
      <c r="G299" s="1" t="s">
        <v>33</v>
      </c>
      <c r="H299" s="1" t="str">
        <f t="shared" si="13"/>
        <v>AZ</v>
      </c>
      <c r="I299" s="1">
        <f t="shared" si="14"/>
        <v>1</v>
      </c>
    </row>
    <row r="300" spans="1:9" x14ac:dyDescent="0.2">
      <c r="A300" s="1" t="s">
        <v>365</v>
      </c>
      <c r="B300" s="1">
        <v>117314.43</v>
      </c>
      <c r="C300" s="1" t="s">
        <v>27</v>
      </c>
      <c r="D300" s="1">
        <f t="shared" si="12"/>
        <v>55993.991594411818</v>
      </c>
      <c r="E300" s="1">
        <v>33.262532499999999</v>
      </c>
      <c r="F300" s="1">
        <v>-111.8238479</v>
      </c>
      <c r="G300" s="1" t="s">
        <v>33</v>
      </c>
      <c r="H300" s="1" t="str">
        <f t="shared" si="13"/>
        <v>AZ</v>
      </c>
      <c r="I300" s="1">
        <f t="shared" si="14"/>
        <v>1</v>
      </c>
    </row>
    <row r="301" spans="1:9" x14ac:dyDescent="0.2">
      <c r="A301" s="1" t="s">
        <v>366</v>
      </c>
      <c r="B301" s="1">
        <v>47726.57</v>
      </c>
      <c r="C301" s="1" t="s">
        <v>27</v>
      </c>
      <c r="D301" s="1">
        <f t="shared" si="12"/>
        <v>55993.991594411818</v>
      </c>
      <c r="E301" s="1">
        <v>33.305467129999997</v>
      </c>
      <c r="F301" s="1">
        <v>-111.96173</v>
      </c>
      <c r="G301" s="1" t="s">
        <v>33</v>
      </c>
      <c r="H301" s="1" t="str">
        <f t="shared" si="13"/>
        <v>AZ</v>
      </c>
      <c r="I301" s="1">
        <f t="shared" si="14"/>
        <v>0</v>
      </c>
    </row>
    <row r="302" spans="1:9" x14ac:dyDescent="0.2">
      <c r="A302" s="1" t="s">
        <v>367</v>
      </c>
      <c r="B302" s="1">
        <v>39752.15</v>
      </c>
      <c r="C302" s="1" t="s">
        <v>27</v>
      </c>
      <c r="D302" s="1">
        <f t="shared" si="12"/>
        <v>55993.991594411818</v>
      </c>
      <c r="E302" s="1">
        <v>33.276809999999998</v>
      </c>
      <c r="F302" s="1">
        <v>-111.841346</v>
      </c>
      <c r="G302" s="1" t="s">
        <v>33</v>
      </c>
      <c r="H302" s="1" t="str">
        <f t="shared" si="13"/>
        <v>AZ</v>
      </c>
      <c r="I302" s="1">
        <f t="shared" si="14"/>
        <v>0</v>
      </c>
    </row>
    <row r="303" spans="1:9" x14ac:dyDescent="0.2">
      <c r="A303" s="1" t="s">
        <v>368</v>
      </c>
      <c r="B303" s="1">
        <v>77486.179999999993</v>
      </c>
      <c r="C303" s="1" t="s">
        <v>27</v>
      </c>
      <c r="D303" s="1">
        <f t="shared" si="12"/>
        <v>55993.991594411818</v>
      </c>
      <c r="E303" s="1">
        <v>33.211469999999998</v>
      </c>
      <c r="F303" s="1">
        <v>-111.86835000000001</v>
      </c>
      <c r="G303" s="1" t="s">
        <v>33</v>
      </c>
      <c r="H303" s="1" t="str">
        <f t="shared" si="13"/>
        <v>AZ</v>
      </c>
      <c r="I303" s="1">
        <f t="shared" si="14"/>
        <v>1</v>
      </c>
    </row>
    <row r="304" spans="1:9" x14ac:dyDescent="0.2">
      <c r="A304" s="1" t="s">
        <v>369</v>
      </c>
      <c r="B304" s="1">
        <v>52666.97</v>
      </c>
      <c r="C304" s="1" t="s">
        <v>27</v>
      </c>
      <c r="D304" s="1">
        <f t="shared" si="12"/>
        <v>55993.991594411818</v>
      </c>
      <c r="E304" s="1">
        <v>33.319652869999999</v>
      </c>
      <c r="F304" s="1">
        <v>-111.96241999999999</v>
      </c>
      <c r="G304" s="1" t="s">
        <v>33</v>
      </c>
      <c r="H304" s="1" t="str">
        <f t="shared" si="13"/>
        <v>AZ</v>
      </c>
      <c r="I304" s="1">
        <f t="shared" si="14"/>
        <v>0</v>
      </c>
    </row>
    <row r="305" spans="1:9" x14ac:dyDescent="0.2">
      <c r="A305" s="1" t="s">
        <v>370</v>
      </c>
      <c r="B305" s="1">
        <v>64100.57</v>
      </c>
      <c r="C305" s="1" t="s">
        <v>27</v>
      </c>
      <c r="D305" s="1">
        <f t="shared" si="12"/>
        <v>55993.991594411818</v>
      </c>
      <c r="E305" s="1">
        <v>33.305092870000003</v>
      </c>
      <c r="F305" s="1">
        <v>-111.9684883</v>
      </c>
      <c r="G305" s="1" t="s">
        <v>33</v>
      </c>
      <c r="H305" s="1" t="str">
        <f t="shared" si="13"/>
        <v>AZ</v>
      </c>
      <c r="I305" s="1">
        <f t="shared" si="14"/>
        <v>1</v>
      </c>
    </row>
    <row r="306" spans="1:9" x14ac:dyDescent="0.2">
      <c r="A306" s="1" t="s">
        <v>371</v>
      </c>
      <c r="B306" s="1">
        <v>93898.32</v>
      </c>
      <c r="C306" s="1" t="s">
        <v>27</v>
      </c>
      <c r="D306" s="1">
        <f t="shared" si="12"/>
        <v>55993.991594411818</v>
      </c>
      <c r="E306" s="1">
        <v>33.328121179999997</v>
      </c>
      <c r="F306" s="1">
        <v>-111.85893590000001</v>
      </c>
      <c r="G306" s="1" t="s">
        <v>33</v>
      </c>
      <c r="H306" s="1" t="str">
        <f t="shared" si="13"/>
        <v>AZ</v>
      </c>
      <c r="I306" s="1">
        <f t="shared" si="14"/>
        <v>1</v>
      </c>
    </row>
    <row r="307" spans="1:9" x14ac:dyDescent="0.2">
      <c r="A307" s="1" t="s">
        <v>372</v>
      </c>
      <c r="B307" s="1">
        <v>43706.35</v>
      </c>
      <c r="C307" s="1" t="s">
        <v>27</v>
      </c>
      <c r="D307" s="1">
        <f t="shared" si="12"/>
        <v>55993.991594411818</v>
      </c>
      <c r="E307" s="1">
        <v>33.306428889999999</v>
      </c>
      <c r="F307" s="1">
        <v>-111.822531</v>
      </c>
      <c r="G307" s="1" t="s">
        <v>33</v>
      </c>
      <c r="H307" s="1" t="str">
        <f t="shared" si="13"/>
        <v>AZ</v>
      </c>
      <c r="I307" s="1">
        <f t="shared" si="14"/>
        <v>0</v>
      </c>
    </row>
    <row r="308" spans="1:9" x14ac:dyDescent="0.2">
      <c r="A308" s="1" t="s">
        <v>373</v>
      </c>
      <c r="B308" s="1">
        <v>32275.9</v>
      </c>
      <c r="C308" s="1" t="s">
        <v>27</v>
      </c>
      <c r="D308" s="1">
        <f t="shared" si="12"/>
        <v>55993.991594411818</v>
      </c>
      <c r="E308" s="1">
        <v>33.306222869999999</v>
      </c>
      <c r="F308" s="1">
        <v>-111.7912094</v>
      </c>
      <c r="G308" s="1" t="s">
        <v>33</v>
      </c>
      <c r="H308" s="1" t="str">
        <f t="shared" si="13"/>
        <v>AZ</v>
      </c>
      <c r="I308" s="1">
        <f t="shared" si="14"/>
        <v>0</v>
      </c>
    </row>
    <row r="309" spans="1:9" x14ac:dyDescent="0.2">
      <c r="A309" s="1" t="s">
        <v>374</v>
      </c>
      <c r="B309" s="1">
        <v>35874.75</v>
      </c>
      <c r="C309" s="1" t="s">
        <v>27</v>
      </c>
      <c r="D309" s="1">
        <f t="shared" si="12"/>
        <v>55993.991594411818</v>
      </c>
      <c r="E309" s="1">
        <v>33.320105720000001</v>
      </c>
      <c r="F309" s="1">
        <v>-111.92791889999999</v>
      </c>
      <c r="G309" s="1" t="s">
        <v>33</v>
      </c>
      <c r="H309" s="1" t="str">
        <f t="shared" si="13"/>
        <v>AZ</v>
      </c>
      <c r="I309" s="1">
        <f t="shared" si="14"/>
        <v>0</v>
      </c>
    </row>
    <row r="310" spans="1:9" x14ac:dyDescent="0.2">
      <c r="A310" s="1" t="s">
        <v>375</v>
      </c>
      <c r="B310" s="1">
        <v>116867.57</v>
      </c>
      <c r="C310" s="1" t="s">
        <v>27</v>
      </c>
      <c r="D310" s="1">
        <f t="shared" si="12"/>
        <v>55993.991594411818</v>
      </c>
      <c r="E310" s="1">
        <v>33.305587129999999</v>
      </c>
      <c r="F310" s="1">
        <v>-111.912969</v>
      </c>
      <c r="G310" s="1" t="s">
        <v>33</v>
      </c>
      <c r="H310" s="1" t="str">
        <f t="shared" si="13"/>
        <v>AZ</v>
      </c>
      <c r="I310" s="1">
        <f t="shared" si="14"/>
        <v>1</v>
      </c>
    </row>
    <row r="311" spans="1:9" x14ac:dyDescent="0.2">
      <c r="A311" s="1" t="s">
        <v>376</v>
      </c>
      <c r="B311" s="1">
        <v>83974.38</v>
      </c>
      <c r="C311" s="1" t="s">
        <v>27</v>
      </c>
      <c r="D311" s="1">
        <f t="shared" si="12"/>
        <v>55993.991594411818</v>
      </c>
      <c r="E311" s="1">
        <v>33.305787100000003</v>
      </c>
      <c r="F311" s="1">
        <v>-111.8762368</v>
      </c>
      <c r="G311" s="1" t="s">
        <v>33</v>
      </c>
      <c r="H311" s="1" t="str">
        <f t="shared" si="13"/>
        <v>AZ</v>
      </c>
      <c r="I311" s="1">
        <f t="shared" si="14"/>
        <v>1</v>
      </c>
    </row>
    <row r="312" spans="1:9" x14ac:dyDescent="0.2">
      <c r="A312" s="1" t="s">
        <v>377</v>
      </c>
      <c r="B312" s="1">
        <v>62866.93</v>
      </c>
      <c r="C312" s="1" t="s">
        <v>27</v>
      </c>
      <c r="D312" s="1">
        <f t="shared" si="12"/>
        <v>55993.991594411818</v>
      </c>
      <c r="E312" s="1">
        <v>33.335352329999999</v>
      </c>
      <c r="F312" s="1">
        <v>-111.8768445</v>
      </c>
      <c r="G312" s="1" t="s">
        <v>33</v>
      </c>
      <c r="H312" s="1" t="str">
        <f t="shared" si="13"/>
        <v>AZ</v>
      </c>
      <c r="I312" s="1">
        <f t="shared" si="14"/>
        <v>1</v>
      </c>
    </row>
    <row r="313" spans="1:9" x14ac:dyDescent="0.2">
      <c r="A313" s="1" t="s">
        <v>378</v>
      </c>
      <c r="B313" s="1">
        <v>95440.94</v>
      </c>
      <c r="C313" s="1" t="s">
        <v>27</v>
      </c>
      <c r="D313" s="1">
        <f t="shared" si="12"/>
        <v>55993.991594411818</v>
      </c>
      <c r="E313" s="1">
        <v>33.3198279</v>
      </c>
      <c r="F313" s="1">
        <v>-111.9108366</v>
      </c>
      <c r="G313" s="1" t="s">
        <v>33</v>
      </c>
      <c r="H313" s="1" t="str">
        <f t="shared" si="13"/>
        <v>AZ</v>
      </c>
      <c r="I313" s="1">
        <f t="shared" si="14"/>
        <v>1</v>
      </c>
    </row>
    <row r="314" spans="1:9" x14ac:dyDescent="0.2">
      <c r="A314" s="1" t="s">
        <v>379</v>
      </c>
      <c r="B314" s="1">
        <v>125096.95</v>
      </c>
      <c r="C314" s="1" t="s">
        <v>27</v>
      </c>
      <c r="D314" s="1">
        <f t="shared" si="12"/>
        <v>55993.991594411818</v>
      </c>
      <c r="E314" s="1">
        <v>33.261232870000001</v>
      </c>
      <c r="F314" s="1">
        <v>-111.89054</v>
      </c>
      <c r="G314" s="1" t="s">
        <v>33</v>
      </c>
      <c r="H314" s="1" t="str">
        <f t="shared" si="13"/>
        <v>AZ</v>
      </c>
      <c r="I314" s="1">
        <f t="shared" si="14"/>
        <v>1</v>
      </c>
    </row>
    <row r="315" spans="1:9" x14ac:dyDescent="0.2">
      <c r="A315" s="1" t="s">
        <v>380</v>
      </c>
      <c r="B315" s="1">
        <v>72964.94</v>
      </c>
      <c r="C315" s="1" t="s">
        <v>27</v>
      </c>
      <c r="D315" s="1">
        <f t="shared" si="12"/>
        <v>55993.991594411818</v>
      </c>
      <c r="E315" s="1">
        <v>33.298957790000003</v>
      </c>
      <c r="F315" s="1">
        <v>-111.84133439999999</v>
      </c>
      <c r="G315" s="1" t="s">
        <v>33</v>
      </c>
      <c r="H315" s="1" t="str">
        <f t="shared" si="13"/>
        <v>AZ</v>
      </c>
      <c r="I315" s="1">
        <f t="shared" si="14"/>
        <v>1</v>
      </c>
    </row>
    <row r="316" spans="1:9" x14ac:dyDescent="0.2">
      <c r="A316" s="1" t="s">
        <v>381</v>
      </c>
      <c r="B316" s="1">
        <v>91951.38</v>
      </c>
      <c r="C316" s="1" t="s">
        <v>27</v>
      </c>
      <c r="D316" s="1">
        <f t="shared" si="12"/>
        <v>55993.991594411818</v>
      </c>
      <c r="E316" s="1">
        <v>33.29150138</v>
      </c>
      <c r="F316" s="1">
        <v>-111.8067301</v>
      </c>
      <c r="G316" s="1" t="s">
        <v>33</v>
      </c>
      <c r="H316" s="1" t="str">
        <f t="shared" si="13"/>
        <v>AZ</v>
      </c>
      <c r="I316" s="1">
        <f t="shared" si="14"/>
        <v>1</v>
      </c>
    </row>
    <row r="317" spans="1:9" x14ac:dyDescent="0.2">
      <c r="A317" s="1" t="s">
        <v>382</v>
      </c>
      <c r="B317" s="1">
        <v>56273.52</v>
      </c>
      <c r="C317" s="1" t="s">
        <v>27</v>
      </c>
      <c r="D317" s="1">
        <f t="shared" si="12"/>
        <v>55993.991594411818</v>
      </c>
      <c r="E317" s="1">
        <v>33.219002889999999</v>
      </c>
      <c r="F317" s="1">
        <v>-111.7907372</v>
      </c>
      <c r="G317" s="1" t="s">
        <v>33</v>
      </c>
      <c r="H317" s="1" t="str">
        <f t="shared" si="13"/>
        <v>AZ</v>
      </c>
      <c r="I317" s="1">
        <f t="shared" si="14"/>
        <v>1</v>
      </c>
    </row>
    <row r="318" spans="1:9" x14ac:dyDescent="0.2">
      <c r="A318" s="1" t="s">
        <v>383</v>
      </c>
      <c r="B318" s="1">
        <v>67052.320000000007</v>
      </c>
      <c r="C318" s="1" t="s">
        <v>27</v>
      </c>
      <c r="D318" s="1">
        <f t="shared" si="12"/>
        <v>55993.991594411818</v>
      </c>
      <c r="E318" s="1">
        <v>33.349519809999997</v>
      </c>
      <c r="F318" s="1">
        <v>-111.858575</v>
      </c>
      <c r="G318" s="1" t="s">
        <v>33</v>
      </c>
      <c r="H318" s="1" t="str">
        <f t="shared" si="13"/>
        <v>AZ</v>
      </c>
      <c r="I318" s="1">
        <f t="shared" si="14"/>
        <v>1</v>
      </c>
    </row>
    <row r="319" spans="1:9" x14ac:dyDescent="0.2">
      <c r="A319" s="1" t="s">
        <v>384</v>
      </c>
      <c r="B319" s="1">
        <v>96444.95</v>
      </c>
      <c r="C319" s="1" t="s">
        <v>27</v>
      </c>
      <c r="D319" s="1">
        <f t="shared" si="12"/>
        <v>55993.991594411818</v>
      </c>
      <c r="E319" s="1">
        <v>33.320794509999999</v>
      </c>
      <c r="F319" s="1">
        <v>-111.8755982</v>
      </c>
      <c r="G319" s="1" t="s">
        <v>33</v>
      </c>
      <c r="H319" s="1" t="str">
        <f t="shared" si="13"/>
        <v>AZ</v>
      </c>
      <c r="I319" s="1">
        <f t="shared" si="14"/>
        <v>1</v>
      </c>
    </row>
    <row r="320" spans="1:9" x14ac:dyDescent="0.2">
      <c r="A320" s="1" t="s">
        <v>385</v>
      </c>
      <c r="B320" s="1">
        <v>107927.66</v>
      </c>
      <c r="C320" s="1" t="s">
        <v>27</v>
      </c>
      <c r="D320" s="1">
        <f t="shared" si="12"/>
        <v>55993.991594411818</v>
      </c>
      <c r="E320" s="1">
        <v>33.218532889999999</v>
      </c>
      <c r="F320" s="1">
        <v>-111.8251673</v>
      </c>
      <c r="G320" s="1" t="s">
        <v>33</v>
      </c>
      <c r="H320" s="1" t="str">
        <f t="shared" si="13"/>
        <v>AZ</v>
      </c>
      <c r="I320" s="1">
        <f t="shared" si="14"/>
        <v>1</v>
      </c>
    </row>
    <row r="321" spans="1:9" x14ac:dyDescent="0.2">
      <c r="A321" s="1" t="s">
        <v>386</v>
      </c>
      <c r="B321" s="1">
        <v>172261.59</v>
      </c>
      <c r="C321" s="1" t="s">
        <v>27</v>
      </c>
      <c r="D321" s="1">
        <f t="shared" si="12"/>
        <v>55993.991594411818</v>
      </c>
      <c r="E321" s="1">
        <v>33.226059999999997</v>
      </c>
      <c r="F321" s="1">
        <v>-111.79922000000001</v>
      </c>
      <c r="G321" s="1" t="s">
        <v>33</v>
      </c>
      <c r="H321" s="1" t="str">
        <f t="shared" si="13"/>
        <v>AZ</v>
      </c>
      <c r="I321" s="1">
        <f t="shared" si="14"/>
        <v>1</v>
      </c>
    </row>
    <row r="322" spans="1:9" x14ac:dyDescent="0.2">
      <c r="A322" s="1" t="s">
        <v>387</v>
      </c>
      <c r="B322" s="1">
        <v>102730.7</v>
      </c>
      <c r="C322" s="1" t="s">
        <v>27</v>
      </c>
      <c r="D322" s="1">
        <f t="shared" si="12"/>
        <v>55993.991594411818</v>
      </c>
      <c r="E322" s="1">
        <v>33.275660000000002</v>
      </c>
      <c r="F322" s="1">
        <v>-111.858904</v>
      </c>
      <c r="G322" s="1" t="s">
        <v>33</v>
      </c>
      <c r="H322" s="1" t="str">
        <f t="shared" si="13"/>
        <v>AZ</v>
      </c>
      <c r="I322" s="1">
        <f t="shared" si="14"/>
        <v>1</v>
      </c>
    </row>
    <row r="323" spans="1:9" x14ac:dyDescent="0.2">
      <c r="A323" s="1" t="s">
        <v>388</v>
      </c>
      <c r="B323" s="1">
        <v>128843.63</v>
      </c>
      <c r="C323" s="1" t="s">
        <v>27</v>
      </c>
      <c r="D323" s="1">
        <f t="shared" ref="D323:D386" si="15">AVERAGEIFS($B:$B,$C:$C,$C323)</f>
        <v>55993.991594411818</v>
      </c>
      <c r="E323" s="1">
        <v>33.28064002</v>
      </c>
      <c r="F323" s="1">
        <v>-111.9626062</v>
      </c>
      <c r="G323" s="1" t="s">
        <v>33</v>
      </c>
      <c r="H323" s="1" t="str">
        <f t="shared" ref="H323:H386" si="16">TRIM(_xlfn.TEXTAFTER(A323, ",", -1))</f>
        <v>AZ</v>
      </c>
      <c r="I323" s="1">
        <f t="shared" ref="I323:I386" si="17">IF(B323&gt;D323,1,0)</f>
        <v>1</v>
      </c>
    </row>
    <row r="324" spans="1:9" x14ac:dyDescent="0.2">
      <c r="A324" s="1" t="s">
        <v>389</v>
      </c>
      <c r="B324" s="1">
        <v>55207.8</v>
      </c>
      <c r="C324" s="1" t="s">
        <v>27</v>
      </c>
      <c r="D324" s="1">
        <f t="shared" si="15"/>
        <v>55993.991594411818</v>
      </c>
      <c r="E324" s="1">
        <v>33.234349450000003</v>
      </c>
      <c r="F324" s="1">
        <v>-111.8589643</v>
      </c>
      <c r="G324" s="1" t="s">
        <v>33</v>
      </c>
      <c r="H324" s="1" t="str">
        <f t="shared" si="16"/>
        <v>AZ</v>
      </c>
      <c r="I324" s="1">
        <f t="shared" si="17"/>
        <v>0</v>
      </c>
    </row>
    <row r="325" spans="1:9" x14ac:dyDescent="0.2">
      <c r="A325" s="1" t="s">
        <v>390</v>
      </c>
      <c r="B325" s="1">
        <v>61209.97</v>
      </c>
      <c r="C325" s="1" t="s">
        <v>27</v>
      </c>
      <c r="D325" s="1">
        <f t="shared" si="15"/>
        <v>55993.991594411818</v>
      </c>
      <c r="E325" s="1">
        <v>33.305842869999999</v>
      </c>
      <c r="F325" s="1">
        <v>-111.8617788</v>
      </c>
      <c r="G325" s="1" t="s">
        <v>33</v>
      </c>
      <c r="H325" s="1" t="str">
        <f t="shared" si="16"/>
        <v>AZ</v>
      </c>
      <c r="I325" s="1">
        <f t="shared" si="17"/>
        <v>1</v>
      </c>
    </row>
    <row r="326" spans="1:9" x14ac:dyDescent="0.2">
      <c r="A326" s="1" t="s">
        <v>391</v>
      </c>
      <c r="B326" s="1">
        <v>49692.57</v>
      </c>
      <c r="C326" s="1" t="s">
        <v>27</v>
      </c>
      <c r="D326" s="1">
        <f t="shared" si="15"/>
        <v>55993.991594411818</v>
      </c>
      <c r="E326" s="1">
        <v>33.32094712</v>
      </c>
      <c r="F326" s="1">
        <v>-111.8226226</v>
      </c>
      <c r="G326" s="1" t="s">
        <v>33</v>
      </c>
      <c r="H326" s="1" t="str">
        <f t="shared" si="16"/>
        <v>AZ</v>
      </c>
      <c r="I326" s="1">
        <f t="shared" si="17"/>
        <v>0</v>
      </c>
    </row>
    <row r="327" spans="1:9" x14ac:dyDescent="0.2">
      <c r="A327" s="1" t="s">
        <v>392</v>
      </c>
      <c r="B327" s="1">
        <v>88437.72</v>
      </c>
      <c r="C327" s="1" t="s">
        <v>27</v>
      </c>
      <c r="D327" s="1">
        <f t="shared" si="15"/>
        <v>55993.991594411818</v>
      </c>
      <c r="E327" s="1">
        <v>33.297526920000003</v>
      </c>
      <c r="F327" s="1">
        <v>-111.89929909999999</v>
      </c>
      <c r="G327" s="1" t="s">
        <v>33</v>
      </c>
      <c r="H327" s="1" t="str">
        <f t="shared" si="16"/>
        <v>AZ</v>
      </c>
      <c r="I327" s="1">
        <f t="shared" si="17"/>
        <v>1</v>
      </c>
    </row>
    <row r="328" spans="1:9" x14ac:dyDescent="0.2">
      <c r="A328" s="1" t="s">
        <v>393</v>
      </c>
      <c r="B328" s="1">
        <v>65363.519999999997</v>
      </c>
      <c r="C328" s="1" t="s">
        <v>27</v>
      </c>
      <c r="D328" s="1">
        <f t="shared" si="15"/>
        <v>55993.991594411818</v>
      </c>
      <c r="E328" s="1">
        <v>33.251049760000001</v>
      </c>
      <c r="F328" s="1">
        <v>-111.840996</v>
      </c>
      <c r="G328" s="1" t="s">
        <v>33</v>
      </c>
      <c r="H328" s="1" t="str">
        <f t="shared" si="16"/>
        <v>AZ</v>
      </c>
      <c r="I328" s="1">
        <f t="shared" si="17"/>
        <v>1</v>
      </c>
    </row>
    <row r="329" spans="1:9" x14ac:dyDescent="0.2">
      <c r="A329" s="1" t="s">
        <v>394</v>
      </c>
      <c r="B329" s="1">
        <v>14253.34</v>
      </c>
      <c r="C329" s="1" t="s">
        <v>27</v>
      </c>
      <c r="D329" s="1">
        <f t="shared" si="15"/>
        <v>55993.991594411818</v>
      </c>
      <c r="E329" s="1">
        <v>33.319660880000001</v>
      </c>
      <c r="F329" s="1">
        <v>-111.9449575</v>
      </c>
      <c r="G329" s="1" t="s">
        <v>33</v>
      </c>
      <c r="H329" s="1" t="str">
        <f t="shared" si="16"/>
        <v>AZ</v>
      </c>
      <c r="I329" s="1">
        <f t="shared" si="17"/>
        <v>0</v>
      </c>
    </row>
    <row r="330" spans="1:9" x14ac:dyDescent="0.2">
      <c r="A330" s="1" t="s">
        <v>395</v>
      </c>
      <c r="B330" s="1">
        <v>13849.36</v>
      </c>
      <c r="C330" s="1" t="s">
        <v>27</v>
      </c>
      <c r="D330" s="1">
        <f t="shared" si="15"/>
        <v>55993.991594411818</v>
      </c>
      <c r="E330" s="1">
        <v>33.305782870000002</v>
      </c>
      <c r="F330" s="1">
        <v>-111.8758875</v>
      </c>
      <c r="G330" s="1" t="s">
        <v>33</v>
      </c>
      <c r="H330" s="1" t="str">
        <f t="shared" si="16"/>
        <v>AZ</v>
      </c>
      <c r="I330" s="1">
        <f t="shared" si="17"/>
        <v>0</v>
      </c>
    </row>
    <row r="331" spans="1:9" x14ac:dyDescent="0.2">
      <c r="A331" s="1" t="s">
        <v>396</v>
      </c>
      <c r="B331" s="1">
        <v>32792.71</v>
      </c>
      <c r="C331" s="1" t="s">
        <v>27</v>
      </c>
      <c r="D331" s="1">
        <f t="shared" si="15"/>
        <v>55993.991594411818</v>
      </c>
      <c r="E331" s="1">
        <v>33.305232869999998</v>
      </c>
      <c r="F331" s="1">
        <v>-111.92744949999999</v>
      </c>
      <c r="G331" s="1" t="s">
        <v>33</v>
      </c>
      <c r="H331" s="1" t="str">
        <f t="shared" si="16"/>
        <v>AZ</v>
      </c>
      <c r="I331" s="1">
        <f t="shared" si="17"/>
        <v>0</v>
      </c>
    </row>
    <row r="332" spans="1:9" x14ac:dyDescent="0.2">
      <c r="A332" s="1" t="s">
        <v>397</v>
      </c>
      <c r="B332" s="1">
        <v>6825.42</v>
      </c>
      <c r="C332" s="1" t="s">
        <v>27</v>
      </c>
      <c r="D332" s="1">
        <f t="shared" si="15"/>
        <v>55993.991594411818</v>
      </c>
      <c r="E332" s="1">
        <v>33.30620287</v>
      </c>
      <c r="F332" s="1">
        <v>-111.8072258</v>
      </c>
      <c r="G332" s="1" t="s">
        <v>33</v>
      </c>
      <c r="H332" s="1" t="str">
        <f t="shared" si="16"/>
        <v>AZ</v>
      </c>
      <c r="I332" s="1">
        <f t="shared" si="17"/>
        <v>0</v>
      </c>
    </row>
    <row r="333" spans="1:9" x14ac:dyDescent="0.2">
      <c r="A333" s="1" t="s">
        <v>398</v>
      </c>
      <c r="B333" s="1">
        <v>35881.82</v>
      </c>
      <c r="C333" s="1" t="s">
        <v>27</v>
      </c>
      <c r="D333" s="1">
        <f t="shared" si="15"/>
        <v>55993.991594411818</v>
      </c>
      <c r="E333" s="1">
        <v>33.334499999999998</v>
      </c>
      <c r="F333" s="1">
        <v>-111.8761959</v>
      </c>
      <c r="G333" s="1" t="s">
        <v>33</v>
      </c>
      <c r="H333" s="1" t="str">
        <f t="shared" si="16"/>
        <v>AZ</v>
      </c>
      <c r="I333" s="1">
        <f t="shared" si="17"/>
        <v>0</v>
      </c>
    </row>
    <row r="334" spans="1:9" x14ac:dyDescent="0.2">
      <c r="A334" s="1" t="s">
        <v>399</v>
      </c>
      <c r="B334" s="1">
        <v>11398.74</v>
      </c>
      <c r="C334" s="1" t="s">
        <v>27</v>
      </c>
      <c r="D334" s="1">
        <f t="shared" si="15"/>
        <v>55993.991594411818</v>
      </c>
      <c r="E334" s="1">
        <v>33.21901287</v>
      </c>
      <c r="F334" s="1">
        <v>-111.7888425</v>
      </c>
      <c r="G334" s="1" t="s">
        <v>33</v>
      </c>
      <c r="H334" s="1" t="str">
        <f t="shared" si="16"/>
        <v>AZ</v>
      </c>
      <c r="I334" s="1">
        <f t="shared" si="17"/>
        <v>0</v>
      </c>
    </row>
    <row r="335" spans="1:9" x14ac:dyDescent="0.2">
      <c r="A335" s="1" t="s">
        <v>400</v>
      </c>
      <c r="C335" s="1" t="s">
        <v>27</v>
      </c>
      <c r="D335" s="1">
        <f t="shared" si="15"/>
        <v>55993.991594411818</v>
      </c>
      <c r="E335" s="1">
        <v>33.320432889999999</v>
      </c>
      <c r="F335" s="1">
        <v>-111.84089729999999</v>
      </c>
      <c r="G335" s="1" t="s">
        <v>33</v>
      </c>
      <c r="H335" s="1" t="str">
        <f t="shared" si="16"/>
        <v>AZ</v>
      </c>
      <c r="I335" s="1">
        <f t="shared" si="17"/>
        <v>0</v>
      </c>
    </row>
    <row r="336" spans="1:9" x14ac:dyDescent="0.2">
      <c r="A336" s="1" t="s">
        <v>401</v>
      </c>
      <c r="B336" s="1">
        <v>17157.48</v>
      </c>
      <c r="C336" s="1" t="s">
        <v>27</v>
      </c>
      <c r="D336" s="1">
        <f t="shared" si="15"/>
        <v>55993.991594411818</v>
      </c>
      <c r="E336" s="1">
        <v>33.276954140000001</v>
      </c>
      <c r="F336" s="1">
        <v>-111.8583802</v>
      </c>
      <c r="G336" s="1" t="s">
        <v>33</v>
      </c>
      <c r="H336" s="1" t="str">
        <f t="shared" si="16"/>
        <v>AZ</v>
      </c>
      <c r="I336" s="1">
        <f t="shared" si="17"/>
        <v>0</v>
      </c>
    </row>
    <row r="337" spans="1:9" x14ac:dyDescent="0.2">
      <c r="A337" s="1" t="s">
        <v>402</v>
      </c>
      <c r="B337" s="1">
        <v>14144.01</v>
      </c>
      <c r="C337" s="1" t="s">
        <v>27</v>
      </c>
      <c r="D337" s="1">
        <f t="shared" si="15"/>
        <v>55993.991594411818</v>
      </c>
      <c r="E337" s="1">
        <v>33.247632869999997</v>
      </c>
      <c r="F337" s="1">
        <v>-111.82485939999999</v>
      </c>
      <c r="G337" s="1" t="s">
        <v>33</v>
      </c>
      <c r="H337" s="1" t="str">
        <f t="shared" si="16"/>
        <v>AZ</v>
      </c>
      <c r="I337" s="1">
        <f t="shared" si="17"/>
        <v>0</v>
      </c>
    </row>
    <row r="338" spans="1:9" x14ac:dyDescent="0.2">
      <c r="A338" s="1" t="s">
        <v>403</v>
      </c>
      <c r="B338" s="1">
        <v>23903.4</v>
      </c>
      <c r="C338" s="1" t="s">
        <v>27</v>
      </c>
      <c r="D338" s="1">
        <f t="shared" si="15"/>
        <v>55993.991594411818</v>
      </c>
      <c r="E338" s="1">
        <v>33.618708720000001</v>
      </c>
      <c r="F338" s="1">
        <v>-112.3253832</v>
      </c>
      <c r="G338" s="1" t="s">
        <v>34</v>
      </c>
      <c r="H338" s="1" t="str">
        <f t="shared" si="16"/>
        <v>AZ</v>
      </c>
      <c r="I338" s="1">
        <f t="shared" si="17"/>
        <v>0</v>
      </c>
    </row>
    <row r="339" spans="1:9" x14ac:dyDescent="0.2">
      <c r="A339" s="1" t="s">
        <v>404</v>
      </c>
      <c r="B339" s="1">
        <v>140867.54</v>
      </c>
      <c r="C339" s="1" t="s">
        <v>27</v>
      </c>
      <c r="D339" s="1">
        <f t="shared" si="15"/>
        <v>55993.991594411818</v>
      </c>
      <c r="E339" s="1">
        <v>33.609205000000003</v>
      </c>
      <c r="F339" s="1">
        <v>-112.3417053</v>
      </c>
      <c r="G339" s="1" t="s">
        <v>34</v>
      </c>
      <c r="H339" s="1" t="str">
        <f t="shared" si="16"/>
        <v>AZ</v>
      </c>
      <c r="I339" s="1">
        <f t="shared" si="17"/>
        <v>1</v>
      </c>
    </row>
    <row r="340" spans="1:9" x14ac:dyDescent="0.2">
      <c r="A340" s="1" t="s">
        <v>405</v>
      </c>
      <c r="C340" s="1" t="s">
        <v>27</v>
      </c>
      <c r="D340" s="1">
        <f t="shared" si="15"/>
        <v>55993.991594411818</v>
      </c>
      <c r="E340" s="1">
        <v>33.623017930000003</v>
      </c>
      <c r="F340" s="1">
        <v>-112.34189569999999</v>
      </c>
      <c r="G340" s="1" t="s">
        <v>34</v>
      </c>
      <c r="H340" s="1" t="str">
        <f t="shared" si="16"/>
        <v>AZ</v>
      </c>
      <c r="I340" s="1">
        <f t="shared" si="17"/>
        <v>0</v>
      </c>
    </row>
    <row r="341" spans="1:9" x14ac:dyDescent="0.2">
      <c r="A341" s="1" t="s">
        <v>406</v>
      </c>
      <c r="B341" s="1">
        <v>28691.95</v>
      </c>
      <c r="C341" s="1" t="s">
        <v>27</v>
      </c>
      <c r="D341" s="1">
        <f t="shared" si="15"/>
        <v>55993.991594411818</v>
      </c>
      <c r="E341" s="1">
        <v>33.594642120000003</v>
      </c>
      <c r="F341" s="1">
        <v>-112.3238779</v>
      </c>
      <c r="G341" s="1" t="s">
        <v>34</v>
      </c>
      <c r="H341" s="1" t="str">
        <f t="shared" si="16"/>
        <v>AZ</v>
      </c>
      <c r="I341" s="1">
        <f t="shared" si="17"/>
        <v>0</v>
      </c>
    </row>
    <row r="342" spans="1:9" x14ac:dyDescent="0.2">
      <c r="A342" s="1" t="s">
        <v>407</v>
      </c>
      <c r="B342" s="1">
        <v>22601.07</v>
      </c>
      <c r="C342" s="1" t="s">
        <v>27</v>
      </c>
      <c r="D342" s="1">
        <f t="shared" si="15"/>
        <v>55993.991594411818</v>
      </c>
      <c r="E342" s="1">
        <v>33.60845132</v>
      </c>
      <c r="F342" s="1">
        <v>-111.7200369</v>
      </c>
      <c r="G342" s="1" t="s">
        <v>35</v>
      </c>
      <c r="H342" s="1" t="str">
        <f t="shared" si="16"/>
        <v>AZ</v>
      </c>
      <c r="I342" s="1">
        <f t="shared" si="17"/>
        <v>0</v>
      </c>
    </row>
    <row r="343" spans="1:9" x14ac:dyDescent="0.2">
      <c r="A343" s="1" t="s">
        <v>408</v>
      </c>
      <c r="B343" s="1">
        <v>63342.57</v>
      </c>
      <c r="C343" s="1" t="s">
        <v>27</v>
      </c>
      <c r="D343" s="1">
        <f t="shared" si="15"/>
        <v>55993.991594411818</v>
      </c>
      <c r="E343" s="1">
        <v>33.57373252</v>
      </c>
      <c r="F343" s="1">
        <v>-111.7138569</v>
      </c>
      <c r="G343" s="1" t="s">
        <v>35</v>
      </c>
      <c r="H343" s="1" t="str">
        <f t="shared" si="16"/>
        <v>AZ</v>
      </c>
      <c r="I343" s="1">
        <f t="shared" si="17"/>
        <v>1</v>
      </c>
    </row>
    <row r="344" spans="1:9" x14ac:dyDescent="0.2">
      <c r="A344" s="1" t="s">
        <v>409</v>
      </c>
      <c r="B344" s="1">
        <v>52257.67</v>
      </c>
      <c r="C344" s="1" t="s">
        <v>27</v>
      </c>
      <c r="D344" s="1">
        <f t="shared" si="15"/>
        <v>55993.991594411818</v>
      </c>
      <c r="E344" s="1">
        <v>33.570894619999997</v>
      </c>
      <c r="F344" s="1">
        <v>-111.7120388</v>
      </c>
      <c r="G344" s="1" t="s">
        <v>35</v>
      </c>
      <c r="H344" s="1" t="str">
        <f t="shared" si="16"/>
        <v>AZ</v>
      </c>
      <c r="I344" s="1">
        <f t="shared" si="17"/>
        <v>0</v>
      </c>
    </row>
    <row r="345" spans="1:9" x14ac:dyDescent="0.2">
      <c r="A345" s="1" t="s">
        <v>410</v>
      </c>
      <c r="B345" s="1">
        <v>24652</v>
      </c>
      <c r="C345" s="1" t="s">
        <v>27</v>
      </c>
      <c r="D345" s="1">
        <f t="shared" si="15"/>
        <v>55993.991594411818</v>
      </c>
      <c r="E345" s="1">
        <v>33.579725660000001</v>
      </c>
      <c r="F345" s="1">
        <v>-111.7603233</v>
      </c>
      <c r="G345" s="1" t="s">
        <v>35</v>
      </c>
      <c r="H345" s="1" t="str">
        <f t="shared" si="16"/>
        <v>AZ</v>
      </c>
      <c r="I345" s="1">
        <f t="shared" si="17"/>
        <v>0</v>
      </c>
    </row>
    <row r="346" spans="1:9" x14ac:dyDescent="0.2">
      <c r="A346" s="1" t="s">
        <v>411</v>
      </c>
      <c r="B346" s="1">
        <v>51247.94</v>
      </c>
      <c r="C346" s="1" t="s">
        <v>27</v>
      </c>
      <c r="D346" s="1">
        <f t="shared" si="15"/>
        <v>55993.991594411818</v>
      </c>
      <c r="E346" s="1">
        <v>33.609862010000001</v>
      </c>
      <c r="F346" s="1">
        <v>-111.7293275</v>
      </c>
      <c r="G346" s="1" t="s">
        <v>35</v>
      </c>
      <c r="H346" s="1" t="str">
        <f t="shared" si="16"/>
        <v>AZ</v>
      </c>
      <c r="I346" s="1">
        <f t="shared" si="17"/>
        <v>0</v>
      </c>
    </row>
    <row r="347" spans="1:9" x14ac:dyDescent="0.2">
      <c r="A347" s="1" t="s">
        <v>412</v>
      </c>
      <c r="B347" s="1">
        <v>24946.43</v>
      </c>
      <c r="C347" s="1" t="s">
        <v>27</v>
      </c>
      <c r="D347" s="1">
        <f t="shared" si="15"/>
        <v>55993.991594411818</v>
      </c>
      <c r="E347" s="1">
        <v>33.574844050000003</v>
      </c>
      <c r="F347" s="1">
        <v>-111.7171218</v>
      </c>
      <c r="G347" s="1" t="s">
        <v>35</v>
      </c>
      <c r="H347" s="1" t="str">
        <f t="shared" si="16"/>
        <v>AZ</v>
      </c>
      <c r="I347" s="1">
        <f t="shared" si="17"/>
        <v>0</v>
      </c>
    </row>
    <row r="348" spans="1:9" x14ac:dyDescent="0.2">
      <c r="A348" s="1" t="s">
        <v>413</v>
      </c>
      <c r="B348" s="1">
        <v>9008.35</v>
      </c>
      <c r="C348" s="1" t="s">
        <v>27</v>
      </c>
      <c r="D348" s="1">
        <f t="shared" si="15"/>
        <v>55993.991594411818</v>
      </c>
      <c r="E348" s="1">
        <v>33.610172679999998</v>
      </c>
      <c r="F348" s="1">
        <v>-111.7257312</v>
      </c>
      <c r="G348" s="1" t="s">
        <v>35</v>
      </c>
      <c r="H348" s="1" t="str">
        <f t="shared" si="16"/>
        <v>AZ</v>
      </c>
      <c r="I348" s="1">
        <f t="shared" si="17"/>
        <v>0</v>
      </c>
    </row>
    <row r="349" spans="1:9" x14ac:dyDescent="0.2">
      <c r="A349" s="1" t="s">
        <v>414</v>
      </c>
      <c r="B349" s="1">
        <v>74737.75</v>
      </c>
      <c r="C349" s="1" t="s">
        <v>27</v>
      </c>
      <c r="D349" s="1">
        <f t="shared" si="15"/>
        <v>55993.991594411818</v>
      </c>
      <c r="E349" s="1">
        <v>32.944202490000002</v>
      </c>
      <c r="F349" s="1">
        <v>-112.7310217</v>
      </c>
      <c r="G349" s="1" t="s">
        <v>36</v>
      </c>
      <c r="H349" s="1" t="str">
        <f t="shared" si="16"/>
        <v>AZ</v>
      </c>
      <c r="I349" s="1">
        <f t="shared" si="17"/>
        <v>1</v>
      </c>
    </row>
    <row r="350" spans="1:9" x14ac:dyDescent="0.2">
      <c r="A350" s="1" t="s">
        <v>415</v>
      </c>
      <c r="B350" s="1">
        <v>88924.69</v>
      </c>
      <c r="C350" s="1" t="s">
        <v>27</v>
      </c>
      <c r="D350" s="1">
        <f t="shared" si="15"/>
        <v>55993.991594411818</v>
      </c>
      <c r="E350" s="1">
        <v>32.943702049999999</v>
      </c>
      <c r="F350" s="1">
        <v>-112.7336621</v>
      </c>
      <c r="G350" s="1" t="s">
        <v>36</v>
      </c>
      <c r="H350" s="1" t="str">
        <f t="shared" si="16"/>
        <v>AZ</v>
      </c>
      <c r="I350" s="1">
        <f t="shared" si="17"/>
        <v>1</v>
      </c>
    </row>
    <row r="351" spans="1:9" x14ac:dyDescent="0.2">
      <c r="A351" s="1" t="s">
        <v>416</v>
      </c>
      <c r="B351" s="1">
        <v>55353.208780000001</v>
      </c>
      <c r="C351" s="1" t="s">
        <v>27</v>
      </c>
      <c r="D351" s="1">
        <f t="shared" si="15"/>
        <v>55993.991594411818</v>
      </c>
      <c r="E351" s="1">
        <v>32.930386839999997</v>
      </c>
      <c r="F351" s="1">
        <v>-112.6743283</v>
      </c>
      <c r="G351" s="1" t="s">
        <v>36</v>
      </c>
      <c r="H351" s="1" t="str">
        <f t="shared" si="16"/>
        <v>AZ</v>
      </c>
      <c r="I351" s="1">
        <f t="shared" si="17"/>
        <v>0</v>
      </c>
    </row>
    <row r="352" spans="1:9" x14ac:dyDescent="0.2">
      <c r="A352" s="1" t="s">
        <v>417</v>
      </c>
      <c r="B352" s="1">
        <v>44299.49</v>
      </c>
      <c r="C352" s="1" t="s">
        <v>27</v>
      </c>
      <c r="D352" s="1">
        <f t="shared" si="15"/>
        <v>55993.991594411818</v>
      </c>
      <c r="E352" s="1">
        <v>33.370843020000002</v>
      </c>
      <c r="F352" s="1">
        <v>-111.7897421</v>
      </c>
      <c r="G352" s="1" t="s">
        <v>37</v>
      </c>
      <c r="H352" s="1" t="str">
        <f t="shared" si="16"/>
        <v>AZ</v>
      </c>
      <c r="I352" s="1">
        <f t="shared" si="17"/>
        <v>0</v>
      </c>
    </row>
    <row r="353" spans="1:9" x14ac:dyDescent="0.2">
      <c r="A353" s="1" t="s">
        <v>418</v>
      </c>
      <c r="B353" s="1">
        <v>33106.120000000003</v>
      </c>
      <c r="C353" s="1" t="s">
        <v>27</v>
      </c>
      <c r="D353" s="1">
        <f t="shared" si="15"/>
        <v>55993.991594411818</v>
      </c>
      <c r="E353" s="1">
        <v>33.349733989999997</v>
      </c>
      <c r="F353" s="1">
        <v>-111.8068758</v>
      </c>
      <c r="G353" s="1" t="s">
        <v>37</v>
      </c>
      <c r="H353" s="1" t="str">
        <f t="shared" si="16"/>
        <v>AZ</v>
      </c>
      <c r="I353" s="1">
        <f t="shared" si="17"/>
        <v>0</v>
      </c>
    </row>
    <row r="354" spans="1:9" x14ac:dyDescent="0.2">
      <c r="A354" s="1" t="s">
        <v>419</v>
      </c>
      <c r="B354" s="1">
        <v>49195.88</v>
      </c>
      <c r="C354" s="1" t="s">
        <v>27</v>
      </c>
      <c r="D354" s="1">
        <f t="shared" si="15"/>
        <v>55993.991594411818</v>
      </c>
      <c r="E354" s="1">
        <v>33.336099750000002</v>
      </c>
      <c r="F354" s="1">
        <v>-111.75539019999999</v>
      </c>
      <c r="G354" s="1" t="s">
        <v>37</v>
      </c>
      <c r="H354" s="1" t="str">
        <f t="shared" si="16"/>
        <v>AZ</v>
      </c>
      <c r="I354" s="1">
        <f t="shared" si="17"/>
        <v>0</v>
      </c>
    </row>
    <row r="355" spans="1:9" x14ac:dyDescent="0.2">
      <c r="A355" s="1" t="s">
        <v>420</v>
      </c>
      <c r="B355" s="1">
        <v>39329.29</v>
      </c>
      <c r="C355" s="1" t="s">
        <v>27</v>
      </c>
      <c r="D355" s="1">
        <f t="shared" si="15"/>
        <v>55993.991594411818</v>
      </c>
      <c r="E355" s="1">
        <v>33.335385549999998</v>
      </c>
      <c r="F355" s="1">
        <v>-111.77166560000001</v>
      </c>
      <c r="G355" s="1" t="s">
        <v>37</v>
      </c>
      <c r="H355" s="1" t="str">
        <f t="shared" si="16"/>
        <v>AZ</v>
      </c>
      <c r="I355" s="1">
        <f t="shared" si="17"/>
        <v>0</v>
      </c>
    </row>
    <row r="356" spans="1:9" x14ac:dyDescent="0.2">
      <c r="A356" s="1" t="s">
        <v>421</v>
      </c>
      <c r="B356" s="1">
        <v>37442.69</v>
      </c>
      <c r="C356" s="1" t="s">
        <v>27</v>
      </c>
      <c r="D356" s="1">
        <f t="shared" si="15"/>
        <v>55993.991594411818</v>
      </c>
      <c r="E356" s="1">
        <v>33.364497129999997</v>
      </c>
      <c r="F356" s="1">
        <v>-111.80651140000001</v>
      </c>
      <c r="G356" s="1" t="s">
        <v>37</v>
      </c>
      <c r="H356" s="1" t="str">
        <f t="shared" si="16"/>
        <v>AZ</v>
      </c>
      <c r="I356" s="1">
        <f t="shared" si="17"/>
        <v>0</v>
      </c>
    </row>
    <row r="357" spans="1:9" x14ac:dyDescent="0.2">
      <c r="A357" s="1" t="s">
        <v>422</v>
      </c>
      <c r="B357" s="1">
        <v>31728.880000000001</v>
      </c>
      <c r="C357" s="1" t="s">
        <v>27</v>
      </c>
      <c r="D357" s="1">
        <f t="shared" si="15"/>
        <v>55993.991594411818</v>
      </c>
      <c r="E357" s="1">
        <v>33.34807361</v>
      </c>
      <c r="F357" s="1">
        <v>-111.72113589999999</v>
      </c>
      <c r="G357" s="1" t="s">
        <v>37</v>
      </c>
      <c r="H357" s="1" t="str">
        <f t="shared" si="16"/>
        <v>AZ</v>
      </c>
      <c r="I357" s="1">
        <f t="shared" si="17"/>
        <v>0</v>
      </c>
    </row>
    <row r="358" spans="1:9" x14ac:dyDescent="0.2">
      <c r="A358" s="1" t="s">
        <v>423</v>
      </c>
      <c r="B358" s="1">
        <v>39996.49</v>
      </c>
      <c r="C358" s="1" t="s">
        <v>27</v>
      </c>
      <c r="D358" s="1">
        <f t="shared" si="15"/>
        <v>55993.991594411818</v>
      </c>
      <c r="E358" s="1">
        <v>33.359648569999997</v>
      </c>
      <c r="F358" s="1">
        <v>-111.7895858</v>
      </c>
      <c r="G358" s="1" t="s">
        <v>37</v>
      </c>
      <c r="H358" s="1" t="str">
        <f t="shared" si="16"/>
        <v>AZ</v>
      </c>
      <c r="I358" s="1">
        <f t="shared" si="17"/>
        <v>0</v>
      </c>
    </row>
    <row r="359" spans="1:9" x14ac:dyDescent="0.2">
      <c r="A359" s="1" t="s">
        <v>424</v>
      </c>
      <c r="B359" s="1">
        <v>59975.49</v>
      </c>
      <c r="C359" s="1" t="s">
        <v>27</v>
      </c>
      <c r="D359" s="1">
        <f t="shared" si="15"/>
        <v>55993.991594411818</v>
      </c>
      <c r="E359" s="1">
        <v>33.321403889999999</v>
      </c>
      <c r="F359" s="1">
        <v>-111.75646759999999</v>
      </c>
      <c r="G359" s="1" t="s">
        <v>37</v>
      </c>
      <c r="H359" s="1" t="str">
        <f t="shared" si="16"/>
        <v>AZ</v>
      </c>
      <c r="I359" s="1">
        <f t="shared" si="17"/>
        <v>1</v>
      </c>
    </row>
    <row r="360" spans="1:9" x14ac:dyDescent="0.2">
      <c r="A360" s="1" t="s">
        <v>425</v>
      </c>
      <c r="B360" s="1">
        <v>89552.41</v>
      </c>
      <c r="C360" s="1" t="s">
        <v>27</v>
      </c>
      <c r="D360" s="1">
        <f t="shared" si="15"/>
        <v>55993.991594411818</v>
      </c>
      <c r="E360" s="1">
        <v>33.295390449999999</v>
      </c>
      <c r="F360" s="1">
        <v>-111.7552859</v>
      </c>
      <c r="G360" s="1" t="s">
        <v>37</v>
      </c>
      <c r="H360" s="1" t="str">
        <f t="shared" si="16"/>
        <v>AZ</v>
      </c>
      <c r="I360" s="1">
        <f t="shared" si="17"/>
        <v>1</v>
      </c>
    </row>
    <row r="361" spans="1:9" x14ac:dyDescent="0.2">
      <c r="A361" s="1" t="s">
        <v>426</v>
      </c>
      <c r="B361" s="1">
        <v>107171.38</v>
      </c>
      <c r="C361" s="1" t="s">
        <v>27</v>
      </c>
      <c r="D361" s="1">
        <f t="shared" si="15"/>
        <v>55993.991594411818</v>
      </c>
      <c r="E361" s="1">
        <v>33.333353289999998</v>
      </c>
      <c r="F361" s="1">
        <v>-111.7214913</v>
      </c>
      <c r="G361" s="1" t="s">
        <v>37</v>
      </c>
      <c r="H361" s="1" t="str">
        <f t="shared" si="16"/>
        <v>AZ</v>
      </c>
      <c r="I361" s="1">
        <f t="shared" si="17"/>
        <v>1</v>
      </c>
    </row>
    <row r="362" spans="1:9" x14ac:dyDescent="0.2">
      <c r="A362" s="1" t="s">
        <v>427</v>
      </c>
      <c r="B362" s="1">
        <v>123325.1</v>
      </c>
      <c r="C362" s="1" t="s">
        <v>27</v>
      </c>
      <c r="D362" s="1">
        <f t="shared" si="15"/>
        <v>55993.991594411818</v>
      </c>
      <c r="E362" s="1">
        <v>33.283329639999998</v>
      </c>
      <c r="F362" s="1">
        <v>-111.6865179</v>
      </c>
      <c r="G362" s="1" t="s">
        <v>37</v>
      </c>
      <c r="H362" s="1" t="str">
        <f t="shared" si="16"/>
        <v>AZ</v>
      </c>
      <c r="I362" s="1">
        <f t="shared" si="17"/>
        <v>1</v>
      </c>
    </row>
    <row r="363" spans="1:9" x14ac:dyDescent="0.2">
      <c r="A363" s="1" t="s">
        <v>428</v>
      </c>
      <c r="B363" s="1">
        <v>87569.06</v>
      </c>
      <c r="C363" s="1" t="s">
        <v>27</v>
      </c>
      <c r="D363" s="1">
        <f t="shared" si="15"/>
        <v>55993.991594411818</v>
      </c>
      <c r="E363" s="1">
        <v>33.379462099999998</v>
      </c>
      <c r="F363" s="1">
        <v>-111.7220015</v>
      </c>
      <c r="G363" s="1" t="s">
        <v>37</v>
      </c>
      <c r="H363" s="1" t="str">
        <f t="shared" si="16"/>
        <v>AZ</v>
      </c>
      <c r="I363" s="1">
        <f t="shared" si="17"/>
        <v>1</v>
      </c>
    </row>
    <row r="364" spans="1:9" x14ac:dyDescent="0.2">
      <c r="A364" s="1" t="s">
        <v>429</v>
      </c>
      <c r="B364" s="1">
        <v>85518.42</v>
      </c>
      <c r="C364" s="1" t="s">
        <v>27</v>
      </c>
      <c r="D364" s="1">
        <f t="shared" si="15"/>
        <v>55993.991594411818</v>
      </c>
      <c r="E364" s="1">
        <v>33.292771430000002</v>
      </c>
      <c r="F364" s="1">
        <v>-111.78941589999999</v>
      </c>
      <c r="G364" s="1" t="s">
        <v>37</v>
      </c>
      <c r="H364" s="1" t="str">
        <f t="shared" si="16"/>
        <v>AZ</v>
      </c>
      <c r="I364" s="1">
        <f t="shared" si="17"/>
        <v>1</v>
      </c>
    </row>
    <row r="365" spans="1:9" x14ac:dyDescent="0.2">
      <c r="A365" s="1" t="s">
        <v>430</v>
      </c>
      <c r="B365" s="1">
        <v>60282.97</v>
      </c>
      <c r="C365" s="1" t="s">
        <v>27</v>
      </c>
      <c r="D365" s="1">
        <f t="shared" si="15"/>
        <v>55993.991594411818</v>
      </c>
      <c r="E365" s="1">
        <v>33.335709999999999</v>
      </c>
      <c r="F365" s="1">
        <v>-111.73874000000001</v>
      </c>
      <c r="G365" s="1" t="s">
        <v>37</v>
      </c>
      <c r="H365" s="1" t="str">
        <f t="shared" si="16"/>
        <v>AZ</v>
      </c>
      <c r="I365" s="1">
        <f t="shared" si="17"/>
        <v>1</v>
      </c>
    </row>
    <row r="366" spans="1:9" x14ac:dyDescent="0.2">
      <c r="A366" s="1" t="s">
        <v>431</v>
      </c>
      <c r="B366" s="1">
        <v>43363.22</v>
      </c>
      <c r="C366" s="1" t="s">
        <v>27</v>
      </c>
      <c r="D366" s="1">
        <f t="shared" si="15"/>
        <v>55993.991594411818</v>
      </c>
      <c r="E366" s="1">
        <v>33.363169999999997</v>
      </c>
      <c r="F366" s="1">
        <v>-111.8416658</v>
      </c>
      <c r="G366" s="1" t="s">
        <v>37</v>
      </c>
      <c r="H366" s="1" t="str">
        <f t="shared" si="16"/>
        <v>AZ</v>
      </c>
      <c r="I366" s="1">
        <f t="shared" si="17"/>
        <v>0</v>
      </c>
    </row>
    <row r="367" spans="1:9" x14ac:dyDescent="0.2">
      <c r="A367" s="1" t="s">
        <v>432</v>
      </c>
      <c r="B367" s="1">
        <v>36296.559999999998</v>
      </c>
      <c r="C367" s="1" t="s">
        <v>27</v>
      </c>
      <c r="D367" s="1">
        <f t="shared" si="15"/>
        <v>55993.991594411818</v>
      </c>
      <c r="E367" s="1">
        <v>33.335791960000002</v>
      </c>
      <c r="F367" s="1">
        <v>-111.7741848</v>
      </c>
      <c r="G367" s="1" t="s">
        <v>37</v>
      </c>
      <c r="H367" s="1" t="str">
        <f t="shared" si="16"/>
        <v>AZ</v>
      </c>
      <c r="I367" s="1">
        <f t="shared" si="17"/>
        <v>0</v>
      </c>
    </row>
    <row r="368" spans="1:9" x14ac:dyDescent="0.2">
      <c r="A368" s="1" t="s">
        <v>433</v>
      </c>
      <c r="B368" s="1">
        <v>68435.39</v>
      </c>
      <c r="C368" s="1" t="s">
        <v>27</v>
      </c>
      <c r="D368" s="1">
        <f t="shared" si="15"/>
        <v>55993.991594411818</v>
      </c>
      <c r="E368" s="1">
        <v>33.307137130000001</v>
      </c>
      <c r="F368" s="1">
        <v>-111.7210006</v>
      </c>
      <c r="G368" s="1" t="s">
        <v>37</v>
      </c>
      <c r="H368" s="1" t="str">
        <f t="shared" si="16"/>
        <v>AZ</v>
      </c>
      <c r="I368" s="1">
        <f t="shared" si="17"/>
        <v>1</v>
      </c>
    </row>
    <row r="369" spans="1:9" x14ac:dyDescent="0.2">
      <c r="A369" s="1" t="s">
        <v>434</v>
      </c>
      <c r="B369" s="1">
        <v>37647.919999999998</v>
      </c>
      <c r="C369" s="1" t="s">
        <v>27</v>
      </c>
      <c r="D369" s="1">
        <f t="shared" si="15"/>
        <v>55993.991594411818</v>
      </c>
      <c r="E369" s="1">
        <v>33.335174070000001</v>
      </c>
      <c r="F369" s="1">
        <v>-111.8059282</v>
      </c>
      <c r="G369" s="1" t="s">
        <v>37</v>
      </c>
      <c r="H369" s="1" t="str">
        <f t="shared" si="16"/>
        <v>AZ</v>
      </c>
      <c r="I369" s="1">
        <f t="shared" si="17"/>
        <v>0</v>
      </c>
    </row>
    <row r="370" spans="1:9" x14ac:dyDescent="0.2">
      <c r="A370" s="1" t="s">
        <v>435</v>
      </c>
      <c r="B370" s="1">
        <v>63664.47</v>
      </c>
      <c r="C370" s="1" t="s">
        <v>27</v>
      </c>
      <c r="D370" s="1">
        <f t="shared" si="15"/>
        <v>55993.991594411818</v>
      </c>
      <c r="E370" s="1">
        <v>33.378952890000001</v>
      </c>
      <c r="F370" s="1">
        <v>-111.754277</v>
      </c>
      <c r="G370" s="1" t="s">
        <v>37</v>
      </c>
      <c r="H370" s="1" t="str">
        <f t="shared" si="16"/>
        <v>AZ</v>
      </c>
      <c r="I370" s="1">
        <f t="shared" si="17"/>
        <v>1</v>
      </c>
    </row>
    <row r="371" spans="1:9" x14ac:dyDescent="0.2">
      <c r="A371" s="1" t="s">
        <v>436</v>
      </c>
      <c r="B371" s="1">
        <v>47220.15</v>
      </c>
      <c r="C371" s="1" t="s">
        <v>27</v>
      </c>
      <c r="D371" s="1">
        <f t="shared" si="15"/>
        <v>55993.991594411818</v>
      </c>
      <c r="E371" s="1">
        <v>33.378712870000001</v>
      </c>
      <c r="F371" s="1">
        <v>-111.8075544</v>
      </c>
      <c r="G371" s="1" t="s">
        <v>37</v>
      </c>
      <c r="H371" s="1" t="str">
        <f t="shared" si="16"/>
        <v>AZ</v>
      </c>
      <c r="I371" s="1">
        <f t="shared" si="17"/>
        <v>0</v>
      </c>
    </row>
    <row r="372" spans="1:9" x14ac:dyDescent="0.2">
      <c r="A372" s="1" t="s">
        <v>437</v>
      </c>
      <c r="B372" s="1">
        <v>60015.96</v>
      </c>
      <c r="C372" s="1" t="s">
        <v>27</v>
      </c>
      <c r="D372" s="1">
        <f t="shared" si="15"/>
        <v>55993.991594411818</v>
      </c>
      <c r="E372" s="1">
        <v>33.349534550000001</v>
      </c>
      <c r="F372" s="1">
        <v>-111.7554258</v>
      </c>
      <c r="G372" s="1" t="s">
        <v>37</v>
      </c>
      <c r="H372" s="1" t="str">
        <f t="shared" si="16"/>
        <v>AZ</v>
      </c>
      <c r="I372" s="1">
        <f t="shared" si="17"/>
        <v>1</v>
      </c>
    </row>
    <row r="373" spans="1:9" x14ac:dyDescent="0.2">
      <c r="A373" s="1" t="s">
        <v>438</v>
      </c>
      <c r="B373" s="1">
        <v>121690.21</v>
      </c>
      <c r="C373" s="1" t="s">
        <v>27</v>
      </c>
      <c r="D373" s="1">
        <f t="shared" si="15"/>
        <v>55993.991594411818</v>
      </c>
      <c r="E373" s="1">
        <v>33.277857130000001</v>
      </c>
      <c r="F373" s="1">
        <v>-111.7546057</v>
      </c>
      <c r="G373" s="1" t="s">
        <v>37</v>
      </c>
      <c r="H373" s="1" t="str">
        <f t="shared" si="16"/>
        <v>AZ</v>
      </c>
      <c r="I373" s="1">
        <f t="shared" si="17"/>
        <v>1</v>
      </c>
    </row>
    <row r="374" spans="1:9" x14ac:dyDescent="0.2">
      <c r="A374" s="1" t="s">
        <v>439</v>
      </c>
      <c r="B374" s="1">
        <v>45617.66</v>
      </c>
      <c r="C374" s="1" t="s">
        <v>27</v>
      </c>
      <c r="D374" s="1">
        <f t="shared" si="15"/>
        <v>55993.991594411818</v>
      </c>
      <c r="E374" s="1">
        <v>33.364526769999998</v>
      </c>
      <c r="F374" s="1">
        <v>-111.7556726</v>
      </c>
      <c r="G374" s="1" t="s">
        <v>37</v>
      </c>
      <c r="H374" s="1" t="str">
        <f t="shared" si="16"/>
        <v>AZ</v>
      </c>
      <c r="I374" s="1">
        <f t="shared" si="17"/>
        <v>0</v>
      </c>
    </row>
    <row r="375" spans="1:9" x14ac:dyDescent="0.2">
      <c r="A375" s="1" t="s">
        <v>440</v>
      </c>
      <c r="B375" s="1">
        <v>122273.08</v>
      </c>
      <c r="C375" s="1" t="s">
        <v>27</v>
      </c>
      <c r="D375" s="1">
        <f t="shared" si="15"/>
        <v>55993.991594411818</v>
      </c>
      <c r="E375" s="1">
        <v>33.238979999999998</v>
      </c>
      <c r="F375" s="1">
        <v>-111.72681</v>
      </c>
      <c r="G375" s="1" t="s">
        <v>37</v>
      </c>
      <c r="H375" s="1" t="str">
        <f t="shared" si="16"/>
        <v>AZ</v>
      </c>
      <c r="I375" s="1">
        <f t="shared" si="17"/>
        <v>1</v>
      </c>
    </row>
    <row r="376" spans="1:9" x14ac:dyDescent="0.2">
      <c r="A376" s="1" t="s">
        <v>441</v>
      </c>
      <c r="C376" s="1" t="s">
        <v>27</v>
      </c>
      <c r="D376" s="1">
        <f t="shared" si="15"/>
        <v>55993.991594411818</v>
      </c>
      <c r="E376" s="1">
        <v>33.378962870000002</v>
      </c>
      <c r="F376" s="1">
        <v>-111.751463</v>
      </c>
      <c r="G376" s="1" t="s">
        <v>37</v>
      </c>
      <c r="H376" s="1" t="str">
        <f t="shared" si="16"/>
        <v>AZ</v>
      </c>
      <c r="I376" s="1">
        <f t="shared" si="17"/>
        <v>0</v>
      </c>
    </row>
    <row r="377" spans="1:9" x14ac:dyDescent="0.2">
      <c r="A377" s="1" t="s">
        <v>442</v>
      </c>
      <c r="B377" s="1">
        <v>110354.88</v>
      </c>
      <c r="C377" s="1" t="s">
        <v>27</v>
      </c>
      <c r="D377" s="1">
        <f t="shared" si="15"/>
        <v>55993.991594411818</v>
      </c>
      <c r="E377" s="1">
        <v>33.335162869999998</v>
      </c>
      <c r="F377" s="1">
        <v>-111.80804000000001</v>
      </c>
      <c r="G377" s="1" t="s">
        <v>37</v>
      </c>
      <c r="H377" s="1" t="str">
        <f t="shared" si="16"/>
        <v>AZ</v>
      </c>
      <c r="I377" s="1">
        <f t="shared" si="17"/>
        <v>1</v>
      </c>
    </row>
    <row r="378" spans="1:9" x14ac:dyDescent="0.2">
      <c r="A378" s="1" t="s">
        <v>443</v>
      </c>
      <c r="B378" s="1">
        <v>151919.98000000001</v>
      </c>
      <c r="C378" s="1" t="s">
        <v>27</v>
      </c>
      <c r="D378" s="1">
        <f t="shared" si="15"/>
        <v>55993.991594411818</v>
      </c>
      <c r="E378" s="1">
        <v>33.376719979999997</v>
      </c>
      <c r="F378" s="1">
        <v>-111.7220619</v>
      </c>
      <c r="G378" s="1" t="s">
        <v>37</v>
      </c>
      <c r="H378" s="1" t="str">
        <f t="shared" si="16"/>
        <v>AZ</v>
      </c>
      <c r="I378" s="1">
        <f t="shared" si="17"/>
        <v>1</v>
      </c>
    </row>
    <row r="379" spans="1:9" x14ac:dyDescent="0.2">
      <c r="A379" s="1" t="s">
        <v>444</v>
      </c>
      <c r="B379" s="1">
        <v>146492.51999999999</v>
      </c>
      <c r="C379" s="1" t="s">
        <v>27</v>
      </c>
      <c r="D379" s="1">
        <f t="shared" si="15"/>
        <v>55993.991594411818</v>
      </c>
      <c r="E379" s="1">
        <v>33.378782870000002</v>
      </c>
      <c r="F379" s="1">
        <v>-111.7917521</v>
      </c>
      <c r="G379" s="1" t="s">
        <v>37</v>
      </c>
      <c r="H379" s="1" t="str">
        <f t="shared" si="16"/>
        <v>AZ</v>
      </c>
      <c r="I379" s="1">
        <f t="shared" si="17"/>
        <v>1</v>
      </c>
    </row>
    <row r="380" spans="1:9" x14ac:dyDescent="0.2">
      <c r="A380" s="1" t="s">
        <v>445</v>
      </c>
      <c r="B380" s="1">
        <v>94412.96</v>
      </c>
      <c r="C380" s="1" t="s">
        <v>27</v>
      </c>
      <c r="D380" s="1">
        <f t="shared" si="15"/>
        <v>55993.991594411818</v>
      </c>
      <c r="E380" s="1">
        <v>33.337380000000003</v>
      </c>
      <c r="F380" s="1">
        <v>-111.7559041</v>
      </c>
      <c r="G380" s="1" t="s">
        <v>37</v>
      </c>
      <c r="H380" s="1" t="str">
        <f t="shared" si="16"/>
        <v>AZ</v>
      </c>
      <c r="I380" s="1">
        <f t="shared" si="17"/>
        <v>1</v>
      </c>
    </row>
    <row r="381" spans="1:9" x14ac:dyDescent="0.2">
      <c r="A381" s="1" t="s">
        <v>446</v>
      </c>
      <c r="B381" s="1">
        <v>89257.73</v>
      </c>
      <c r="C381" s="1" t="s">
        <v>27</v>
      </c>
      <c r="D381" s="1">
        <f t="shared" si="15"/>
        <v>55993.991594411818</v>
      </c>
      <c r="E381" s="1" t="s">
        <v>11</v>
      </c>
      <c r="F381" s="1" t="s">
        <v>11</v>
      </c>
      <c r="G381" s="1" t="s">
        <v>37</v>
      </c>
      <c r="H381" s="1" t="str">
        <f t="shared" si="16"/>
        <v>AZ</v>
      </c>
      <c r="I381" s="1">
        <f t="shared" si="17"/>
        <v>1</v>
      </c>
    </row>
    <row r="382" spans="1:9" x14ac:dyDescent="0.2">
      <c r="A382" s="1" t="s">
        <v>447</v>
      </c>
      <c r="B382" s="1">
        <v>197276.16</v>
      </c>
      <c r="C382" s="1" t="s">
        <v>27</v>
      </c>
      <c r="D382" s="1">
        <f t="shared" si="15"/>
        <v>55993.991594411818</v>
      </c>
      <c r="E382" s="1">
        <v>33.306629999999998</v>
      </c>
      <c r="F382" s="1">
        <v>-111.73753000000001</v>
      </c>
      <c r="G382" s="1" t="s">
        <v>37</v>
      </c>
      <c r="H382" s="1" t="str">
        <f t="shared" si="16"/>
        <v>AZ</v>
      </c>
      <c r="I382" s="1">
        <f t="shared" si="17"/>
        <v>1</v>
      </c>
    </row>
    <row r="383" spans="1:9" x14ac:dyDescent="0.2">
      <c r="A383" s="1" t="s">
        <v>448</v>
      </c>
      <c r="B383" s="1">
        <v>141728</v>
      </c>
      <c r="C383" s="1" t="s">
        <v>27</v>
      </c>
      <c r="D383" s="1">
        <f t="shared" si="15"/>
        <v>55993.991594411818</v>
      </c>
      <c r="E383" s="1">
        <v>33.232536670000002</v>
      </c>
      <c r="F383" s="1">
        <v>-111.72075390000001</v>
      </c>
      <c r="G383" s="1" t="s">
        <v>37</v>
      </c>
      <c r="H383" s="1" t="str">
        <f t="shared" si="16"/>
        <v>AZ</v>
      </c>
      <c r="I383" s="1">
        <f t="shared" si="17"/>
        <v>1</v>
      </c>
    </row>
    <row r="384" spans="1:9" x14ac:dyDescent="0.2">
      <c r="A384" s="1" t="s">
        <v>449</v>
      </c>
      <c r="B384" s="1">
        <v>99252.86</v>
      </c>
      <c r="C384" s="1" t="s">
        <v>27</v>
      </c>
      <c r="D384" s="1">
        <f t="shared" si="15"/>
        <v>55993.991594411818</v>
      </c>
      <c r="E384" s="1">
        <v>33.30622726</v>
      </c>
      <c r="F384" s="1">
        <v>-111.78822839999999</v>
      </c>
      <c r="G384" s="1" t="s">
        <v>37</v>
      </c>
      <c r="H384" s="1" t="str">
        <f t="shared" si="16"/>
        <v>AZ</v>
      </c>
      <c r="I384" s="1">
        <f t="shared" si="17"/>
        <v>1</v>
      </c>
    </row>
    <row r="385" spans="1:9" x14ac:dyDescent="0.2">
      <c r="A385" s="1" t="s">
        <v>450</v>
      </c>
      <c r="B385" s="1">
        <v>106059.57</v>
      </c>
      <c r="C385" s="1" t="s">
        <v>27</v>
      </c>
      <c r="D385" s="1">
        <f t="shared" si="15"/>
        <v>55993.991594411818</v>
      </c>
      <c r="E385" s="1">
        <v>33.292296729999997</v>
      </c>
      <c r="F385" s="1">
        <v>-111.719397</v>
      </c>
      <c r="G385" s="1" t="s">
        <v>37</v>
      </c>
      <c r="H385" s="1" t="str">
        <f t="shared" si="16"/>
        <v>AZ</v>
      </c>
      <c r="I385" s="1">
        <f t="shared" si="17"/>
        <v>1</v>
      </c>
    </row>
    <row r="386" spans="1:9" x14ac:dyDescent="0.2">
      <c r="A386" s="1" t="s">
        <v>451</v>
      </c>
      <c r="B386" s="1">
        <v>42103.75</v>
      </c>
      <c r="C386" s="1" t="s">
        <v>27</v>
      </c>
      <c r="D386" s="1">
        <f t="shared" si="15"/>
        <v>55993.991594411818</v>
      </c>
      <c r="E386" s="1">
        <v>33.27761769</v>
      </c>
      <c r="F386" s="1">
        <v>-111.78938599999999</v>
      </c>
      <c r="G386" s="1" t="s">
        <v>37</v>
      </c>
      <c r="H386" s="1" t="str">
        <f t="shared" si="16"/>
        <v>AZ</v>
      </c>
      <c r="I386" s="1">
        <f t="shared" si="17"/>
        <v>0</v>
      </c>
    </row>
    <row r="387" spans="1:9" x14ac:dyDescent="0.2">
      <c r="A387" s="1" t="s">
        <v>452</v>
      </c>
      <c r="B387" s="1">
        <v>51076.53</v>
      </c>
      <c r="C387" s="1" t="s">
        <v>27</v>
      </c>
      <c r="D387" s="1">
        <f t="shared" ref="D387:D450" si="18">AVERAGEIFS($B:$B,$C:$C,$C387)</f>
        <v>55993.991594411818</v>
      </c>
      <c r="E387" s="1">
        <v>33.298442880000003</v>
      </c>
      <c r="F387" s="1">
        <v>-111.7458247</v>
      </c>
      <c r="G387" s="1" t="s">
        <v>37</v>
      </c>
      <c r="H387" s="1" t="str">
        <f t="shared" ref="H387:H450" si="19">TRIM(_xlfn.TEXTAFTER(A387, ",", -1))</f>
        <v>AZ</v>
      </c>
      <c r="I387" s="1">
        <f t="shared" ref="I387:I450" si="20">IF(B387&gt;D387,1,0)</f>
        <v>0</v>
      </c>
    </row>
    <row r="388" spans="1:9" x14ac:dyDescent="0.2">
      <c r="A388" s="1" t="s">
        <v>453</v>
      </c>
      <c r="B388" s="1">
        <v>35431.839999999997</v>
      </c>
      <c r="C388" s="1" t="s">
        <v>27</v>
      </c>
      <c r="D388" s="1">
        <f t="shared" si="18"/>
        <v>55993.991594411818</v>
      </c>
      <c r="E388" s="1">
        <v>33.348432000000003</v>
      </c>
      <c r="F388" s="1">
        <v>-111.75591420000001</v>
      </c>
      <c r="G388" s="1" t="s">
        <v>37</v>
      </c>
      <c r="H388" s="1" t="str">
        <f t="shared" si="19"/>
        <v>AZ</v>
      </c>
      <c r="I388" s="1">
        <f t="shared" si="20"/>
        <v>0</v>
      </c>
    </row>
    <row r="389" spans="1:9" x14ac:dyDescent="0.2">
      <c r="A389" s="1" t="s">
        <v>454</v>
      </c>
      <c r="B389" s="1">
        <v>27439.77</v>
      </c>
      <c r="C389" s="1" t="s">
        <v>27</v>
      </c>
      <c r="D389" s="1">
        <f t="shared" si="18"/>
        <v>55993.991594411818</v>
      </c>
      <c r="E389" s="1">
        <v>33.379072870000002</v>
      </c>
      <c r="F389" s="1">
        <v>-111.72332</v>
      </c>
      <c r="G389" s="1" t="s">
        <v>37</v>
      </c>
      <c r="H389" s="1" t="str">
        <f t="shared" si="19"/>
        <v>AZ</v>
      </c>
      <c r="I389" s="1">
        <f t="shared" si="20"/>
        <v>0</v>
      </c>
    </row>
    <row r="390" spans="1:9" x14ac:dyDescent="0.2">
      <c r="A390" s="1" t="s">
        <v>455</v>
      </c>
      <c r="B390" s="1">
        <v>107379.22</v>
      </c>
      <c r="C390" s="1" t="s">
        <v>27</v>
      </c>
      <c r="D390" s="1">
        <f t="shared" si="18"/>
        <v>55993.991594411818</v>
      </c>
      <c r="E390" s="1">
        <v>33.27873889</v>
      </c>
      <c r="F390" s="1">
        <v>-111.789396</v>
      </c>
      <c r="G390" s="1" t="s">
        <v>37</v>
      </c>
      <c r="H390" s="1" t="str">
        <f t="shared" si="19"/>
        <v>AZ</v>
      </c>
      <c r="I390" s="1">
        <f t="shared" si="20"/>
        <v>1</v>
      </c>
    </row>
    <row r="391" spans="1:9" x14ac:dyDescent="0.2">
      <c r="A391" s="1" t="s">
        <v>456</v>
      </c>
      <c r="B391" s="1">
        <v>61732.14</v>
      </c>
      <c r="C391" s="1" t="s">
        <v>27</v>
      </c>
      <c r="D391" s="1">
        <f t="shared" si="18"/>
        <v>55993.991594411818</v>
      </c>
      <c r="E391" s="1">
        <v>33.33544294</v>
      </c>
      <c r="F391" s="1">
        <v>-111.75766470000001</v>
      </c>
      <c r="G391" s="1" t="s">
        <v>37</v>
      </c>
      <c r="H391" s="1" t="str">
        <f t="shared" si="19"/>
        <v>AZ</v>
      </c>
      <c r="I391" s="1">
        <f t="shared" si="20"/>
        <v>1</v>
      </c>
    </row>
    <row r="392" spans="1:9" x14ac:dyDescent="0.2">
      <c r="A392" s="1" t="s">
        <v>457</v>
      </c>
      <c r="B392" s="1">
        <v>12324.17</v>
      </c>
      <c r="C392" s="1" t="s">
        <v>27</v>
      </c>
      <c r="D392" s="1">
        <f t="shared" si="18"/>
        <v>55993.991594411818</v>
      </c>
      <c r="E392" s="1">
        <v>33.233961299999997</v>
      </c>
      <c r="F392" s="1">
        <v>-111.7197843</v>
      </c>
      <c r="G392" s="1" t="s">
        <v>37</v>
      </c>
      <c r="H392" s="1" t="str">
        <f t="shared" si="19"/>
        <v>AZ</v>
      </c>
      <c r="I392" s="1">
        <f t="shared" si="20"/>
        <v>0</v>
      </c>
    </row>
    <row r="393" spans="1:9" x14ac:dyDescent="0.2">
      <c r="A393" s="1" t="s">
        <v>458</v>
      </c>
      <c r="B393" s="1">
        <v>3908.66</v>
      </c>
      <c r="C393" s="1" t="s">
        <v>27</v>
      </c>
      <c r="D393" s="1">
        <f t="shared" si="18"/>
        <v>55993.991594411818</v>
      </c>
      <c r="E393" s="1" t="s">
        <v>11</v>
      </c>
      <c r="F393" s="1" t="s">
        <v>11</v>
      </c>
      <c r="G393" s="1" t="s">
        <v>37</v>
      </c>
      <c r="H393" s="1" t="str">
        <f t="shared" si="19"/>
        <v>AZ</v>
      </c>
      <c r="I393" s="1">
        <f t="shared" si="20"/>
        <v>0</v>
      </c>
    </row>
    <row r="394" spans="1:9" x14ac:dyDescent="0.2">
      <c r="A394" s="1" t="s">
        <v>459</v>
      </c>
      <c r="B394" s="1">
        <v>12205.28</v>
      </c>
      <c r="C394" s="1" t="s">
        <v>27</v>
      </c>
      <c r="D394" s="1">
        <f t="shared" si="18"/>
        <v>55993.991594411818</v>
      </c>
      <c r="E394" s="1">
        <v>33.336309999999997</v>
      </c>
      <c r="F394" s="1">
        <v>-111.8067659</v>
      </c>
      <c r="G394" s="1" t="s">
        <v>37</v>
      </c>
      <c r="H394" s="1" t="str">
        <f t="shared" si="19"/>
        <v>AZ</v>
      </c>
      <c r="I394" s="1">
        <f t="shared" si="20"/>
        <v>0</v>
      </c>
    </row>
    <row r="395" spans="1:9" x14ac:dyDescent="0.2">
      <c r="A395" s="1" t="s">
        <v>460</v>
      </c>
      <c r="B395" s="1">
        <v>11071.13</v>
      </c>
      <c r="C395" s="1" t="s">
        <v>27</v>
      </c>
      <c r="D395" s="1">
        <f t="shared" si="18"/>
        <v>55993.991594411818</v>
      </c>
      <c r="E395" s="1">
        <v>33.364572870000003</v>
      </c>
      <c r="F395" s="1">
        <v>-111.7570784</v>
      </c>
      <c r="G395" s="1" t="s">
        <v>37</v>
      </c>
      <c r="H395" s="1" t="str">
        <f t="shared" si="19"/>
        <v>AZ</v>
      </c>
      <c r="I395" s="1">
        <f t="shared" si="20"/>
        <v>0</v>
      </c>
    </row>
    <row r="396" spans="1:9" x14ac:dyDescent="0.2">
      <c r="A396" s="1" t="s">
        <v>461</v>
      </c>
      <c r="B396" s="1">
        <v>10621.62</v>
      </c>
      <c r="C396" s="1" t="s">
        <v>27</v>
      </c>
      <c r="D396" s="1">
        <f t="shared" si="18"/>
        <v>55993.991594411818</v>
      </c>
      <c r="E396" s="1">
        <v>33.37882287</v>
      </c>
      <c r="F396" s="1">
        <v>-111.7826238</v>
      </c>
      <c r="G396" s="1" t="s">
        <v>37</v>
      </c>
      <c r="H396" s="1" t="str">
        <f t="shared" si="19"/>
        <v>AZ</v>
      </c>
      <c r="I396" s="1">
        <f t="shared" si="20"/>
        <v>0</v>
      </c>
    </row>
    <row r="397" spans="1:9" x14ac:dyDescent="0.2">
      <c r="A397" s="1" t="s">
        <v>462</v>
      </c>
      <c r="B397" s="1">
        <v>7832.74</v>
      </c>
      <c r="C397" s="1" t="s">
        <v>27</v>
      </c>
      <c r="D397" s="1">
        <f t="shared" si="18"/>
        <v>55993.991594411818</v>
      </c>
      <c r="E397" s="1">
        <v>33.335439170000001</v>
      </c>
      <c r="F397" s="1">
        <v>-111.755388</v>
      </c>
      <c r="G397" s="1" t="s">
        <v>37</v>
      </c>
      <c r="H397" s="1" t="str">
        <f t="shared" si="19"/>
        <v>AZ</v>
      </c>
      <c r="I397" s="1">
        <f t="shared" si="20"/>
        <v>0</v>
      </c>
    </row>
    <row r="398" spans="1:9" x14ac:dyDescent="0.2">
      <c r="A398" s="1" t="s">
        <v>463</v>
      </c>
      <c r="B398" s="1">
        <v>12913.48</v>
      </c>
      <c r="C398" s="1" t="s">
        <v>27</v>
      </c>
      <c r="D398" s="1">
        <f t="shared" si="18"/>
        <v>55993.991594411818</v>
      </c>
      <c r="E398" s="1">
        <v>33.307416250000003</v>
      </c>
      <c r="F398" s="1">
        <v>-111.7726859</v>
      </c>
      <c r="G398" s="1" t="s">
        <v>37</v>
      </c>
      <c r="H398" s="1" t="str">
        <f t="shared" si="19"/>
        <v>AZ</v>
      </c>
      <c r="I398" s="1">
        <f t="shared" si="20"/>
        <v>0</v>
      </c>
    </row>
    <row r="399" spans="1:9" x14ac:dyDescent="0.2">
      <c r="A399" s="1" t="s">
        <v>464</v>
      </c>
      <c r="B399" s="1">
        <v>11111.88</v>
      </c>
      <c r="C399" s="1" t="s">
        <v>27</v>
      </c>
      <c r="D399" s="1">
        <f t="shared" si="18"/>
        <v>55993.991594411818</v>
      </c>
      <c r="E399" s="1">
        <v>33.364402990000002</v>
      </c>
      <c r="F399" s="1">
        <v>-111.7220179</v>
      </c>
      <c r="G399" s="1" t="s">
        <v>37</v>
      </c>
      <c r="H399" s="1" t="str">
        <f t="shared" si="19"/>
        <v>AZ</v>
      </c>
      <c r="I399" s="1">
        <f t="shared" si="20"/>
        <v>0</v>
      </c>
    </row>
    <row r="400" spans="1:9" x14ac:dyDescent="0.2">
      <c r="A400" s="1" t="s">
        <v>465</v>
      </c>
      <c r="B400" s="1">
        <v>9354.6299999999992</v>
      </c>
      <c r="C400" s="1" t="s">
        <v>27</v>
      </c>
      <c r="D400" s="1">
        <f t="shared" si="18"/>
        <v>55993.991594411818</v>
      </c>
      <c r="E400" s="1">
        <v>33.364647130000002</v>
      </c>
      <c r="F400" s="1">
        <v>-111.79146</v>
      </c>
      <c r="G400" s="1" t="s">
        <v>37</v>
      </c>
      <c r="H400" s="1" t="str">
        <f t="shared" si="19"/>
        <v>AZ</v>
      </c>
      <c r="I400" s="1">
        <f t="shared" si="20"/>
        <v>0</v>
      </c>
    </row>
    <row r="401" spans="1:9" x14ac:dyDescent="0.2">
      <c r="A401" s="1" t="s">
        <v>466</v>
      </c>
      <c r="B401" s="1">
        <v>20229.96</v>
      </c>
      <c r="C401" s="1" t="s">
        <v>27</v>
      </c>
      <c r="D401" s="1">
        <f t="shared" si="18"/>
        <v>55993.991594411818</v>
      </c>
      <c r="E401" s="1">
        <v>33.266587010000002</v>
      </c>
      <c r="F401" s="1">
        <v>-111.6860968</v>
      </c>
      <c r="G401" s="1" t="s">
        <v>37</v>
      </c>
      <c r="H401" s="1" t="str">
        <f t="shared" si="19"/>
        <v>AZ</v>
      </c>
      <c r="I401" s="1">
        <f t="shared" si="20"/>
        <v>0</v>
      </c>
    </row>
    <row r="402" spans="1:9" x14ac:dyDescent="0.2">
      <c r="A402" s="1" t="s">
        <v>467</v>
      </c>
      <c r="B402" s="1">
        <v>16454.7</v>
      </c>
      <c r="C402" s="1" t="s">
        <v>27</v>
      </c>
      <c r="D402" s="1">
        <f t="shared" si="18"/>
        <v>55993.991594411818</v>
      </c>
      <c r="E402" s="1">
        <v>33.30574</v>
      </c>
      <c r="F402" s="1">
        <v>-111.72091589999999</v>
      </c>
      <c r="G402" s="1" t="s">
        <v>37</v>
      </c>
      <c r="H402" s="1" t="str">
        <f t="shared" si="19"/>
        <v>AZ</v>
      </c>
      <c r="I402" s="1">
        <f t="shared" si="20"/>
        <v>0</v>
      </c>
    </row>
    <row r="403" spans="1:9" x14ac:dyDescent="0.2">
      <c r="A403" s="1" t="s">
        <v>468</v>
      </c>
      <c r="B403" s="1">
        <v>19100.18</v>
      </c>
      <c r="C403" s="1" t="s">
        <v>27</v>
      </c>
      <c r="D403" s="1">
        <f t="shared" si="18"/>
        <v>55993.991594411818</v>
      </c>
      <c r="E403" s="1">
        <v>33.27748287</v>
      </c>
      <c r="F403" s="1">
        <v>-111.71978</v>
      </c>
      <c r="G403" s="1" t="s">
        <v>37</v>
      </c>
      <c r="H403" s="1" t="str">
        <f t="shared" si="19"/>
        <v>AZ</v>
      </c>
      <c r="I403" s="1">
        <f t="shared" si="20"/>
        <v>0</v>
      </c>
    </row>
    <row r="404" spans="1:9" x14ac:dyDescent="0.2">
      <c r="A404" s="1" t="s">
        <v>469</v>
      </c>
      <c r="B404" s="1">
        <v>36269.69</v>
      </c>
      <c r="C404" s="1" t="s">
        <v>27</v>
      </c>
      <c r="D404" s="1">
        <f t="shared" si="18"/>
        <v>55993.991594411818</v>
      </c>
      <c r="E404" s="1">
        <v>33.567365389999999</v>
      </c>
      <c r="F404" s="1">
        <v>-112.186842</v>
      </c>
      <c r="G404" s="1" t="s">
        <v>38</v>
      </c>
      <c r="H404" s="1" t="str">
        <f t="shared" si="19"/>
        <v>AZ</v>
      </c>
      <c r="I404" s="1">
        <f t="shared" si="20"/>
        <v>0</v>
      </c>
    </row>
    <row r="405" spans="1:9" x14ac:dyDescent="0.2">
      <c r="A405" s="1" t="s">
        <v>470</v>
      </c>
      <c r="B405" s="1">
        <v>44528.78</v>
      </c>
      <c r="C405" s="1" t="s">
        <v>27</v>
      </c>
      <c r="D405" s="1">
        <f t="shared" si="18"/>
        <v>55993.991594411818</v>
      </c>
      <c r="E405" s="1" t="s">
        <v>11</v>
      </c>
      <c r="F405" s="1" t="s">
        <v>11</v>
      </c>
      <c r="G405" s="1" t="s">
        <v>38</v>
      </c>
      <c r="H405" s="1" t="str">
        <f t="shared" si="19"/>
        <v>AZ</v>
      </c>
      <c r="I405" s="1">
        <f t="shared" si="20"/>
        <v>0</v>
      </c>
    </row>
    <row r="406" spans="1:9" x14ac:dyDescent="0.2">
      <c r="A406" s="1" t="s">
        <v>471</v>
      </c>
      <c r="B406" s="1">
        <v>7309.19</v>
      </c>
      <c r="C406" s="1" t="s">
        <v>27</v>
      </c>
      <c r="D406" s="1">
        <f t="shared" si="18"/>
        <v>55993.991594411818</v>
      </c>
      <c r="E406" s="1">
        <v>33.665866360000003</v>
      </c>
      <c r="F406" s="1">
        <v>-112.20324479999999</v>
      </c>
      <c r="G406" s="1" t="s">
        <v>38</v>
      </c>
      <c r="H406" s="1" t="str">
        <f t="shared" si="19"/>
        <v>AZ</v>
      </c>
      <c r="I406" s="1">
        <f t="shared" si="20"/>
        <v>0</v>
      </c>
    </row>
    <row r="407" spans="1:9" x14ac:dyDescent="0.2">
      <c r="A407" s="1" t="s">
        <v>472</v>
      </c>
      <c r="B407" s="1">
        <v>41501.410000000003</v>
      </c>
      <c r="C407" s="1" t="s">
        <v>27</v>
      </c>
      <c r="D407" s="1">
        <f t="shared" si="18"/>
        <v>55993.991594411818</v>
      </c>
      <c r="E407" s="1">
        <v>33.596467130000001</v>
      </c>
      <c r="F407" s="1">
        <v>-112.16744</v>
      </c>
      <c r="G407" s="1" t="s">
        <v>38</v>
      </c>
      <c r="H407" s="1" t="str">
        <f t="shared" si="19"/>
        <v>AZ</v>
      </c>
      <c r="I407" s="1">
        <f t="shared" si="20"/>
        <v>0</v>
      </c>
    </row>
    <row r="408" spans="1:9" x14ac:dyDescent="0.2">
      <c r="A408" s="1" t="s">
        <v>473</v>
      </c>
      <c r="B408" s="1">
        <v>33986.449999999997</v>
      </c>
      <c r="C408" s="1" t="s">
        <v>27</v>
      </c>
      <c r="D408" s="1">
        <f t="shared" si="18"/>
        <v>55993.991594411818</v>
      </c>
      <c r="E408" s="1">
        <v>33.525402739999997</v>
      </c>
      <c r="F408" s="1">
        <v>-112.1864345</v>
      </c>
      <c r="G408" s="1" t="s">
        <v>38</v>
      </c>
      <c r="H408" s="1" t="str">
        <f t="shared" si="19"/>
        <v>AZ</v>
      </c>
      <c r="I408" s="1">
        <f t="shared" si="20"/>
        <v>0</v>
      </c>
    </row>
    <row r="409" spans="1:9" x14ac:dyDescent="0.2">
      <c r="A409" s="1" t="s">
        <v>474</v>
      </c>
      <c r="B409" s="1">
        <v>29545.01</v>
      </c>
      <c r="C409" s="1" t="s">
        <v>27</v>
      </c>
      <c r="D409" s="1">
        <f t="shared" si="18"/>
        <v>55993.991594411818</v>
      </c>
      <c r="E409" s="1">
        <v>33.536199340000003</v>
      </c>
      <c r="F409" s="1">
        <v>-112.2203169</v>
      </c>
      <c r="G409" s="1" t="s">
        <v>38</v>
      </c>
      <c r="H409" s="1" t="str">
        <f t="shared" si="19"/>
        <v>AZ</v>
      </c>
      <c r="I409" s="1">
        <f t="shared" si="20"/>
        <v>0</v>
      </c>
    </row>
    <row r="410" spans="1:9" x14ac:dyDescent="0.2">
      <c r="A410" s="1" t="s">
        <v>475</v>
      </c>
      <c r="B410" s="1">
        <v>41723.230000000003</v>
      </c>
      <c r="C410" s="1" t="s">
        <v>27</v>
      </c>
      <c r="D410" s="1">
        <f t="shared" si="18"/>
        <v>55993.991594411818</v>
      </c>
      <c r="E410" s="1">
        <v>33.54175231</v>
      </c>
      <c r="F410" s="1">
        <v>-112.1894515</v>
      </c>
      <c r="G410" s="1" t="s">
        <v>38</v>
      </c>
      <c r="H410" s="1" t="str">
        <f t="shared" si="19"/>
        <v>AZ</v>
      </c>
      <c r="I410" s="1">
        <f t="shared" si="20"/>
        <v>0</v>
      </c>
    </row>
    <row r="411" spans="1:9" x14ac:dyDescent="0.2">
      <c r="A411" s="1" t="s">
        <v>476</v>
      </c>
      <c r="B411" s="1">
        <v>47804.44</v>
      </c>
      <c r="C411" s="1" t="s">
        <v>27</v>
      </c>
      <c r="D411" s="1">
        <f t="shared" si="18"/>
        <v>55993.991594411818</v>
      </c>
      <c r="E411" s="1">
        <v>33.581735590000001</v>
      </c>
      <c r="F411" s="1">
        <v>-112.1679355</v>
      </c>
      <c r="G411" s="1" t="s">
        <v>38</v>
      </c>
      <c r="H411" s="1" t="str">
        <f t="shared" si="19"/>
        <v>AZ</v>
      </c>
      <c r="I411" s="1">
        <f t="shared" si="20"/>
        <v>0</v>
      </c>
    </row>
    <row r="412" spans="1:9" x14ac:dyDescent="0.2">
      <c r="A412" s="1" t="s">
        <v>477</v>
      </c>
      <c r="B412" s="1">
        <v>56777.3</v>
      </c>
      <c r="C412" s="1" t="s">
        <v>27</v>
      </c>
      <c r="D412" s="1">
        <f t="shared" si="18"/>
        <v>55993.991594411818</v>
      </c>
      <c r="E412" s="1">
        <v>33.536739650000001</v>
      </c>
      <c r="F412" s="1">
        <v>-112.3570181</v>
      </c>
      <c r="G412" s="1" t="s">
        <v>38</v>
      </c>
      <c r="H412" s="1" t="str">
        <f t="shared" si="19"/>
        <v>AZ</v>
      </c>
      <c r="I412" s="1">
        <f t="shared" si="20"/>
        <v>1</v>
      </c>
    </row>
    <row r="413" spans="1:9" x14ac:dyDescent="0.2">
      <c r="A413" s="1" t="s">
        <v>478</v>
      </c>
      <c r="B413" s="1">
        <v>33054.74</v>
      </c>
      <c r="C413" s="1" t="s">
        <v>27</v>
      </c>
      <c r="D413" s="1">
        <f t="shared" si="18"/>
        <v>55993.991594411818</v>
      </c>
      <c r="E413" s="1">
        <v>33.523922890000001</v>
      </c>
      <c r="F413" s="1">
        <v>-112.1869473</v>
      </c>
      <c r="G413" s="1" t="s">
        <v>38</v>
      </c>
      <c r="H413" s="1" t="str">
        <f t="shared" si="19"/>
        <v>AZ</v>
      </c>
      <c r="I413" s="1">
        <f t="shared" si="20"/>
        <v>0</v>
      </c>
    </row>
    <row r="414" spans="1:9" x14ac:dyDescent="0.2">
      <c r="A414" s="1" t="s">
        <v>479</v>
      </c>
      <c r="B414" s="1">
        <v>38170.51</v>
      </c>
      <c r="C414" s="1" t="s">
        <v>27</v>
      </c>
      <c r="D414" s="1">
        <f t="shared" si="18"/>
        <v>55993.991594411818</v>
      </c>
      <c r="E414" s="1">
        <v>33.638906720000001</v>
      </c>
      <c r="F414" s="1">
        <v>-112.18654220000001</v>
      </c>
      <c r="G414" s="1" t="s">
        <v>38</v>
      </c>
      <c r="H414" s="1" t="str">
        <f t="shared" si="19"/>
        <v>AZ</v>
      </c>
      <c r="I414" s="1">
        <f t="shared" si="20"/>
        <v>0</v>
      </c>
    </row>
    <row r="415" spans="1:9" x14ac:dyDescent="0.2">
      <c r="A415" s="1" t="s">
        <v>480</v>
      </c>
      <c r="B415" s="1">
        <v>32912.94</v>
      </c>
      <c r="C415" s="1" t="s">
        <v>27</v>
      </c>
      <c r="D415" s="1">
        <f t="shared" si="18"/>
        <v>55993.991594411818</v>
      </c>
      <c r="E415" s="1">
        <v>33.56755252</v>
      </c>
      <c r="F415" s="1">
        <v>-112.16046350000001</v>
      </c>
      <c r="G415" s="1" t="s">
        <v>38</v>
      </c>
      <c r="H415" s="1" t="str">
        <f t="shared" si="19"/>
        <v>AZ</v>
      </c>
      <c r="I415" s="1">
        <f t="shared" si="20"/>
        <v>0</v>
      </c>
    </row>
    <row r="416" spans="1:9" x14ac:dyDescent="0.2">
      <c r="A416" s="1" t="s">
        <v>481</v>
      </c>
      <c r="B416" s="1">
        <v>66189.179999999993</v>
      </c>
      <c r="C416" s="1" t="s">
        <v>27</v>
      </c>
      <c r="D416" s="1">
        <f t="shared" si="18"/>
        <v>55993.991594411818</v>
      </c>
      <c r="E416" s="1">
        <v>33.509757100000002</v>
      </c>
      <c r="F416" s="1">
        <v>-112.1857634</v>
      </c>
      <c r="G416" s="1" t="s">
        <v>38</v>
      </c>
      <c r="H416" s="1" t="str">
        <f t="shared" si="19"/>
        <v>AZ</v>
      </c>
      <c r="I416" s="1">
        <f t="shared" si="20"/>
        <v>1</v>
      </c>
    </row>
    <row r="417" spans="1:9" x14ac:dyDescent="0.2">
      <c r="A417" s="1" t="s">
        <v>482</v>
      </c>
      <c r="B417" s="1">
        <v>82318.69</v>
      </c>
      <c r="C417" s="1" t="s">
        <v>27</v>
      </c>
      <c r="D417" s="1">
        <f t="shared" si="18"/>
        <v>55993.991594411818</v>
      </c>
      <c r="E417" s="1">
        <v>33.538252989999997</v>
      </c>
      <c r="F417" s="1">
        <v>-112.1516632</v>
      </c>
      <c r="G417" s="1" t="s">
        <v>38</v>
      </c>
      <c r="H417" s="1" t="str">
        <f t="shared" si="19"/>
        <v>AZ</v>
      </c>
      <c r="I417" s="1">
        <f t="shared" si="20"/>
        <v>1</v>
      </c>
    </row>
    <row r="418" spans="1:9" x14ac:dyDescent="0.2">
      <c r="A418" s="1" t="s">
        <v>483</v>
      </c>
      <c r="B418" s="1">
        <v>75545.47</v>
      </c>
      <c r="C418" s="1" t="s">
        <v>27</v>
      </c>
      <c r="D418" s="1">
        <f t="shared" si="18"/>
        <v>55993.991594411818</v>
      </c>
      <c r="E418" s="1">
        <v>33.567352870000001</v>
      </c>
      <c r="F418" s="1">
        <v>-112.1703725</v>
      </c>
      <c r="G418" s="1" t="s">
        <v>38</v>
      </c>
      <c r="H418" s="1" t="str">
        <f t="shared" si="19"/>
        <v>AZ</v>
      </c>
      <c r="I418" s="1">
        <f t="shared" si="20"/>
        <v>1</v>
      </c>
    </row>
    <row r="419" spans="1:9" x14ac:dyDescent="0.2">
      <c r="A419" s="1" t="s">
        <v>484</v>
      </c>
      <c r="B419" s="1">
        <v>111588.94</v>
      </c>
      <c r="C419" s="1" t="s">
        <v>27</v>
      </c>
      <c r="D419" s="1">
        <f t="shared" si="18"/>
        <v>55993.991594411818</v>
      </c>
      <c r="E419" s="1">
        <v>33.536551879999998</v>
      </c>
      <c r="F419" s="1">
        <v>-112.33932590000001</v>
      </c>
      <c r="G419" s="1" t="s">
        <v>38</v>
      </c>
      <c r="H419" s="1" t="str">
        <f t="shared" si="19"/>
        <v>AZ</v>
      </c>
      <c r="I419" s="1">
        <f t="shared" si="20"/>
        <v>1</v>
      </c>
    </row>
    <row r="420" spans="1:9" x14ac:dyDescent="0.2">
      <c r="A420" s="1" t="s">
        <v>485</v>
      </c>
      <c r="B420" s="1">
        <v>49398.47</v>
      </c>
      <c r="C420" s="1" t="s">
        <v>27</v>
      </c>
      <c r="D420" s="1">
        <f t="shared" si="18"/>
        <v>55993.991594411818</v>
      </c>
      <c r="E420" s="1">
        <v>33.712001829999998</v>
      </c>
      <c r="F420" s="1">
        <v>-112.13519479999999</v>
      </c>
      <c r="G420" s="1" t="s">
        <v>38</v>
      </c>
      <c r="H420" s="1" t="str">
        <f t="shared" si="19"/>
        <v>AZ</v>
      </c>
      <c r="I420" s="1">
        <f t="shared" si="20"/>
        <v>0</v>
      </c>
    </row>
    <row r="421" spans="1:9" x14ac:dyDescent="0.2">
      <c r="A421" s="1" t="s">
        <v>486</v>
      </c>
      <c r="B421" s="1">
        <v>53207.05</v>
      </c>
      <c r="C421" s="1" t="s">
        <v>27</v>
      </c>
      <c r="D421" s="1">
        <f t="shared" si="18"/>
        <v>55993.991594411818</v>
      </c>
      <c r="E421" s="1">
        <v>33.710803749999997</v>
      </c>
      <c r="F421" s="1">
        <v>-112.2029651</v>
      </c>
      <c r="G421" s="1" t="s">
        <v>38</v>
      </c>
      <c r="H421" s="1" t="str">
        <f t="shared" si="19"/>
        <v>AZ</v>
      </c>
      <c r="I421" s="1">
        <f t="shared" si="20"/>
        <v>0</v>
      </c>
    </row>
    <row r="422" spans="1:9" x14ac:dyDescent="0.2">
      <c r="A422" s="1" t="s">
        <v>487</v>
      </c>
      <c r="B422" s="1">
        <v>83756.740000000005</v>
      </c>
      <c r="C422" s="1" t="s">
        <v>27</v>
      </c>
      <c r="D422" s="1">
        <f t="shared" si="18"/>
        <v>55993.991594411818</v>
      </c>
      <c r="E422" s="1">
        <v>33.537103999999999</v>
      </c>
      <c r="F422" s="1">
        <v>-112.23783450000001</v>
      </c>
      <c r="G422" s="1" t="s">
        <v>38</v>
      </c>
      <c r="H422" s="1" t="str">
        <f t="shared" si="19"/>
        <v>AZ</v>
      </c>
      <c r="I422" s="1">
        <f t="shared" si="20"/>
        <v>1</v>
      </c>
    </row>
    <row r="423" spans="1:9" x14ac:dyDescent="0.2">
      <c r="A423" s="1" t="s">
        <v>488</v>
      </c>
      <c r="B423" s="1">
        <v>56909.73</v>
      </c>
      <c r="C423" s="1" t="s">
        <v>27</v>
      </c>
      <c r="D423" s="1">
        <f t="shared" si="18"/>
        <v>55993.991594411818</v>
      </c>
      <c r="E423" s="1">
        <v>33.668859230000002</v>
      </c>
      <c r="F423" s="1">
        <v>-112.18648520000001</v>
      </c>
      <c r="G423" s="1" t="s">
        <v>38</v>
      </c>
      <c r="H423" s="1" t="str">
        <f t="shared" si="19"/>
        <v>AZ</v>
      </c>
      <c r="I423" s="1">
        <f t="shared" si="20"/>
        <v>1</v>
      </c>
    </row>
    <row r="424" spans="1:9" x14ac:dyDescent="0.2">
      <c r="A424" s="1" t="s">
        <v>489</v>
      </c>
      <c r="B424" s="1">
        <v>45617.41</v>
      </c>
      <c r="C424" s="1" t="s">
        <v>27</v>
      </c>
      <c r="D424" s="1">
        <f t="shared" si="18"/>
        <v>55993.991594411818</v>
      </c>
      <c r="E424" s="1">
        <v>33.567647129999997</v>
      </c>
      <c r="F424" s="1">
        <v>-112.1853078</v>
      </c>
      <c r="G424" s="1" t="s">
        <v>38</v>
      </c>
      <c r="H424" s="1" t="str">
        <f t="shared" si="19"/>
        <v>AZ</v>
      </c>
      <c r="I424" s="1">
        <f t="shared" si="20"/>
        <v>0</v>
      </c>
    </row>
    <row r="425" spans="1:9" x14ac:dyDescent="0.2">
      <c r="A425" s="1" t="s">
        <v>490</v>
      </c>
      <c r="B425" s="1">
        <v>49888.67</v>
      </c>
      <c r="C425" s="1" t="s">
        <v>27</v>
      </c>
      <c r="D425" s="1">
        <f t="shared" si="18"/>
        <v>55993.991594411818</v>
      </c>
      <c r="E425" s="1">
        <v>33.596176110000002</v>
      </c>
      <c r="F425" s="1">
        <v>-112.1856823</v>
      </c>
      <c r="G425" s="1" t="s">
        <v>38</v>
      </c>
      <c r="H425" s="1" t="str">
        <f t="shared" si="19"/>
        <v>AZ</v>
      </c>
      <c r="I425" s="1">
        <f t="shared" si="20"/>
        <v>0</v>
      </c>
    </row>
    <row r="426" spans="1:9" x14ac:dyDescent="0.2">
      <c r="A426" s="1" t="s">
        <v>491</v>
      </c>
      <c r="B426" s="1">
        <v>66297.789999999994</v>
      </c>
      <c r="C426" s="1" t="s">
        <v>27</v>
      </c>
      <c r="D426" s="1">
        <f t="shared" si="18"/>
        <v>55993.991594411818</v>
      </c>
      <c r="E426" s="1">
        <v>33.668598430000003</v>
      </c>
      <c r="F426" s="1">
        <v>-112.2027659</v>
      </c>
      <c r="G426" s="1" t="s">
        <v>38</v>
      </c>
      <c r="H426" s="1" t="str">
        <f t="shared" si="19"/>
        <v>AZ</v>
      </c>
      <c r="I426" s="1">
        <f t="shared" si="20"/>
        <v>1</v>
      </c>
    </row>
    <row r="427" spans="1:9" x14ac:dyDescent="0.2">
      <c r="A427" s="1" t="s">
        <v>492</v>
      </c>
      <c r="B427" s="1">
        <v>132703.57</v>
      </c>
      <c r="C427" s="1" t="s">
        <v>27</v>
      </c>
      <c r="D427" s="1">
        <f t="shared" si="18"/>
        <v>55993.991594411818</v>
      </c>
      <c r="E427" s="1">
        <v>33.550892869999998</v>
      </c>
      <c r="F427" s="1">
        <v>-112.29017</v>
      </c>
      <c r="G427" s="1" t="s">
        <v>38</v>
      </c>
      <c r="H427" s="1" t="str">
        <f t="shared" si="19"/>
        <v>AZ</v>
      </c>
      <c r="I427" s="1">
        <f t="shared" si="20"/>
        <v>1</v>
      </c>
    </row>
    <row r="428" spans="1:9" x14ac:dyDescent="0.2">
      <c r="A428" s="1" t="s">
        <v>493</v>
      </c>
      <c r="B428" s="1">
        <v>32346.76</v>
      </c>
      <c r="C428" s="1" t="s">
        <v>27</v>
      </c>
      <c r="D428" s="1">
        <f t="shared" si="18"/>
        <v>55993.991594411818</v>
      </c>
      <c r="E428" s="1">
        <v>33.624923099999997</v>
      </c>
      <c r="F428" s="1">
        <v>-112.2022303</v>
      </c>
      <c r="G428" s="1" t="s">
        <v>38</v>
      </c>
      <c r="H428" s="1" t="str">
        <f t="shared" si="19"/>
        <v>AZ</v>
      </c>
      <c r="I428" s="1">
        <f t="shared" si="20"/>
        <v>0</v>
      </c>
    </row>
    <row r="429" spans="1:9" x14ac:dyDescent="0.2">
      <c r="A429" s="1" t="s">
        <v>494</v>
      </c>
      <c r="B429" s="1">
        <v>52556.41</v>
      </c>
      <c r="C429" s="1" t="s">
        <v>27</v>
      </c>
      <c r="D429" s="1">
        <f t="shared" si="18"/>
        <v>55993.991594411818</v>
      </c>
      <c r="E429" s="1">
        <v>33.532179999999997</v>
      </c>
      <c r="F429" s="1">
        <v>-112.30898999999999</v>
      </c>
      <c r="G429" s="1" t="s">
        <v>38</v>
      </c>
      <c r="H429" s="1" t="str">
        <f t="shared" si="19"/>
        <v>AZ</v>
      </c>
      <c r="I429" s="1">
        <f t="shared" si="20"/>
        <v>0</v>
      </c>
    </row>
    <row r="430" spans="1:9" x14ac:dyDescent="0.2">
      <c r="A430" s="1" t="s">
        <v>495</v>
      </c>
      <c r="B430" s="1">
        <v>85566.64</v>
      </c>
      <c r="C430" s="1" t="s">
        <v>27</v>
      </c>
      <c r="D430" s="1">
        <f t="shared" si="18"/>
        <v>55993.991594411818</v>
      </c>
      <c r="E430" s="1">
        <v>33.52379371</v>
      </c>
      <c r="F430" s="1">
        <v>-112.1531718</v>
      </c>
      <c r="G430" s="1" t="s">
        <v>38</v>
      </c>
      <c r="H430" s="1" t="str">
        <f t="shared" si="19"/>
        <v>AZ</v>
      </c>
      <c r="I430" s="1">
        <f t="shared" si="20"/>
        <v>1</v>
      </c>
    </row>
    <row r="431" spans="1:9" x14ac:dyDescent="0.2">
      <c r="A431" s="1" t="s">
        <v>496</v>
      </c>
      <c r="B431" s="1">
        <v>89453.15</v>
      </c>
      <c r="C431" s="1" t="s">
        <v>27</v>
      </c>
      <c r="D431" s="1">
        <f t="shared" si="18"/>
        <v>55993.991594411818</v>
      </c>
      <c r="E431" s="1">
        <v>33.524023509999999</v>
      </c>
      <c r="F431" s="1">
        <v>-112.2033706</v>
      </c>
      <c r="G431" s="1" t="s">
        <v>38</v>
      </c>
      <c r="H431" s="1" t="str">
        <f t="shared" si="19"/>
        <v>AZ</v>
      </c>
      <c r="I431" s="1">
        <f t="shared" si="20"/>
        <v>1</v>
      </c>
    </row>
    <row r="432" spans="1:9" x14ac:dyDescent="0.2">
      <c r="A432" s="1" t="s">
        <v>497</v>
      </c>
      <c r="B432" s="1">
        <v>125766.99</v>
      </c>
      <c r="C432" s="1" t="s">
        <v>27</v>
      </c>
      <c r="D432" s="1">
        <f t="shared" si="18"/>
        <v>55993.991594411818</v>
      </c>
      <c r="E432" s="1">
        <v>33.531739999999999</v>
      </c>
      <c r="F432" s="1">
        <v>-112.17795</v>
      </c>
      <c r="G432" s="1" t="s">
        <v>38</v>
      </c>
      <c r="H432" s="1" t="str">
        <f t="shared" si="19"/>
        <v>AZ</v>
      </c>
      <c r="I432" s="1">
        <f t="shared" si="20"/>
        <v>1</v>
      </c>
    </row>
    <row r="433" spans="1:9" x14ac:dyDescent="0.2">
      <c r="A433" s="1" t="s">
        <v>498</v>
      </c>
      <c r="B433" s="1">
        <v>96954.8</v>
      </c>
      <c r="C433" s="1" t="s">
        <v>27</v>
      </c>
      <c r="D433" s="1">
        <f t="shared" si="18"/>
        <v>55993.991594411818</v>
      </c>
      <c r="E433" s="1">
        <v>33.567685509999997</v>
      </c>
      <c r="F433" s="1">
        <v>-112.1698731</v>
      </c>
      <c r="G433" s="1" t="s">
        <v>38</v>
      </c>
      <c r="H433" s="1" t="str">
        <f t="shared" si="19"/>
        <v>AZ</v>
      </c>
      <c r="I433" s="1">
        <f t="shared" si="20"/>
        <v>1</v>
      </c>
    </row>
    <row r="434" spans="1:9" x14ac:dyDescent="0.2">
      <c r="A434" s="1" t="s">
        <v>499</v>
      </c>
      <c r="B434" s="1">
        <v>90745.87</v>
      </c>
      <c r="C434" s="1" t="s">
        <v>27</v>
      </c>
      <c r="D434" s="1">
        <f t="shared" si="18"/>
        <v>55993.991594411818</v>
      </c>
      <c r="E434" s="1">
        <v>33.639072900000002</v>
      </c>
      <c r="F434" s="1">
        <v>-112.15286639999999</v>
      </c>
      <c r="G434" s="1" t="s">
        <v>38</v>
      </c>
      <c r="H434" s="1" t="str">
        <f t="shared" si="19"/>
        <v>AZ</v>
      </c>
      <c r="I434" s="1">
        <f t="shared" si="20"/>
        <v>1</v>
      </c>
    </row>
    <row r="435" spans="1:9" x14ac:dyDescent="0.2">
      <c r="A435" s="1" t="s">
        <v>500</v>
      </c>
      <c r="B435" s="1">
        <v>98529.919999999998</v>
      </c>
      <c r="C435" s="1" t="s">
        <v>27</v>
      </c>
      <c r="D435" s="1">
        <f t="shared" si="18"/>
        <v>55993.991594411818</v>
      </c>
      <c r="E435" s="1">
        <v>33.610552869999999</v>
      </c>
      <c r="F435" s="1">
        <v>-112.1836117</v>
      </c>
      <c r="G435" s="1" t="s">
        <v>38</v>
      </c>
      <c r="H435" s="1" t="str">
        <f t="shared" si="19"/>
        <v>AZ</v>
      </c>
      <c r="I435" s="1">
        <f t="shared" si="20"/>
        <v>1</v>
      </c>
    </row>
    <row r="436" spans="1:9" x14ac:dyDescent="0.2">
      <c r="A436" s="1" t="s">
        <v>501</v>
      </c>
      <c r="B436" s="1">
        <v>66671.88</v>
      </c>
      <c r="C436" s="1" t="s">
        <v>27</v>
      </c>
      <c r="D436" s="1">
        <f t="shared" si="18"/>
        <v>55993.991594411818</v>
      </c>
      <c r="E436" s="1">
        <v>33.669020830000001</v>
      </c>
      <c r="F436" s="1">
        <v>-112.18700459999999</v>
      </c>
      <c r="G436" s="1" t="s">
        <v>38</v>
      </c>
      <c r="H436" s="1" t="str">
        <f t="shared" si="19"/>
        <v>AZ</v>
      </c>
      <c r="I436" s="1">
        <f t="shared" si="20"/>
        <v>1</v>
      </c>
    </row>
    <row r="437" spans="1:9" x14ac:dyDescent="0.2">
      <c r="A437" s="1" t="s">
        <v>502</v>
      </c>
      <c r="B437" s="1">
        <v>131107.32</v>
      </c>
      <c r="C437" s="1" t="s">
        <v>27</v>
      </c>
      <c r="D437" s="1">
        <f t="shared" si="18"/>
        <v>55993.991594411818</v>
      </c>
      <c r="E437" s="1">
        <v>33.638210479999998</v>
      </c>
      <c r="F437" s="1">
        <v>-112.1990417</v>
      </c>
      <c r="G437" s="1" t="s">
        <v>38</v>
      </c>
      <c r="H437" s="1" t="str">
        <f t="shared" si="19"/>
        <v>AZ</v>
      </c>
      <c r="I437" s="1">
        <f t="shared" si="20"/>
        <v>1</v>
      </c>
    </row>
    <row r="438" spans="1:9" x14ac:dyDescent="0.2">
      <c r="A438" s="1" t="s">
        <v>503</v>
      </c>
      <c r="B438" s="1">
        <v>70673.039999999994</v>
      </c>
      <c r="C438" s="1" t="s">
        <v>27</v>
      </c>
      <c r="D438" s="1">
        <f t="shared" si="18"/>
        <v>55993.991594411818</v>
      </c>
      <c r="E438" s="1">
        <v>33.711992870000003</v>
      </c>
      <c r="F438" s="1">
        <v>-112.20144999999999</v>
      </c>
      <c r="G438" s="1" t="s">
        <v>38</v>
      </c>
      <c r="H438" s="1" t="str">
        <f t="shared" si="19"/>
        <v>AZ</v>
      </c>
      <c r="I438" s="1">
        <f t="shared" si="20"/>
        <v>1</v>
      </c>
    </row>
    <row r="439" spans="1:9" x14ac:dyDescent="0.2">
      <c r="A439" s="1" t="s">
        <v>504</v>
      </c>
      <c r="B439" s="1">
        <v>44961.07</v>
      </c>
      <c r="C439" s="1" t="s">
        <v>27</v>
      </c>
      <c r="D439" s="1">
        <f t="shared" si="18"/>
        <v>55993.991594411818</v>
      </c>
      <c r="E439" s="1">
        <v>33.668623429999997</v>
      </c>
      <c r="F439" s="1">
        <v>-112.2027665</v>
      </c>
      <c r="G439" s="1" t="s">
        <v>38</v>
      </c>
      <c r="H439" s="1" t="str">
        <f t="shared" si="19"/>
        <v>AZ</v>
      </c>
      <c r="I439" s="1">
        <f t="shared" si="20"/>
        <v>0</v>
      </c>
    </row>
    <row r="440" spans="1:9" x14ac:dyDescent="0.2">
      <c r="A440" s="1" t="s">
        <v>505</v>
      </c>
      <c r="B440" s="1">
        <v>88843.83</v>
      </c>
      <c r="C440" s="1" t="s">
        <v>27</v>
      </c>
      <c r="D440" s="1">
        <f t="shared" si="18"/>
        <v>55993.991594411818</v>
      </c>
      <c r="E440" s="1">
        <v>33.697479999999999</v>
      </c>
      <c r="F440" s="1">
        <v>-112.176</v>
      </c>
      <c r="G440" s="1" t="s">
        <v>38</v>
      </c>
      <c r="H440" s="1" t="str">
        <f t="shared" si="19"/>
        <v>AZ</v>
      </c>
      <c r="I440" s="1">
        <f t="shared" si="20"/>
        <v>1</v>
      </c>
    </row>
    <row r="441" spans="1:9" x14ac:dyDescent="0.2">
      <c r="A441" s="1" t="s">
        <v>506</v>
      </c>
      <c r="B441" s="1">
        <v>90909.72</v>
      </c>
      <c r="C441" s="1" t="s">
        <v>27</v>
      </c>
      <c r="D441" s="1">
        <f t="shared" si="18"/>
        <v>55993.991594411818</v>
      </c>
      <c r="E441" s="1">
        <v>33.551809830000003</v>
      </c>
      <c r="F441" s="1">
        <v>-112.26039830000001</v>
      </c>
      <c r="G441" s="1" t="s">
        <v>38</v>
      </c>
      <c r="H441" s="1" t="str">
        <f t="shared" si="19"/>
        <v>AZ</v>
      </c>
      <c r="I441" s="1">
        <f t="shared" si="20"/>
        <v>1</v>
      </c>
    </row>
    <row r="442" spans="1:9" x14ac:dyDescent="0.2">
      <c r="A442" s="1" t="s">
        <v>507</v>
      </c>
      <c r="B442" s="1">
        <v>73507.22</v>
      </c>
      <c r="C442" s="1" t="s">
        <v>27</v>
      </c>
      <c r="D442" s="1">
        <f t="shared" si="18"/>
        <v>55993.991594411818</v>
      </c>
      <c r="E442" s="1">
        <v>33.580792219999999</v>
      </c>
      <c r="F442" s="1">
        <v>-112.1516846</v>
      </c>
      <c r="G442" s="1" t="s">
        <v>38</v>
      </c>
      <c r="H442" s="1" t="str">
        <f t="shared" si="19"/>
        <v>AZ</v>
      </c>
      <c r="I442" s="1">
        <f t="shared" si="20"/>
        <v>1</v>
      </c>
    </row>
    <row r="443" spans="1:9" x14ac:dyDescent="0.2">
      <c r="A443" s="1" t="s">
        <v>508</v>
      </c>
      <c r="B443" s="1">
        <v>9899.0300000000007</v>
      </c>
      <c r="C443" s="1" t="s">
        <v>27</v>
      </c>
      <c r="D443" s="1">
        <f t="shared" si="18"/>
        <v>55993.991594411818</v>
      </c>
      <c r="E443" s="1">
        <v>33.524160000000002</v>
      </c>
      <c r="F443" s="1">
        <v>-112.2033145</v>
      </c>
      <c r="G443" s="1" t="s">
        <v>38</v>
      </c>
      <c r="H443" s="1" t="str">
        <f t="shared" si="19"/>
        <v>AZ</v>
      </c>
      <c r="I443" s="1">
        <f t="shared" si="20"/>
        <v>0</v>
      </c>
    </row>
    <row r="444" spans="1:9" x14ac:dyDescent="0.2">
      <c r="A444" s="1" t="s">
        <v>509</v>
      </c>
      <c r="B444" s="1">
        <v>22985.33</v>
      </c>
      <c r="C444" s="1" t="s">
        <v>27</v>
      </c>
      <c r="D444" s="1">
        <f t="shared" si="18"/>
        <v>55993.991594411818</v>
      </c>
      <c r="E444" s="1">
        <v>33.653040390000001</v>
      </c>
      <c r="F444" s="1">
        <v>-112.20277369999999</v>
      </c>
      <c r="G444" s="1" t="s">
        <v>38</v>
      </c>
      <c r="H444" s="1" t="str">
        <f t="shared" si="19"/>
        <v>AZ</v>
      </c>
      <c r="I444" s="1">
        <f t="shared" si="20"/>
        <v>0</v>
      </c>
    </row>
    <row r="445" spans="1:9" x14ac:dyDescent="0.2">
      <c r="A445" s="1" t="s">
        <v>510</v>
      </c>
      <c r="B445" s="1">
        <v>17572.37</v>
      </c>
      <c r="C445" s="1" t="s">
        <v>27</v>
      </c>
      <c r="D445" s="1">
        <f t="shared" si="18"/>
        <v>55993.991594411818</v>
      </c>
      <c r="E445" s="1">
        <v>33.638841829999997</v>
      </c>
      <c r="F445" s="1">
        <v>-112.1669526</v>
      </c>
      <c r="G445" s="1" t="s">
        <v>38</v>
      </c>
      <c r="H445" s="1" t="str">
        <f t="shared" si="19"/>
        <v>AZ</v>
      </c>
      <c r="I445" s="1">
        <f t="shared" si="20"/>
        <v>0</v>
      </c>
    </row>
    <row r="446" spans="1:9" x14ac:dyDescent="0.2">
      <c r="A446" s="1" t="s">
        <v>511</v>
      </c>
      <c r="B446" s="1">
        <v>11216.34</v>
      </c>
      <c r="C446" s="1" t="s">
        <v>27</v>
      </c>
      <c r="D446" s="1">
        <f t="shared" si="18"/>
        <v>55993.991594411818</v>
      </c>
      <c r="E446" s="1">
        <v>33.610592869999998</v>
      </c>
      <c r="F446" s="1">
        <v>-112.17664000000001</v>
      </c>
      <c r="G446" s="1" t="s">
        <v>38</v>
      </c>
      <c r="H446" s="1" t="str">
        <f t="shared" si="19"/>
        <v>AZ</v>
      </c>
      <c r="I446" s="1">
        <f t="shared" si="20"/>
        <v>0</v>
      </c>
    </row>
    <row r="447" spans="1:9" x14ac:dyDescent="0.2">
      <c r="A447" s="1" t="s">
        <v>512</v>
      </c>
      <c r="B447" s="1">
        <v>17423.63</v>
      </c>
      <c r="C447" s="1" t="s">
        <v>27</v>
      </c>
      <c r="D447" s="1">
        <f t="shared" si="18"/>
        <v>55993.991594411818</v>
      </c>
      <c r="E447" s="1">
        <v>33.581702870000001</v>
      </c>
      <c r="F447" s="1">
        <v>-112.18592</v>
      </c>
      <c r="G447" s="1" t="s">
        <v>38</v>
      </c>
      <c r="H447" s="1" t="str">
        <f t="shared" si="19"/>
        <v>AZ</v>
      </c>
      <c r="I447" s="1">
        <f t="shared" si="20"/>
        <v>0</v>
      </c>
    </row>
    <row r="448" spans="1:9" x14ac:dyDescent="0.2">
      <c r="A448" s="1" t="s">
        <v>513</v>
      </c>
      <c r="B448" s="1">
        <v>15327.89</v>
      </c>
      <c r="C448" s="1" t="s">
        <v>27</v>
      </c>
      <c r="D448" s="1">
        <f t="shared" si="18"/>
        <v>55993.991594411818</v>
      </c>
      <c r="E448" s="1">
        <v>33.552922870000003</v>
      </c>
      <c r="F448" s="1">
        <v>-112.16928420000001</v>
      </c>
      <c r="G448" s="1" t="s">
        <v>38</v>
      </c>
      <c r="H448" s="1" t="str">
        <f t="shared" si="19"/>
        <v>AZ</v>
      </c>
      <c r="I448" s="1">
        <f t="shared" si="20"/>
        <v>0</v>
      </c>
    </row>
    <row r="449" spans="1:9" x14ac:dyDescent="0.2">
      <c r="A449" s="1" t="s">
        <v>514</v>
      </c>
      <c r="B449" s="1">
        <v>12414.25</v>
      </c>
      <c r="C449" s="1" t="s">
        <v>27</v>
      </c>
      <c r="D449" s="1">
        <f t="shared" si="18"/>
        <v>55993.991594411818</v>
      </c>
      <c r="E449" s="1">
        <v>33.684019999999997</v>
      </c>
      <c r="F449" s="1">
        <v>-112.2032548</v>
      </c>
      <c r="G449" s="1" t="s">
        <v>38</v>
      </c>
      <c r="H449" s="1" t="str">
        <f t="shared" si="19"/>
        <v>AZ</v>
      </c>
      <c r="I449" s="1">
        <f t="shared" si="20"/>
        <v>0</v>
      </c>
    </row>
    <row r="450" spans="1:9" x14ac:dyDescent="0.2">
      <c r="A450" s="1" t="s">
        <v>515</v>
      </c>
      <c r="B450" s="1">
        <v>29675.88</v>
      </c>
      <c r="C450" s="1" t="s">
        <v>27</v>
      </c>
      <c r="D450" s="1">
        <f t="shared" si="18"/>
        <v>55993.991594411818</v>
      </c>
      <c r="E450" s="1">
        <v>33.682898369999997</v>
      </c>
      <c r="F450" s="1">
        <v>-112.13492479999999</v>
      </c>
      <c r="G450" s="1" t="s">
        <v>38</v>
      </c>
      <c r="H450" s="1" t="str">
        <f t="shared" si="19"/>
        <v>AZ</v>
      </c>
      <c r="I450" s="1">
        <f t="shared" si="20"/>
        <v>0</v>
      </c>
    </row>
    <row r="451" spans="1:9" x14ac:dyDescent="0.2">
      <c r="A451" s="1" t="s">
        <v>516</v>
      </c>
      <c r="B451" s="1">
        <v>31703.99</v>
      </c>
      <c r="C451" s="1" t="s">
        <v>27</v>
      </c>
      <c r="D451" s="1">
        <f t="shared" ref="D451:D514" si="21">AVERAGEIFS($B:$B,$C:$C,$C451)</f>
        <v>55993.991594411818</v>
      </c>
      <c r="E451" s="1">
        <v>33.537482869999998</v>
      </c>
      <c r="F451" s="1">
        <v>-112.2390647</v>
      </c>
      <c r="G451" s="1" t="s">
        <v>38</v>
      </c>
      <c r="H451" s="1" t="str">
        <f t="shared" ref="H451:H514" si="22">TRIM(_xlfn.TEXTAFTER(A451, ",", -1))</f>
        <v>AZ</v>
      </c>
      <c r="I451" s="1">
        <f t="shared" ref="I451:I514" si="23">IF(B451&gt;D451,1,0)</f>
        <v>0</v>
      </c>
    </row>
    <row r="452" spans="1:9" x14ac:dyDescent="0.2">
      <c r="A452" s="1" t="s">
        <v>517</v>
      </c>
      <c r="B452" s="1">
        <v>18482.810000000001</v>
      </c>
      <c r="C452" s="1" t="s">
        <v>27</v>
      </c>
      <c r="D452" s="1">
        <f t="shared" si="21"/>
        <v>55993.991594411818</v>
      </c>
      <c r="E452" s="1">
        <v>33.654352869999997</v>
      </c>
      <c r="F452" s="1">
        <v>-112.1663846</v>
      </c>
      <c r="G452" s="1" t="s">
        <v>38</v>
      </c>
      <c r="H452" s="1" t="str">
        <f t="shared" si="22"/>
        <v>AZ</v>
      </c>
      <c r="I452" s="1">
        <f t="shared" si="23"/>
        <v>0</v>
      </c>
    </row>
    <row r="453" spans="1:9" x14ac:dyDescent="0.2">
      <c r="A453" s="1" t="s">
        <v>518</v>
      </c>
      <c r="B453" s="1">
        <v>10194.52</v>
      </c>
      <c r="C453" s="1" t="s">
        <v>27</v>
      </c>
      <c r="D453" s="1">
        <f t="shared" si="21"/>
        <v>55993.991594411818</v>
      </c>
      <c r="E453" s="1">
        <v>33.567227199999998</v>
      </c>
      <c r="F453" s="1">
        <v>-112.202704</v>
      </c>
      <c r="G453" s="1" t="s">
        <v>38</v>
      </c>
      <c r="H453" s="1" t="str">
        <f t="shared" si="22"/>
        <v>AZ</v>
      </c>
      <c r="I453" s="1">
        <f t="shared" si="23"/>
        <v>0</v>
      </c>
    </row>
    <row r="454" spans="1:9" x14ac:dyDescent="0.2">
      <c r="A454" s="1" t="s">
        <v>519</v>
      </c>
      <c r="B454" s="1">
        <v>10804.32</v>
      </c>
      <c r="C454" s="1" t="s">
        <v>27</v>
      </c>
      <c r="D454" s="1">
        <f t="shared" si="21"/>
        <v>55993.991594411818</v>
      </c>
      <c r="E454" s="1">
        <v>33.596477129999997</v>
      </c>
      <c r="F454" s="1">
        <v>-112.1537235</v>
      </c>
      <c r="G454" s="1" t="s">
        <v>38</v>
      </c>
      <c r="H454" s="1" t="str">
        <f t="shared" si="22"/>
        <v>AZ</v>
      </c>
      <c r="I454" s="1">
        <f t="shared" si="23"/>
        <v>0</v>
      </c>
    </row>
    <row r="455" spans="1:9" x14ac:dyDescent="0.2">
      <c r="A455" s="1" t="s">
        <v>520</v>
      </c>
      <c r="B455" s="1">
        <v>12315.63</v>
      </c>
      <c r="C455" s="1" t="s">
        <v>27</v>
      </c>
      <c r="D455" s="1">
        <f t="shared" si="21"/>
        <v>55993.991594411818</v>
      </c>
      <c r="E455" s="1">
        <v>33.712447130000001</v>
      </c>
      <c r="F455" s="1">
        <v>-112.20104000000001</v>
      </c>
      <c r="G455" s="1" t="s">
        <v>38</v>
      </c>
      <c r="H455" s="1" t="str">
        <f t="shared" si="22"/>
        <v>AZ</v>
      </c>
      <c r="I455" s="1">
        <f t="shared" si="23"/>
        <v>0</v>
      </c>
    </row>
    <row r="456" spans="1:9" x14ac:dyDescent="0.2">
      <c r="A456" s="1" t="s">
        <v>521</v>
      </c>
      <c r="B456" s="1">
        <v>112767.82</v>
      </c>
      <c r="C456" s="1" t="s">
        <v>27</v>
      </c>
      <c r="D456" s="1">
        <f t="shared" si="21"/>
        <v>55993.991594411818</v>
      </c>
      <c r="E456" s="1" t="s">
        <v>11</v>
      </c>
      <c r="F456" s="1" t="s">
        <v>11</v>
      </c>
      <c r="G456" s="1" t="s">
        <v>39</v>
      </c>
      <c r="H456" s="1" t="str">
        <f t="shared" si="22"/>
        <v>AZ</v>
      </c>
      <c r="I456" s="1">
        <f t="shared" si="23"/>
        <v>1</v>
      </c>
    </row>
    <row r="457" spans="1:9" x14ac:dyDescent="0.2">
      <c r="A457" s="1" t="s">
        <v>522</v>
      </c>
      <c r="B457" s="1">
        <v>95464.26</v>
      </c>
      <c r="C457" s="1" t="s">
        <v>27</v>
      </c>
      <c r="D457" s="1">
        <f t="shared" si="21"/>
        <v>55993.991594411818</v>
      </c>
      <c r="E457" s="1">
        <v>33.460270000000001</v>
      </c>
      <c r="F457" s="1">
        <v>-112.35838440000001</v>
      </c>
      <c r="G457" s="1" t="s">
        <v>39</v>
      </c>
      <c r="H457" s="1" t="str">
        <f t="shared" si="22"/>
        <v>AZ</v>
      </c>
      <c r="I457" s="1">
        <f t="shared" si="23"/>
        <v>1</v>
      </c>
    </row>
    <row r="458" spans="1:9" x14ac:dyDescent="0.2">
      <c r="A458" s="1" t="s">
        <v>523</v>
      </c>
      <c r="B458" s="1">
        <v>101034.88</v>
      </c>
      <c r="C458" s="1" t="s">
        <v>27</v>
      </c>
      <c r="D458" s="1">
        <f t="shared" si="21"/>
        <v>55993.991594411818</v>
      </c>
      <c r="E458" s="1">
        <v>33.449994940000003</v>
      </c>
      <c r="F458" s="1">
        <v>-112.3579713</v>
      </c>
      <c r="G458" s="1" t="s">
        <v>39</v>
      </c>
      <c r="H458" s="1" t="str">
        <f t="shared" si="22"/>
        <v>AZ</v>
      </c>
      <c r="I458" s="1">
        <f t="shared" si="23"/>
        <v>1</v>
      </c>
    </row>
    <row r="459" spans="1:9" x14ac:dyDescent="0.2">
      <c r="A459" s="1" t="s">
        <v>524</v>
      </c>
      <c r="B459" s="1">
        <v>132823.26999999999</v>
      </c>
      <c r="C459" s="1" t="s">
        <v>27</v>
      </c>
      <c r="D459" s="1">
        <f t="shared" si="21"/>
        <v>55993.991594411818</v>
      </c>
      <c r="E459" s="1">
        <v>33.4645364</v>
      </c>
      <c r="F459" s="1">
        <v>-112.3942823</v>
      </c>
      <c r="G459" s="1" t="s">
        <v>39</v>
      </c>
      <c r="H459" s="1" t="str">
        <f t="shared" si="22"/>
        <v>AZ</v>
      </c>
      <c r="I459" s="1">
        <f t="shared" si="23"/>
        <v>1</v>
      </c>
    </row>
    <row r="460" spans="1:9" x14ac:dyDescent="0.2">
      <c r="A460" s="1" t="s">
        <v>525</v>
      </c>
      <c r="B460" s="1">
        <v>256535.71</v>
      </c>
      <c r="C460" s="1" t="s">
        <v>27</v>
      </c>
      <c r="D460" s="1">
        <f t="shared" si="21"/>
        <v>55993.991594411818</v>
      </c>
      <c r="E460" s="1">
        <v>33.435707020000002</v>
      </c>
      <c r="F460" s="1">
        <v>-112.4100917</v>
      </c>
      <c r="G460" s="1" t="s">
        <v>39</v>
      </c>
      <c r="H460" s="1" t="str">
        <f t="shared" si="22"/>
        <v>AZ</v>
      </c>
      <c r="I460" s="1">
        <f t="shared" si="23"/>
        <v>1</v>
      </c>
    </row>
    <row r="461" spans="1:9" x14ac:dyDescent="0.2">
      <c r="A461" s="1" t="s">
        <v>526</v>
      </c>
      <c r="B461" s="1">
        <v>68486.62</v>
      </c>
      <c r="C461" s="1" t="s">
        <v>27</v>
      </c>
      <c r="D461" s="1">
        <f t="shared" si="21"/>
        <v>55993.991594411818</v>
      </c>
      <c r="E461" s="1">
        <v>33.485596780000002</v>
      </c>
      <c r="F461" s="1">
        <v>-112.3641865</v>
      </c>
      <c r="G461" s="1" t="s">
        <v>39</v>
      </c>
      <c r="H461" s="1" t="str">
        <f t="shared" si="22"/>
        <v>AZ</v>
      </c>
      <c r="I461" s="1">
        <f t="shared" si="23"/>
        <v>1</v>
      </c>
    </row>
    <row r="462" spans="1:9" x14ac:dyDescent="0.2">
      <c r="A462" s="1" t="s">
        <v>527</v>
      </c>
      <c r="B462" s="1">
        <v>98809.02</v>
      </c>
      <c r="C462" s="1" t="s">
        <v>27</v>
      </c>
      <c r="D462" s="1">
        <f t="shared" si="21"/>
        <v>55993.991594411818</v>
      </c>
      <c r="E462" s="1">
        <v>33.451485630000001</v>
      </c>
      <c r="F462" s="1">
        <v>-112.3927183</v>
      </c>
      <c r="G462" s="1" t="s">
        <v>39</v>
      </c>
      <c r="H462" s="1" t="str">
        <f t="shared" si="22"/>
        <v>AZ</v>
      </c>
      <c r="I462" s="1">
        <f t="shared" si="23"/>
        <v>1</v>
      </c>
    </row>
    <row r="463" spans="1:9" x14ac:dyDescent="0.2">
      <c r="A463" s="1" t="s">
        <v>528</v>
      </c>
      <c r="B463" s="1">
        <v>86270.24</v>
      </c>
      <c r="C463" s="1" t="s">
        <v>27</v>
      </c>
      <c r="D463" s="1">
        <f t="shared" si="21"/>
        <v>55993.991594411818</v>
      </c>
      <c r="E463" s="1">
        <v>33.356885910000003</v>
      </c>
      <c r="F463" s="1">
        <v>-112.426788</v>
      </c>
      <c r="G463" s="1" t="s">
        <v>39</v>
      </c>
      <c r="H463" s="1" t="str">
        <f t="shared" si="22"/>
        <v>AZ</v>
      </c>
      <c r="I463" s="1">
        <f t="shared" si="23"/>
        <v>1</v>
      </c>
    </row>
    <row r="464" spans="1:9" x14ac:dyDescent="0.2">
      <c r="A464" s="1" t="s">
        <v>529</v>
      </c>
      <c r="B464" s="1">
        <v>139305.71</v>
      </c>
      <c r="C464" s="1" t="s">
        <v>27</v>
      </c>
      <c r="D464" s="1">
        <f t="shared" si="21"/>
        <v>55993.991594411818</v>
      </c>
      <c r="E464" s="1">
        <v>33.437478280000001</v>
      </c>
      <c r="F464" s="1">
        <v>-112.4266363</v>
      </c>
      <c r="G464" s="1" t="s">
        <v>39</v>
      </c>
      <c r="H464" s="1" t="str">
        <f t="shared" si="22"/>
        <v>AZ</v>
      </c>
      <c r="I464" s="1">
        <f t="shared" si="23"/>
        <v>1</v>
      </c>
    </row>
    <row r="465" spans="1:9" x14ac:dyDescent="0.2">
      <c r="A465" s="1" t="s">
        <v>530</v>
      </c>
      <c r="B465" s="1">
        <v>95570.33</v>
      </c>
      <c r="C465" s="1" t="s">
        <v>27</v>
      </c>
      <c r="D465" s="1">
        <f t="shared" si="21"/>
        <v>55993.991594411818</v>
      </c>
      <c r="E465" s="1">
        <v>33.463279999999997</v>
      </c>
      <c r="F465" s="1">
        <v>-112.3578156</v>
      </c>
      <c r="G465" s="1" t="s">
        <v>39</v>
      </c>
      <c r="H465" s="1" t="str">
        <f t="shared" si="22"/>
        <v>AZ</v>
      </c>
      <c r="I465" s="1">
        <f t="shared" si="23"/>
        <v>1</v>
      </c>
    </row>
    <row r="466" spans="1:9" x14ac:dyDescent="0.2">
      <c r="A466" s="1" t="s">
        <v>531</v>
      </c>
      <c r="B466" s="1">
        <v>22320.09</v>
      </c>
      <c r="C466" s="1" t="s">
        <v>27</v>
      </c>
      <c r="D466" s="1">
        <f t="shared" si="21"/>
        <v>55993.991594411818</v>
      </c>
      <c r="E466" s="1">
        <v>33.465520380000001</v>
      </c>
      <c r="F466" s="1">
        <v>-112.392714</v>
      </c>
      <c r="G466" s="1" t="s">
        <v>39</v>
      </c>
      <c r="H466" s="1" t="str">
        <f t="shared" si="22"/>
        <v>AZ</v>
      </c>
      <c r="I466" s="1">
        <f t="shared" si="23"/>
        <v>0</v>
      </c>
    </row>
    <row r="467" spans="1:9" x14ac:dyDescent="0.2">
      <c r="A467" s="1" t="s">
        <v>532</v>
      </c>
      <c r="B467" s="1">
        <v>25437.45</v>
      </c>
      <c r="C467" s="1" t="s">
        <v>27</v>
      </c>
      <c r="D467" s="1">
        <f t="shared" si="21"/>
        <v>55993.991594411818</v>
      </c>
      <c r="E467" s="1">
        <v>33.357477320000001</v>
      </c>
      <c r="F467" s="1">
        <v>-112.42576099999999</v>
      </c>
      <c r="G467" s="1" t="s">
        <v>39</v>
      </c>
      <c r="H467" s="1" t="str">
        <f t="shared" si="22"/>
        <v>AZ</v>
      </c>
      <c r="I467" s="1">
        <f t="shared" si="23"/>
        <v>0</v>
      </c>
    </row>
    <row r="468" spans="1:9" x14ac:dyDescent="0.2">
      <c r="A468" s="1" t="s">
        <v>533</v>
      </c>
      <c r="B468" s="1">
        <v>20693.759999999998</v>
      </c>
      <c r="C468" s="1" t="s">
        <v>27</v>
      </c>
      <c r="D468" s="1">
        <f t="shared" si="21"/>
        <v>55993.991594411818</v>
      </c>
      <c r="E468" s="1">
        <v>33.450560000000003</v>
      </c>
      <c r="F468" s="1">
        <v>-112.3922556</v>
      </c>
      <c r="G468" s="1" t="s">
        <v>39</v>
      </c>
      <c r="H468" s="1" t="str">
        <f t="shared" si="22"/>
        <v>AZ</v>
      </c>
      <c r="I468" s="1">
        <f t="shared" si="23"/>
        <v>0</v>
      </c>
    </row>
    <row r="469" spans="1:9" x14ac:dyDescent="0.2">
      <c r="A469" s="1" t="s">
        <v>534</v>
      </c>
      <c r="B469" s="1">
        <v>24345.65</v>
      </c>
      <c r="C469" s="1" t="s">
        <v>27</v>
      </c>
      <c r="D469" s="1">
        <f t="shared" si="21"/>
        <v>55993.991594411818</v>
      </c>
      <c r="E469" s="1">
        <v>33.485151879999997</v>
      </c>
      <c r="F469" s="1">
        <v>-112.3622469</v>
      </c>
      <c r="G469" s="1" t="s">
        <v>39</v>
      </c>
      <c r="H469" s="1" t="str">
        <f t="shared" si="22"/>
        <v>AZ</v>
      </c>
      <c r="I469" s="1">
        <f t="shared" si="23"/>
        <v>0</v>
      </c>
    </row>
    <row r="470" spans="1:9" x14ac:dyDescent="0.2">
      <c r="A470" s="1" t="s">
        <v>535</v>
      </c>
      <c r="B470" s="1">
        <v>28694.14</v>
      </c>
      <c r="C470" s="1" t="s">
        <v>27</v>
      </c>
      <c r="D470" s="1">
        <f t="shared" si="21"/>
        <v>55993.991594411818</v>
      </c>
      <c r="E470" s="1">
        <v>33.378042870000002</v>
      </c>
      <c r="F470" s="1">
        <v>-111.964555</v>
      </c>
      <c r="G470" s="1" t="s">
        <v>40</v>
      </c>
      <c r="H470" s="1" t="str">
        <f t="shared" si="22"/>
        <v>AZ</v>
      </c>
      <c r="I470" s="1">
        <f t="shared" si="23"/>
        <v>0</v>
      </c>
    </row>
    <row r="471" spans="1:9" x14ac:dyDescent="0.2">
      <c r="A471" s="1" t="s">
        <v>536</v>
      </c>
      <c r="B471" s="1">
        <v>56532.53</v>
      </c>
      <c r="C471" s="1" t="s">
        <v>27</v>
      </c>
      <c r="D471" s="1">
        <f t="shared" si="21"/>
        <v>55993.991594411818</v>
      </c>
      <c r="E471" s="1">
        <v>33.377877130000002</v>
      </c>
      <c r="F471" s="1">
        <v>-112.1348</v>
      </c>
      <c r="G471" s="1" t="s">
        <v>41</v>
      </c>
      <c r="H471" s="1" t="str">
        <f t="shared" si="22"/>
        <v>AZ</v>
      </c>
      <c r="I471" s="1">
        <f t="shared" si="23"/>
        <v>1</v>
      </c>
    </row>
    <row r="472" spans="1:9" x14ac:dyDescent="0.2">
      <c r="A472" s="1" t="s">
        <v>537</v>
      </c>
      <c r="B472" s="1">
        <v>74252</v>
      </c>
      <c r="C472" s="1" t="s">
        <v>27</v>
      </c>
      <c r="D472" s="1">
        <f t="shared" si="21"/>
        <v>55993.991594411818</v>
      </c>
      <c r="E472" s="1">
        <v>33.377767079999998</v>
      </c>
      <c r="F472" s="1">
        <v>-112.1692146</v>
      </c>
      <c r="G472" s="1" t="s">
        <v>41</v>
      </c>
      <c r="H472" s="1" t="str">
        <f t="shared" si="22"/>
        <v>AZ</v>
      </c>
      <c r="I472" s="1">
        <f t="shared" si="23"/>
        <v>1</v>
      </c>
    </row>
    <row r="473" spans="1:9" x14ac:dyDescent="0.2">
      <c r="A473" s="1" t="s">
        <v>538</v>
      </c>
      <c r="B473" s="1">
        <v>179898.56</v>
      </c>
      <c r="C473" s="1" t="s">
        <v>27</v>
      </c>
      <c r="D473" s="1">
        <f t="shared" si="21"/>
        <v>55993.991594411818</v>
      </c>
      <c r="E473" s="1">
        <v>33.377757019999997</v>
      </c>
      <c r="F473" s="1">
        <v>-112.16977660000001</v>
      </c>
      <c r="G473" s="1" t="s">
        <v>41</v>
      </c>
      <c r="H473" s="1" t="str">
        <f t="shared" si="22"/>
        <v>AZ</v>
      </c>
      <c r="I473" s="1">
        <f t="shared" si="23"/>
        <v>1</v>
      </c>
    </row>
    <row r="474" spans="1:9" x14ac:dyDescent="0.2">
      <c r="A474" s="1" t="s">
        <v>539</v>
      </c>
      <c r="B474" s="1">
        <v>83822.55</v>
      </c>
      <c r="C474" s="1" t="s">
        <v>27</v>
      </c>
      <c r="D474" s="1">
        <f t="shared" si="21"/>
        <v>55993.991594411818</v>
      </c>
      <c r="E474" s="1">
        <v>33.377352870000003</v>
      </c>
      <c r="F474" s="1">
        <v>-112.166695</v>
      </c>
      <c r="G474" s="1" t="s">
        <v>41</v>
      </c>
      <c r="H474" s="1" t="str">
        <f t="shared" si="22"/>
        <v>AZ</v>
      </c>
      <c r="I474" s="1">
        <f t="shared" si="23"/>
        <v>1</v>
      </c>
    </row>
    <row r="475" spans="1:9" x14ac:dyDescent="0.2">
      <c r="A475" s="1" t="s">
        <v>540</v>
      </c>
      <c r="B475" s="1">
        <v>19556.150000000001</v>
      </c>
      <c r="C475" s="1" t="s">
        <v>27</v>
      </c>
      <c r="D475" s="1">
        <f t="shared" si="21"/>
        <v>55993.991594411818</v>
      </c>
      <c r="E475" s="1">
        <v>33.377349959999997</v>
      </c>
      <c r="F475" s="1">
        <v>-112.16862190000001</v>
      </c>
      <c r="G475" s="1" t="s">
        <v>41</v>
      </c>
      <c r="H475" s="1" t="str">
        <f t="shared" si="22"/>
        <v>AZ</v>
      </c>
      <c r="I475" s="1">
        <f t="shared" si="23"/>
        <v>0</v>
      </c>
    </row>
    <row r="476" spans="1:9" x14ac:dyDescent="0.2">
      <c r="A476" s="1" t="s">
        <v>541</v>
      </c>
      <c r="B476" s="1">
        <v>50278.97</v>
      </c>
      <c r="C476" s="1" t="s">
        <v>27</v>
      </c>
      <c r="D476" s="1">
        <f t="shared" si="21"/>
        <v>55993.991594411818</v>
      </c>
      <c r="E476" s="1">
        <v>33.493457130000003</v>
      </c>
      <c r="F476" s="1">
        <v>-112.33861</v>
      </c>
      <c r="G476" s="1" t="s">
        <v>42</v>
      </c>
      <c r="H476" s="1" t="str">
        <f t="shared" si="22"/>
        <v>AZ</v>
      </c>
      <c r="I476" s="1">
        <f t="shared" si="23"/>
        <v>0</v>
      </c>
    </row>
    <row r="477" spans="1:9" x14ac:dyDescent="0.2">
      <c r="A477" s="1" t="s">
        <v>542</v>
      </c>
      <c r="B477" s="1">
        <v>37829.449999999997</v>
      </c>
      <c r="C477" s="1" t="s">
        <v>27</v>
      </c>
      <c r="D477" s="1">
        <f t="shared" si="21"/>
        <v>55993.991594411818</v>
      </c>
      <c r="E477" s="1">
        <v>33.509450000000001</v>
      </c>
      <c r="F477" s="1">
        <v>-112.34064549999999</v>
      </c>
      <c r="G477" s="1" t="s">
        <v>42</v>
      </c>
      <c r="H477" s="1" t="str">
        <f t="shared" si="22"/>
        <v>AZ</v>
      </c>
      <c r="I477" s="1">
        <f t="shared" si="23"/>
        <v>0</v>
      </c>
    </row>
    <row r="478" spans="1:9" x14ac:dyDescent="0.2">
      <c r="A478" s="1" t="s">
        <v>543</v>
      </c>
      <c r="B478" s="1">
        <v>67475.14</v>
      </c>
      <c r="C478" s="1" t="s">
        <v>27</v>
      </c>
      <c r="D478" s="1">
        <f t="shared" si="21"/>
        <v>55993.991594411818</v>
      </c>
      <c r="E478" s="1">
        <v>33.49344713</v>
      </c>
      <c r="F478" s="1">
        <v>-112.33984</v>
      </c>
      <c r="G478" s="1" t="s">
        <v>42</v>
      </c>
      <c r="H478" s="1" t="str">
        <f t="shared" si="22"/>
        <v>AZ</v>
      </c>
      <c r="I478" s="1">
        <f t="shared" si="23"/>
        <v>1</v>
      </c>
    </row>
    <row r="479" spans="1:9" x14ac:dyDescent="0.2">
      <c r="A479" s="1" t="s">
        <v>544</v>
      </c>
      <c r="B479" s="1">
        <v>195300.23</v>
      </c>
      <c r="C479" s="1" t="s">
        <v>27</v>
      </c>
      <c r="D479" s="1">
        <f t="shared" si="21"/>
        <v>55993.991594411818</v>
      </c>
      <c r="E479" s="1">
        <v>33.508386639999998</v>
      </c>
      <c r="F479" s="1">
        <v>-112.3546699</v>
      </c>
      <c r="G479" s="1" t="s">
        <v>42</v>
      </c>
      <c r="H479" s="1" t="str">
        <f t="shared" si="22"/>
        <v>AZ</v>
      </c>
      <c r="I479" s="1">
        <f t="shared" si="23"/>
        <v>1</v>
      </c>
    </row>
    <row r="480" spans="1:9" x14ac:dyDescent="0.2">
      <c r="A480" s="1" t="s">
        <v>545</v>
      </c>
      <c r="B480" s="1">
        <v>13442.06</v>
      </c>
      <c r="C480" s="1" t="s">
        <v>27</v>
      </c>
      <c r="D480" s="1">
        <f t="shared" si="21"/>
        <v>55993.991594411818</v>
      </c>
      <c r="E480" s="1">
        <v>33.507986289999998</v>
      </c>
      <c r="F480" s="1">
        <v>-112.33981180000001</v>
      </c>
      <c r="G480" s="1" t="s">
        <v>42</v>
      </c>
      <c r="H480" s="1" t="str">
        <f t="shared" si="22"/>
        <v>AZ</v>
      </c>
      <c r="I480" s="1">
        <f t="shared" si="23"/>
        <v>0</v>
      </c>
    </row>
    <row r="481" spans="1:9" x14ac:dyDescent="0.2">
      <c r="A481" s="1" t="s">
        <v>546</v>
      </c>
      <c r="B481" s="1">
        <v>59204.38</v>
      </c>
      <c r="C481" s="1" t="s">
        <v>27</v>
      </c>
      <c r="D481" s="1">
        <f t="shared" si="21"/>
        <v>55993.991594411818</v>
      </c>
      <c r="E481" s="1">
        <v>33.532179999999997</v>
      </c>
      <c r="F481" s="1">
        <v>-112.30898999999999</v>
      </c>
      <c r="G481" s="1" t="s">
        <v>43</v>
      </c>
      <c r="H481" s="1" t="str">
        <f t="shared" si="22"/>
        <v>AZ</v>
      </c>
      <c r="I481" s="1">
        <f t="shared" si="23"/>
        <v>1</v>
      </c>
    </row>
    <row r="482" spans="1:9" x14ac:dyDescent="0.2">
      <c r="A482" s="1" t="s">
        <v>547</v>
      </c>
      <c r="B482" s="1">
        <v>8846.0300000000007</v>
      </c>
      <c r="C482" s="1" t="s">
        <v>27</v>
      </c>
      <c r="D482" s="1">
        <f t="shared" si="21"/>
        <v>55993.991594411818</v>
      </c>
      <c r="E482" s="1">
        <v>33.532179999999997</v>
      </c>
      <c r="F482" s="1">
        <v>-112.30898999999999</v>
      </c>
      <c r="G482" s="1" t="s">
        <v>43</v>
      </c>
      <c r="H482" s="1" t="str">
        <f t="shared" si="22"/>
        <v>AZ</v>
      </c>
      <c r="I482" s="1">
        <f t="shared" si="23"/>
        <v>0</v>
      </c>
    </row>
    <row r="483" spans="1:9" x14ac:dyDescent="0.2">
      <c r="A483" s="1" t="s">
        <v>548</v>
      </c>
      <c r="C483" s="1" t="s">
        <v>27</v>
      </c>
      <c r="D483" s="1">
        <f t="shared" si="21"/>
        <v>55993.991594411818</v>
      </c>
      <c r="E483" s="1">
        <v>33.532179999999997</v>
      </c>
      <c r="F483" s="1">
        <v>-112.30898999999999</v>
      </c>
      <c r="G483" s="1" t="s">
        <v>43</v>
      </c>
      <c r="H483" s="1" t="str">
        <f t="shared" si="22"/>
        <v>AZ</v>
      </c>
      <c r="I483" s="1">
        <f t="shared" si="23"/>
        <v>0</v>
      </c>
    </row>
    <row r="484" spans="1:9" x14ac:dyDescent="0.2">
      <c r="A484" s="1" t="s">
        <v>549</v>
      </c>
      <c r="B484" s="1">
        <v>144694.07999999999</v>
      </c>
      <c r="C484" s="1" t="s">
        <v>27</v>
      </c>
      <c r="D484" s="1">
        <f t="shared" si="21"/>
        <v>55993.991594411818</v>
      </c>
      <c r="E484" s="1">
        <v>33.044355609999997</v>
      </c>
      <c r="F484" s="1">
        <v>-112.047697</v>
      </c>
      <c r="G484" s="1" t="s">
        <v>27</v>
      </c>
      <c r="H484" s="1" t="str">
        <f t="shared" si="22"/>
        <v>AZ</v>
      </c>
      <c r="I484" s="1">
        <f t="shared" si="23"/>
        <v>1</v>
      </c>
    </row>
    <row r="485" spans="1:9" x14ac:dyDescent="0.2">
      <c r="A485" s="1" t="s">
        <v>550</v>
      </c>
      <c r="B485" s="1">
        <v>87775.5</v>
      </c>
      <c r="C485" s="1" t="s">
        <v>27</v>
      </c>
      <c r="D485" s="1">
        <f t="shared" si="21"/>
        <v>55993.991594411818</v>
      </c>
      <c r="E485" s="1">
        <v>33.072008959999998</v>
      </c>
      <c r="F485" s="1">
        <v>-112.0447011</v>
      </c>
      <c r="G485" s="1" t="s">
        <v>27</v>
      </c>
      <c r="H485" s="1" t="str">
        <f t="shared" si="22"/>
        <v>AZ</v>
      </c>
      <c r="I485" s="1">
        <f t="shared" si="23"/>
        <v>1</v>
      </c>
    </row>
    <row r="486" spans="1:9" x14ac:dyDescent="0.2">
      <c r="A486" s="1" t="s">
        <v>551</v>
      </c>
      <c r="B486" s="1">
        <v>20530.53</v>
      </c>
      <c r="C486" s="1" t="s">
        <v>27</v>
      </c>
      <c r="D486" s="1">
        <f t="shared" si="21"/>
        <v>55993.991594411818</v>
      </c>
      <c r="E486" s="1">
        <v>33.072809679999999</v>
      </c>
      <c r="F486" s="1">
        <v>-112.0443023</v>
      </c>
      <c r="G486" s="1" t="s">
        <v>27</v>
      </c>
      <c r="H486" s="1" t="str">
        <f t="shared" si="22"/>
        <v>AZ</v>
      </c>
      <c r="I486" s="1">
        <f t="shared" si="23"/>
        <v>0</v>
      </c>
    </row>
    <row r="487" spans="1:9" x14ac:dyDescent="0.2">
      <c r="A487" s="1" t="s">
        <v>552</v>
      </c>
      <c r="B487" s="1">
        <v>31780.28</v>
      </c>
      <c r="C487" s="1" t="s">
        <v>27</v>
      </c>
      <c r="D487" s="1">
        <f t="shared" si="21"/>
        <v>55993.991594411818</v>
      </c>
      <c r="E487" s="1">
        <v>33.378967129999999</v>
      </c>
      <c r="F487" s="1">
        <v>-111.8490467</v>
      </c>
      <c r="G487" s="1" t="s">
        <v>44</v>
      </c>
      <c r="H487" s="1" t="str">
        <f t="shared" si="22"/>
        <v>AZ</v>
      </c>
      <c r="I487" s="1">
        <f t="shared" si="23"/>
        <v>0</v>
      </c>
    </row>
    <row r="488" spans="1:9" x14ac:dyDescent="0.2">
      <c r="A488" s="1" t="s">
        <v>553</v>
      </c>
      <c r="B488" s="1">
        <v>46303.11</v>
      </c>
      <c r="C488" s="1" t="s">
        <v>27</v>
      </c>
      <c r="D488" s="1">
        <f t="shared" si="21"/>
        <v>55993.991594411818</v>
      </c>
      <c r="E488" s="1">
        <v>33.40023635</v>
      </c>
      <c r="F488" s="1">
        <v>-111.8568166</v>
      </c>
      <c r="G488" s="1" t="s">
        <v>44</v>
      </c>
      <c r="H488" s="1" t="str">
        <f t="shared" si="22"/>
        <v>AZ</v>
      </c>
      <c r="I488" s="1">
        <f t="shared" si="23"/>
        <v>0</v>
      </c>
    </row>
    <row r="489" spans="1:9" x14ac:dyDescent="0.2">
      <c r="A489" s="1" t="s">
        <v>554</v>
      </c>
      <c r="B489" s="1">
        <v>34332.19</v>
      </c>
      <c r="C489" s="1" t="s">
        <v>27</v>
      </c>
      <c r="D489" s="1">
        <f t="shared" si="21"/>
        <v>55993.991594411818</v>
      </c>
      <c r="E489" s="1">
        <v>33.415597130000002</v>
      </c>
      <c r="F489" s="1">
        <v>-111.78791</v>
      </c>
      <c r="G489" s="1" t="s">
        <v>44</v>
      </c>
      <c r="H489" s="1" t="str">
        <f t="shared" si="22"/>
        <v>AZ</v>
      </c>
      <c r="I489" s="1">
        <f t="shared" si="23"/>
        <v>0</v>
      </c>
    </row>
    <row r="490" spans="1:9" x14ac:dyDescent="0.2">
      <c r="A490" s="1" t="s">
        <v>555</v>
      </c>
      <c r="B490" s="1">
        <v>21903.97</v>
      </c>
      <c r="C490" s="1" t="s">
        <v>27</v>
      </c>
      <c r="D490" s="1">
        <f t="shared" si="21"/>
        <v>55993.991594411818</v>
      </c>
      <c r="E490" s="1">
        <v>33.407694919999997</v>
      </c>
      <c r="F490" s="1">
        <v>-111.7880358</v>
      </c>
      <c r="G490" s="1" t="s">
        <v>44</v>
      </c>
      <c r="H490" s="1" t="str">
        <f t="shared" si="22"/>
        <v>AZ</v>
      </c>
      <c r="I490" s="1">
        <f t="shared" si="23"/>
        <v>0</v>
      </c>
    </row>
    <row r="491" spans="1:9" x14ac:dyDescent="0.2">
      <c r="A491" s="1" t="s">
        <v>556</v>
      </c>
      <c r="B491" s="1">
        <v>46435.42</v>
      </c>
      <c r="C491" s="1" t="s">
        <v>27</v>
      </c>
      <c r="D491" s="1">
        <f t="shared" si="21"/>
        <v>55993.991594411818</v>
      </c>
      <c r="E491" s="1">
        <v>33.400129999999997</v>
      </c>
      <c r="F491" s="1">
        <v>-111.8744157</v>
      </c>
      <c r="G491" s="1" t="s">
        <v>44</v>
      </c>
      <c r="H491" s="1" t="str">
        <f t="shared" si="22"/>
        <v>AZ</v>
      </c>
      <c r="I491" s="1">
        <f t="shared" si="23"/>
        <v>0</v>
      </c>
    </row>
    <row r="492" spans="1:9" x14ac:dyDescent="0.2">
      <c r="A492" s="1" t="s">
        <v>557</v>
      </c>
      <c r="B492" s="1">
        <v>5634.97</v>
      </c>
      <c r="C492" s="1" t="s">
        <v>27</v>
      </c>
      <c r="D492" s="1">
        <f t="shared" si="21"/>
        <v>55993.991594411818</v>
      </c>
      <c r="E492" s="1">
        <v>33.381781830000001</v>
      </c>
      <c r="F492" s="1">
        <v>-111.7542035</v>
      </c>
      <c r="G492" s="1" t="s">
        <v>44</v>
      </c>
      <c r="H492" s="1" t="str">
        <f t="shared" si="22"/>
        <v>AZ</v>
      </c>
      <c r="I492" s="1">
        <f t="shared" si="23"/>
        <v>0</v>
      </c>
    </row>
    <row r="493" spans="1:9" x14ac:dyDescent="0.2">
      <c r="A493" s="1" t="s">
        <v>558</v>
      </c>
      <c r="B493" s="1">
        <v>52462.82</v>
      </c>
      <c r="C493" s="1" t="s">
        <v>27</v>
      </c>
      <c r="D493" s="1">
        <f t="shared" si="21"/>
        <v>55993.991594411818</v>
      </c>
      <c r="E493" s="1">
        <v>33.378892870000001</v>
      </c>
      <c r="F493" s="1">
        <v>-111.6345671</v>
      </c>
      <c r="G493" s="1" t="s">
        <v>44</v>
      </c>
      <c r="H493" s="1" t="str">
        <f t="shared" si="22"/>
        <v>AZ</v>
      </c>
      <c r="I493" s="1">
        <f t="shared" si="23"/>
        <v>0</v>
      </c>
    </row>
    <row r="494" spans="1:9" x14ac:dyDescent="0.2">
      <c r="A494" s="1" t="s">
        <v>559</v>
      </c>
      <c r="B494" s="1">
        <v>30733.65</v>
      </c>
      <c r="C494" s="1" t="s">
        <v>27</v>
      </c>
      <c r="D494" s="1">
        <f t="shared" si="21"/>
        <v>55993.991594411818</v>
      </c>
      <c r="E494" s="1">
        <v>33.423679999999997</v>
      </c>
      <c r="F494" s="1">
        <v>-111.7534557</v>
      </c>
      <c r="G494" s="1" t="s">
        <v>44</v>
      </c>
      <c r="H494" s="1" t="str">
        <f t="shared" si="22"/>
        <v>AZ</v>
      </c>
      <c r="I494" s="1">
        <f t="shared" si="23"/>
        <v>0</v>
      </c>
    </row>
    <row r="495" spans="1:9" x14ac:dyDescent="0.2">
      <c r="A495" s="1" t="s">
        <v>560</v>
      </c>
      <c r="B495" s="1">
        <v>45501.51</v>
      </c>
      <c r="C495" s="1" t="s">
        <v>27</v>
      </c>
      <c r="D495" s="1">
        <f t="shared" si="21"/>
        <v>55993.991594411818</v>
      </c>
      <c r="E495" s="1">
        <v>33.46528473</v>
      </c>
      <c r="F495" s="1">
        <v>-111.68371569999999</v>
      </c>
      <c r="G495" s="1" t="s">
        <v>44</v>
      </c>
      <c r="H495" s="1" t="str">
        <f t="shared" si="22"/>
        <v>AZ</v>
      </c>
      <c r="I495" s="1">
        <f t="shared" si="23"/>
        <v>0</v>
      </c>
    </row>
    <row r="496" spans="1:9" x14ac:dyDescent="0.2">
      <c r="A496" s="1" t="s">
        <v>561</v>
      </c>
      <c r="B496" s="1">
        <v>27343.56</v>
      </c>
      <c r="C496" s="1" t="s">
        <v>27</v>
      </c>
      <c r="D496" s="1">
        <f t="shared" si="21"/>
        <v>55993.991594411818</v>
      </c>
      <c r="E496" s="1">
        <v>33.409861130000003</v>
      </c>
      <c r="F496" s="1">
        <v>-111.6842857</v>
      </c>
      <c r="G496" s="1" t="s">
        <v>44</v>
      </c>
      <c r="H496" s="1" t="str">
        <f t="shared" si="22"/>
        <v>AZ</v>
      </c>
      <c r="I496" s="1">
        <f t="shared" si="23"/>
        <v>0</v>
      </c>
    </row>
    <row r="497" spans="1:9" x14ac:dyDescent="0.2">
      <c r="A497" s="1" t="s">
        <v>562</v>
      </c>
      <c r="B497" s="1">
        <v>36238.730000000003</v>
      </c>
      <c r="C497" s="1" t="s">
        <v>27</v>
      </c>
      <c r="D497" s="1">
        <f t="shared" si="21"/>
        <v>55993.991594411818</v>
      </c>
      <c r="E497" s="1">
        <v>33.378352880000001</v>
      </c>
      <c r="F497" s="1">
        <v>-111.8760175</v>
      </c>
      <c r="G497" s="1" t="s">
        <v>44</v>
      </c>
      <c r="H497" s="1" t="str">
        <f t="shared" si="22"/>
        <v>AZ</v>
      </c>
      <c r="I497" s="1">
        <f t="shared" si="23"/>
        <v>0</v>
      </c>
    </row>
    <row r="498" spans="1:9" x14ac:dyDescent="0.2">
      <c r="A498" s="1" t="s">
        <v>563</v>
      </c>
      <c r="B498" s="1">
        <v>42758.18</v>
      </c>
      <c r="C498" s="1" t="s">
        <v>27</v>
      </c>
      <c r="D498" s="1">
        <f t="shared" si="21"/>
        <v>55993.991594411818</v>
      </c>
      <c r="E498" s="1">
        <v>33.435935749999999</v>
      </c>
      <c r="F498" s="1">
        <v>-111.6323664</v>
      </c>
      <c r="G498" s="1" t="s">
        <v>44</v>
      </c>
      <c r="H498" s="1" t="str">
        <f t="shared" si="22"/>
        <v>AZ</v>
      </c>
      <c r="I498" s="1">
        <f t="shared" si="23"/>
        <v>0</v>
      </c>
    </row>
    <row r="499" spans="1:9" x14ac:dyDescent="0.2">
      <c r="A499" s="1" t="s">
        <v>564</v>
      </c>
      <c r="B499" s="1">
        <v>32874.019999999997</v>
      </c>
      <c r="C499" s="1" t="s">
        <v>27</v>
      </c>
      <c r="D499" s="1">
        <f t="shared" si="21"/>
        <v>55993.991594411818</v>
      </c>
      <c r="E499" s="1">
        <v>33.378833129999997</v>
      </c>
      <c r="F499" s="1">
        <v>-111.62085980000001</v>
      </c>
      <c r="G499" s="1" t="s">
        <v>44</v>
      </c>
      <c r="H499" s="1" t="str">
        <f t="shared" si="22"/>
        <v>AZ</v>
      </c>
      <c r="I499" s="1">
        <f t="shared" si="23"/>
        <v>0</v>
      </c>
    </row>
    <row r="500" spans="1:9" x14ac:dyDescent="0.2">
      <c r="A500" s="1" t="s">
        <v>565</v>
      </c>
      <c r="B500" s="1">
        <v>17767.55</v>
      </c>
      <c r="C500" s="1" t="s">
        <v>27</v>
      </c>
      <c r="D500" s="1">
        <f t="shared" si="21"/>
        <v>55993.991594411818</v>
      </c>
      <c r="E500" s="1">
        <v>33.43618</v>
      </c>
      <c r="F500" s="1">
        <v>-111.71917430000001</v>
      </c>
      <c r="G500" s="1" t="s">
        <v>44</v>
      </c>
      <c r="H500" s="1" t="str">
        <f t="shared" si="22"/>
        <v>AZ</v>
      </c>
      <c r="I500" s="1">
        <f t="shared" si="23"/>
        <v>0</v>
      </c>
    </row>
    <row r="501" spans="1:9" x14ac:dyDescent="0.2">
      <c r="A501" s="1" t="s">
        <v>566</v>
      </c>
      <c r="B501" s="1">
        <v>22303.77</v>
      </c>
      <c r="C501" s="1" t="s">
        <v>27</v>
      </c>
      <c r="D501" s="1">
        <f t="shared" si="21"/>
        <v>55993.991594411818</v>
      </c>
      <c r="E501" s="1">
        <v>33.468080579999999</v>
      </c>
      <c r="F501" s="1">
        <v>-111.6841852</v>
      </c>
      <c r="G501" s="1" t="s">
        <v>44</v>
      </c>
      <c r="H501" s="1" t="str">
        <f t="shared" si="22"/>
        <v>AZ</v>
      </c>
      <c r="I501" s="1">
        <f t="shared" si="23"/>
        <v>0</v>
      </c>
    </row>
    <row r="502" spans="1:9" x14ac:dyDescent="0.2">
      <c r="A502" s="1" t="s">
        <v>567</v>
      </c>
      <c r="B502" s="1">
        <v>30992.86</v>
      </c>
      <c r="C502" s="1" t="s">
        <v>27</v>
      </c>
      <c r="D502" s="1">
        <f t="shared" si="21"/>
        <v>55993.991594411818</v>
      </c>
      <c r="E502" s="1">
        <v>33.415386349999999</v>
      </c>
      <c r="F502" s="1">
        <v>-111.8028786</v>
      </c>
      <c r="G502" s="1" t="s">
        <v>44</v>
      </c>
      <c r="H502" s="1" t="str">
        <f t="shared" si="22"/>
        <v>AZ</v>
      </c>
      <c r="I502" s="1">
        <f t="shared" si="23"/>
        <v>0</v>
      </c>
    </row>
    <row r="503" spans="1:9" x14ac:dyDescent="0.2">
      <c r="A503" s="1" t="s">
        <v>568</v>
      </c>
      <c r="B503" s="1">
        <v>27725.64</v>
      </c>
      <c r="C503" s="1" t="s">
        <v>27</v>
      </c>
      <c r="D503" s="1">
        <f t="shared" si="21"/>
        <v>55993.991594411818</v>
      </c>
      <c r="E503" s="1">
        <v>33.399551719999998</v>
      </c>
      <c r="F503" s="1">
        <v>-111.8571689</v>
      </c>
      <c r="G503" s="1" t="s">
        <v>44</v>
      </c>
      <c r="H503" s="1" t="str">
        <f t="shared" si="22"/>
        <v>AZ</v>
      </c>
      <c r="I503" s="1">
        <f t="shared" si="23"/>
        <v>0</v>
      </c>
    </row>
    <row r="504" spans="1:9" x14ac:dyDescent="0.2">
      <c r="A504" s="1" t="s">
        <v>569</v>
      </c>
      <c r="B504" s="1">
        <v>28086.31</v>
      </c>
      <c r="C504" s="1" t="s">
        <v>27</v>
      </c>
      <c r="D504" s="1">
        <f t="shared" si="21"/>
        <v>55993.991594411818</v>
      </c>
      <c r="E504" s="1">
        <v>33.435295529999998</v>
      </c>
      <c r="F504" s="1">
        <v>-111.82423780000001</v>
      </c>
      <c r="G504" s="1" t="s">
        <v>44</v>
      </c>
      <c r="H504" s="1" t="str">
        <f t="shared" si="22"/>
        <v>AZ</v>
      </c>
      <c r="I504" s="1">
        <f t="shared" si="23"/>
        <v>0</v>
      </c>
    </row>
    <row r="505" spans="1:9" x14ac:dyDescent="0.2">
      <c r="A505" s="1" t="s">
        <v>570</v>
      </c>
      <c r="B505" s="1">
        <v>35485.86</v>
      </c>
      <c r="C505" s="1" t="s">
        <v>27</v>
      </c>
      <c r="D505" s="1">
        <f t="shared" si="21"/>
        <v>55993.991594411818</v>
      </c>
      <c r="E505" s="1">
        <v>33.393537129999999</v>
      </c>
      <c r="F505" s="1">
        <v>-111.82153</v>
      </c>
      <c r="G505" s="1" t="s">
        <v>44</v>
      </c>
      <c r="H505" s="1" t="str">
        <f t="shared" si="22"/>
        <v>AZ</v>
      </c>
      <c r="I505" s="1">
        <f t="shared" si="23"/>
        <v>0</v>
      </c>
    </row>
    <row r="506" spans="1:9" x14ac:dyDescent="0.2">
      <c r="A506" s="1" t="s">
        <v>571</v>
      </c>
      <c r="B506" s="1">
        <v>77772.570000000007</v>
      </c>
      <c r="C506" s="1" t="s">
        <v>27</v>
      </c>
      <c r="D506" s="1">
        <f t="shared" si="21"/>
        <v>55993.991594411818</v>
      </c>
      <c r="E506" s="1">
        <v>33.429561790000001</v>
      </c>
      <c r="F506" s="1">
        <v>-111.8559175</v>
      </c>
      <c r="G506" s="1" t="s">
        <v>44</v>
      </c>
      <c r="H506" s="1" t="str">
        <f t="shared" si="22"/>
        <v>AZ</v>
      </c>
      <c r="I506" s="1">
        <f t="shared" si="23"/>
        <v>1</v>
      </c>
    </row>
    <row r="507" spans="1:9" x14ac:dyDescent="0.2">
      <c r="A507" s="1" t="s">
        <v>572</v>
      </c>
      <c r="B507" s="1">
        <v>41073.26</v>
      </c>
      <c r="C507" s="1" t="s">
        <v>27</v>
      </c>
      <c r="D507" s="1">
        <f t="shared" si="21"/>
        <v>55993.991594411818</v>
      </c>
      <c r="E507" s="1">
        <v>33.400559999999999</v>
      </c>
      <c r="F507" s="1">
        <v>-111.8398857</v>
      </c>
      <c r="G507" s="1" t="s">
        <v>44</v>
      </c>
      <c r="H507" s="1" t="str">
        <f t="shared" si="22"/>
        <v>AZ</v>
      </c>
      <c r="I507" s="1">
        <f t="shared" si="23"/>
        <v>0</v>
      </c>
    </row>
    <row r="508" spans="1:9" x14ac:dyDescent="0.2">
      <c r="A508" s="1" t="s">
        <v>573</v>
      </c>
      <c r="B508" s="1">
        <v>39690.26</v>
      </c>
      <c r="C508" s="1" t="s">
        <v>27</v>
      </c>
      <c r="D508" s="1">
        <f t="shared" si="21"/>
        <v>55993.991594411818</v>
      </c>
      <c r="E508" s="1">
        <v>33.451332870000002</v>
      </c>
      <c r="F508" s="1">
        <v>-111.8308356</v>
      </c>
      <c r="G508" s="1" t="s">
        <v>44</v>
      </c>
      <c r="H508" s="1" t="str">
        <f t="shared" si="22"/>
        <v>AZ</v>
      </c>
      <c r="I508" s="1">
        <f t="shared" si="23"/>
        <v>0</v>
      </c>
    </row>
    <row r="509" spans="1:9" x14ac:dyDescent="0.2">
      <c r="A509" s="1" t="s">
        <v>574</v>
      </c>
      <c r="B509" s="1">
        <v>27486.26</v>
      </c>
      <c r="C509" s="1" t="s">
        <v>27</v>
      </c>
      <c r="D509" s="1">
        <f t="shared" si="21"/>
        <v>55993.991594411818</v>
      </c>
      <c r="E509" s="1">
        <v>33.363682869999998</v>
      </c>
      <c r="F509" s="1">
        <v>-111.89227</v>
      </c>
      <c r="G509" s="1" t="s">
        <v>44</v>
      </c>
      <c r="H509" s="1" t="str">
        <f t="shared" si="22"/>
        <v>AZ</v>
      </c>
      <c r="I509" s="1">
        <f t="shared" si="23"/>
        <v>0</v>
      </c>
    </row>
    <row r="510" spans="1:9" x14ac:dyDescent="0.2">
      <c r="A510" s="1" t="s">
        <v>575</v>
      </c>
      <c r="B510" s="1">
        <v>41271.449999999997</v>
      </c>
      <c r="C510" s="1" t="s">
        <v>27</v>
      </c>
      <c r="D510" s="1">
        <f t="shared" si="21"/>
        <v>55993.991594411818</v>
      </c>
      <c r="E510" s="1">
        <v>33.42222288</v>
      </c>
      <c r="F510" s="1">
        <v>-111.62321780000001</v>
      </c>
      <c r="G510" s="1" t="s">
        <v>44</v>
      </c>
      <c r="H510" s="1" t="str">
        <f t="shared" si="22"/>
        <v>AZ</v>
      </c>
      <c r="I510" s="1">
        <f t="shared" si="23"/>
        <v>0</v>
      </c>
    </row>
    <row r="511" spans="1:9" x14ac:dyDescent="0.2">
      <c r="A511" s="1" t="s">
        <v>576</v>
      </c>
      <c r="B511" s="1">
        <v>68432.740000000005</v>
      </c>
      <c r="C511" s="1" t="s">
        <v>27</v>
      </c>
      <c r="D511" s="1">
        <f t="shared" si="21"/>
        <v>55993.991594411818</v>
      </c>
      <c r="E511" s="1">
        <v>33.421982870000001</v>
      </c>
      <c r="F511" s="1">
        <v>-111.873795</v>
      </c>
      <c r="G511" s="1" t="s">
        <v>44</v>
      </c>
      <c r="H511" s="1" t="str">
        <f t="shared" si="22"/>
        <v>AZ</v>
      </c>
      <c r="I511" s="1">
        <f t="shared" si="23"/>
        <v>1</v>
      </c>
    </row>
    <row r="512" spans="1:9" x14ac:dyDescent="0.2">
      <c r="A512" s="1" t="s">
        <v>577</v>
      </c>
      <c r="B512" s="1">
        <v>60012.82</v>
      </c>
      <c r="C512" s="1" t="s">
        <v>27</v>
      </c>
      <c r="D512" s="1">
        <f t="shared" si="21"/>
        <v>55993.991594411818</v>
      </c>
      <c r="E512" s="1">
        <v>33.451839999999997</v>
      </c>
      <c r="F512" s="1">
        <v>-111.6838556</v>
      </c>
      <c r="G512" s="1" t="s">
        <v>44</v>
      </c>
      <c r="H512" s="1" t="str">
        <f t="shared" si="22"/>
        <v>AZ</v>
      </c>
      <c r="I512" s="1">
        <f t="shared" si="23"/>
        <v>1</v>
      </c>
    </row>
    <row r="513" spans="1:9" x14ac:dyDescent="0.2">
      <c r="A513" s="1" t="s">
        <v>578</v>
      </c>
      <c r="B513" s="1">
        <v>33778.050000000003</v>
      </c>
      <c r="C513" s="1" t="s">
        <v>27</v>
      </c>
      <c r="D513" s="1">
        <f t="shared" si="21"/>
        <v>55993.991594411818</v>
      </c>
      <c r="E513" s="1">
        <v>33.40794167</v>
      </c>
      <c r="F513" s="1">
        <v>-111.8234659</v>
      </c>
      <c r="G513" s="1" t="s">
        <v>44</v>
      </c>
      <c r="H513" s="1" t="str">
        <f t="shared" si="22"/>
        <v>AZ</v>
      </c>
      <c r="I513" s="1">
        <f t="shared" si="23"/>
        <v>0</v>
      </c>
    </row>
    <row r="514" spans="1:9" x14ac:dyDescent="0.2">
      <c r="A514" s="1" t="s">
        <v>579</v>
      </c>
      <c r="B514" s="1">
        <v>49890.69</v>
      </c>
      <c r="C514" s="1" t="s">
        <v>27</v>
      </c>
      <c r="D514" s="1">
        <f t="shared" si="21"/>
        <v>55993.991594411818</v>
      </c>
      <c r="E514" s="1">
        <v>33.44359</v>
      </c>
      <c r="F514" s="1">
        <v>-111.83997429999999</v>
      </c>
      <c r="G514" s="1" t="s">
        <v>44</v>
      </c>
      <c r="H514" s="1" t="str">
        <f t="shared" si="22"/>
        <v>AZ</v>
      </c>
      <c r="I514" s="1">
        <f t="shared" si="23"/>
        <v>0</v>
      </c>
    </row>
    <row r="515" spans="1:9" x14ac:dyDescent="0.2">
      <c r="A515" s="1" t="s">
        <v>580</v>
      </c>
      <c r="B515" s="1">
        <v>49224.71</v>
      </c>
      <c r="C515" s="1" t="s">
        <v>27</v>
      </c>
      <c r="D515" s="1">
        <f t="shared" ref="D515:D578" si="24">AVERAGEIFS($B:$B,$C:$C,$C515)</f>
        <v>55993.991594411818</v>
      </c>
      <c r="E515" s="1">
        <v>33.393202870000003</v>
      </c>
      <c r="F515" s="1">
        <v>-111.81399709999999</v>
      </c>
      <c r="G515" s="1" t="s">
        <v>44</v>
      </c>
      <c r="H515" s="1" t="str">
        <f t="shared" ref="H515:H578" si="25">TRIM(_xlfn.TEXTAFTER(A515, ",", -1))</f>
        <v>AZ</v>
      </c>
      <c r="I515" s="1">
        <f t="shared" ref="I515:I578" si="26">IF(B515&gt;D515,1,0)</f>
        <v>0</v>
      </c>
    </row>
    <row r="516" spans="1:9" x14ac:dyDescent="0.2">
      <c r="A516" s="1" t="s">
        <v>581</v>
      </c>
      <c r="B516" s="1">
        <v>95178.77</v>
      </c>
      <c r="C516" s="1" t="s">
        <v>27</v>
      </c>
      <c r="D516" s="1">
        <f t="shared" si="24"/>
        <v>55993.991594411818</v>
      </c>
      <c r="E516" s="1">
        <v>33.393267129999998</v>
      </c>
      <c r="F516" s="1">
        <v>-111.8752394</v>
      </c>
      <c r="G516" s="1" t="s">
        <v>44</v>
      </c>
      <c r="H516" s="1" t="str">
        <f t="shared" si="25"/>
        <v>AZ</v>
      </c>
      <c r="I516" s="1">
        <f t="shared" si="26"/>
        <v>1</v>
      </c>
    </row>
    <row r="517" spans="1:9" x14ac:dyDescent="0.2">
      <c r="A517" s="1" t="s">
        <v>582</v>
      </c>
      <c r="B517" s="1">
        <v>72250.009999999995</v>
      </c>
      <c r="C517" s="1" t="s">
        <v>27</v>
      </c>
      <c r="D517" s="1">
        <f t="shared" si="24"/>
        <v>55993.991594411818</v>
      </c>
      <c r="E517" s="1">
        <v>33.422552869999997</v>
      </c>
      <c r="F517" s="1">
        <v>-111.77065690000001</v>
      </c>
      <c r="G517" s="1" t="s">
        <v>44</v>
      </c>
      <c r="H517" s="1" t="str">
        <f t="shared" si="25"/>
        <v>AZ</v>
      </c>
      <c r="I517" s="1">
        <f t="shared" si="26"/>
        <v>1</v>
      </c>
    </row>
    <row r="518" spans="1:9" x14ac:dyDescent="0.2">
      <c r="A518" s="1" t="s">
        <v>583</v>
      </c>
      <c r="B518" s="1">
        <v>30589.9</v>
      </c>
      <c r="C518" s="1" t="s">
        <v>27</v>
      </c>
      <c r="D518" s="1">
        <f t="shared" si="24"/>
        <v>55993.991594411818</v>
      </c>
      <c r="E518" s="1">
        <v>33.421999999999997</v>
      </c>
      <c r="F518" s="1">
        <v>-111.8230343</v>
      </c>
      <c r="G518" s="1" t="s">
        <v>44</v>
      </c>
      <c r="H518" s="1" t="str">
        <f t="shared" si="25"/>
        <v>AZ</v>
      </c>
      <c r="I518" s="1">
        <f t="shared" si="26"/>
        <v>0</v>
      </c>
    </row>
    <row r="519" spans="1:9" x14ac:dyDescent="0.2">
      <c r="A519" s="1" t="s">
        <v>584</v>
      </c>
      <c r="B519" s="1">
        <v>27942.89</v>
      </c>
      <c r="C519" s="1" t="s">
        <v>27</v>
      </c>
      <c r="D519" s="1">
        <f t="shared" si="24"/>
        <v>55993.991594411818</v>
      </c>
      <c r="E519" s="1">
        <v>33.415707130000001</v>
      </c>
      <c r="F519" s="1">
        <v>-111.7546024</v>
      </c>
      <c r="G519" s="1" t="s">
        <v>44</v>
      </c>
      <c r="H519" s="1" t="str">
        <f t="shared" si="25"/>
        <v>AZ</v>
      </c>
      <c r="I519" s="1">
        <f t="shared" si="26"/>
        <v>0</v>
      </c>
    </row>
    <row r="520" spans="1:9" x14ac:dyDescent="0.2">
      <c r="A520" s="1" t="s">
        <v>585</v>
      </c>
      <c r="B520" s="1">
        <v>36043.019999999997</v>
      </c>
      <c r="C520" s="1" t="s">
        <v>27</v>
      </c>
      <c r="D520" s="1">
        <f t="shared" si="24"/>
        <v>55993.991594411818</v>
      </c>
      <c r="E520" s="1">
        <v>33.380090000000003</v>
      </c>
      <c r="F520" s="1">
        <v>-111.7394358</v>
      </c>
      <c r="G520" s="1" t="s">
        <v>44</v>
      </c>
      <c r="H520" s="1" t="str">
        <f t="shared" si="25"/>
        <v>AZ</v>
      </c>
      <c r="I520" s="1">
        <f t="shared" si="26"/>
        <v>0</v>
      </c>
    </row>
    <row r="521" spans="1:9" x14ac:dyDescent="0.2">
      <c r="A521" s="1" t="s">
        <v>586</v>
      </c>
      <c r="B521" s="1">
        <v>76540.22</v>
      </c>
      <c r="C521" s="1" t="s">
        <v>27</v>
      </c>
      <c r="D521" s="1">
        <f t="shared" si="24"/>
        <v>55993.991594411818</v>
      </c>
      <c r="E521" s="1">
        <v>33.437583609999997</v>
      </c>
      <c r="F521" s="1">
        <v>-111.6845343</v>
      </c>
      <c r="G521" s="1" t="s">
        <v>44</v>
      </c>
      <c r="H521" s="1" t="str">
        <f t="shared" si="25"/>
        <v>AZ</v>
      </c>
      <c r="I521" s="1">
        <f t="shared" si="26"/>
        <v>1</v>
      </c>
    </row>
    <row r="522" spans="1:9" x14ac:dyDescent="0.2">
      <c r="A522" s="1" t="s">
        <v>587</v>
      </c>
      <c r="B522" s="1">
        <v>116157.92</v>
      </c>
      <c r="C522" s="1" t="s">
        <v>27</v>
      </c>
      <c r="D522" s="1">
        <f t="shared" si="24"/>
        <v>55993.991594411818</v>
      </c>
      <c r="E522" s="1">
        <v>33.364858779999999</v>
      </c>
      <c r="F522" s="1">
        <v>-111.63529629999999</v>
      </c>
      <c r="G522" s="1" t="s">
        <v>44</v>
      </c>
      <c r="H522" s="1" t="str">
        <f t="shared" si="25"/>
        <v>AZ</v>
      </c>
      <c r="I522" s="1">
        <f t="shared" si="26"/>
        <v>1</v>
      </c>
    </row>
    <row r="523" spans="1:9" x14ac:dyDescent="0.2">
      <c r="A523" s="1" t="s">
        <v>588</v>
      </c>
      <c r="B523" s="1">
        <v>32119.15</v>
      </c>
      <c r="C523" s="1" t="s">
        <v>27</v>
      </c>
      <c r="D523" s="1">
        <f t="shared" si="24"/>
        <v>55993.991594411818</v>
      </c>
      <c r="E523" s="1">
        <v>33.42294235</v>
      </c>
      <c r="F523" s="1">
        <v>-111.8051057</v>
      </c>
      <c r="G523" s="1" t="s">
        <v>44</v>
      </c>
      <c r="H523" s="1" t="str">
        <f t="shared" si="25"/>
        <v>AZ</v>
      </c>
      <c r="I523" s="1">
        <f t="shared" si="26"/>
        <v>0</v>
      </c>
    </row>
    <row r="524" spans="1:9" x14ac:dyDescent="0.2">
      <c r="A524" s="1" t="s">
        <v>589</v>
      </c>
      <c r="B524" s="1">
        <v>52999.33</v>
      </c>
      <c r="C524" s="1" t="s">
        <v>27</v>
      </c>
      <c r="D524" s="1">
        <f t="shared" si="24"/>
        <v>55993.991594411818</v>
      </c>
      <c r="E524" s="1">
        <v>33.43591</v>
      </c>
      <c r="F524" s="1">
        <v>-111.84935</v>
      </c>
      <c r="G524" s="1" t="s">
        <v>44</v>
      </c>
      <c r="H524" s="1" t="str">
        <f t="shared" si="25"/>
        <v>AZ</v>
      </c>
      <c r="I524" s="1">
        <f t="shared" si="26"/>
        <v>0</v>
      </c>
    </row>
    <row r="525" spans="1:9" x14ac:dyDescent="0.2">
      <c r="A525" s="1" t="s">
        <v>590</v>
      </c>
      <c r="B525" s="1">
        <v>29116.77</v>
      </c>
      <c r="C525" s="1" t="s">
        <v>27</v>
      </c>
      <c r="D525" s="1">
        <f t="shared" si="24"/>
        <v>55993.991594411818</v>
      </c>
      <c r="E525" s="1">
        <v>33.393927130000002</v>
      </c>
      <c r="F525" s="1">
        <v>-111.73592499999999</v>
      </c>
      <c r="G525" s="1" t="s">
        <v>44</v>
      </c>
      <c r="H525" s="1" t="str">
        <f t="shared" si="25"/>
        <v>AZ</v>
      </c>
      <c r="I525" s="1">
        <f t="shared" si="26"/>
        <v>0</v>
      </c>
    </row>
    <row r="526" spans="1:9" x14ac:dyDescent="0.2">
      <c r="A526" s="1" t="s">
        <v>591</v>
      </c>
      <c r="B526" s="1">
        <v>33373.379999999997</v>
      </c>
      <c r="C526" s="1" t="s">
        <v>27</v>
      </c>
      <c r="D526" s="1">
        <f t="shared" si="24"/>
        <v>55993.991594411818</v>
      </c>
      <c r="E526" s="1">
        <v>33.407350000000001</v>
      </c>
      <c r="F526" s="1">
        <v>-111.8742757</v>
      </c>
      <c r="G526" s="1" t="s">
        <v>44</v>
      </c>
      <c r="H526" s="1" t="str">
        <f t="shared" si="25"/>
        <v>AZ</v>
      </c>
      <c r="I526" s="1">
        <f t="shared" si="26"/>
        <v>0</v>
      </c>
    </row>
    <row r="527" spans="1:9" x14ac:dyDescent="0.2">
      <c r="A527" s="1" t="s">
        <v>592</v>
      </c>
      <c r="B527" s="1">
        <v>24779.31</v>
      </c>
      <c r="C527" s="1" t="s">
        <v>27</v>
      </c>
      <c r="D527" s="1">
        <f t="shared" si="24"/>
        <v>55993.991594411818</v>
      </c>
      <c r="E527" s="1">
        <v>33.415272870000003</v>
      </c>
      <c r="F527" s="1">
        <v>-111.7359663</v>
      </c>
      <c r="G527" s="1" t="s">
        <v>44</v>
      </c>
      <c r="H527" s="1" t="str">
        <f t="shared" si="25"/>
        <v>AZ</v>
      </c>
      <c r="I527" s="1">
        <f t="shared" si="26"/>
        <v>0</v>
      </c>
    </row>
    <row r="528" spans="1:9" x14ac:dyDescent="0.2">
      <c r="A528" s="1" t="s">
        <v>593</v>
      </c>
      <c r="B528" s="1">
        <v>78644.47</v>
      </c>
      <c r="C528" s="1" t="s">
        <v>27</v>
      </c>
      <c r="D528" s="1">
        <f t="shared" si="24"/>
        <v>55993.991594411818</v>
      </c>
      <c r="E528" s="1">
        <v>33.382137899999996</v>
      </c>
      <c r="F528" s="1">
        <v>-111.8403404</v>
      </c>
      <c r="G528" s="1" t="s">
        <v>44</v>
      </c>
      <c r="H528" s="1" t="str">
        <f t="shared" si="25"/>
        <v>AZ</v>
      </c>
      <c r="I528" s="1">
        <f t="shared" si="26"/>
        <v>1</v>
      </c>
    </row>
    <row r="529" spans="1:9" x14ac:dyDescent="0.2">
      <c r="A529" s="1" t="s">
        <v>594</v>
      </c>
      <c r="B529" s="1">
        <v>46450.93</v>
      </c>
      <c r="C529" s="1" t="s">
        <v>27</v>
      </c>
      <c r="D529" s="1">
        <f t="shared" si="24"/>
        <v>55993.991594411818</v>
      </c>
      <c r="E529" s="1">
        <v>33.393202870000003</v>
      </c>
      <c r="F529" s="1">
        <v>-111.8049438</v>
      </c>
      <c r="G529" s="1" t="s">
        <v>44</v>
      </c>
      <c r="H529" s="1" t="str">
        <f t="shared" si="25"/>
        <v>AZ</v>
      </c>
      <c r="I529" s="1">
        <f t="shared" si="26"/>
        <v>0</v>
      </c>
    </row>
    <row r="530" spans="1:9" x14ac:dyDescent="0.2">
      <c r="A530" s="1" t="s">
        <v>595</v>
      </c>
      <c r="B530" s="1">
        <v>76695.460000000006</v>
      </c>
      <c r="C530" s="1" t="s">
        <v>27</v>
      </c>
      <c r="D530" s="1">
        <f t="shared" si="24"/>
        <v>55993.991594411818</v>
      </c>
      <c r="E530" s="1">
        <v>33.381111330000003</v>
      </c>
      <c r="F530" s="1">
        <v>-111.8070469</v>
      </c>
      <c r="G530" s="1" t="s">
        <v>44</v>
      </c>
      <c r="H530" s="1" t="str">
        <f t="shared" si="25"/>
        <v>AZ</v>
      </c>
      <c r="I530" s="1">
        <f t="shared" si="26"/>
        <v>1</v>
      </c>
    </row>
    <row r="531" spans="1:9" x14ac:dyDescent="0.2">
      <c r="A531" s="1" t="s">
        <v>596</v>
      </c>
      <c r="B531" s="1">
        <v>50676.53</v>
      </c>
      <c r="C531" s="1" t="s">
        <v>27</v>
      </c>
      <c r="D531" s="1">
        <f t="shared" si="24"/>
        <v>55993.991594411818</v>
      </c>
      <c r="E531" s="1">
        <v>33.379197009999999</v>
      </c>
      <c r="F531" s="1">
        <v>-111.7719132</v>
      </c>
      <c r="G531" s="1" t="s">
        <v>44</v>
      </c>
      <c r="H531" s="1" t="str">
        <f t="shared" si="25"/>
        <v>AZ</v>
      </c>
      <c r="I531" s="1">
        <f t="shared" si="26"/>
        <v>0</v>
      </c>
    </row>
    <row r="532" spans="1:9" x14ac:dyDescent="0.2">
      <c r="A532" s="1" t="s">
        <v>597</v>
      </c>
      <c r="B532" s="1">
        <v>44849.919999999998</v>
      </c>
      <c r="C532" s="1" t="s">
        <v>27</v>
      </c>
      <c r="D532" s="1">
        <f t="shared" si="24"/>
        <v>55993.991594411818</v>
      </c>
      <c r="E532" s="1">
        <v>33.38850403</v>
      </c>
      <c r="F532" s="1">
        <v>-111.7536108</v>
      </c>
      <c r="G532" s="1" t="s">
        <v>44</v>
      </c>
      <c r="H532" s="1" t="str">
        <f t="shared" si="25"/>
        <v>AZ</v>
      </c>
      <c r="I532" s="1">
        <f t="shared" si="26"/>
        <v>0</v>
      </c>
    </row>
    <row r="533" spans="1:9" x14ac:dyDescent="0.2">
      <c r="A533" s="1" t="s">
        <v>598</v>
      </c>
      <c r="B533" s="1">
        <v>70557.210000000006</v>
      </c>
      <c r="C533" s="1" t="s">
        <v>27</v>
      </c>
      <c r="D533" s="1">
        <f t="shared" si="24"/>
        <v>55993.991594411818</v>
      </c>
      <c r="E533" s="1">
        <v>33.363309170000001</v>
      </c>
      <c r="F533" s="1">
        <v>-111.87673270000001</v>
      </c>
      <c r="G533" s="1" t="s">
        <v>44</v>
      </c>
      <c r="H533" s="1" t="str">
        <f t="shared" si="25"/>
        <v>AZ</v>
      </c>
      <c r="I533" s="1">
        <f t="shared" si="26"/>
        <v>1</v>
      </c>
    </row>
    <row r="534" spans="1:9" x14ac:dyDescent="0.2">
      <c r="A534" s="1" t="s">
        <v>599</v>
      </c>
      <c r="B534" s="1">
        <v>71420.47</v>
      </c>
      <c r="C534" s="1" t="s">
        <v>27</v>
      </c>
      <c r="D534" s="1">
        <f t="shared" si="24"/>
        <v>55993.991594411818</v>
      </c>
      <c r="E534" s="1">
        <v>33.336816849999998</v>
      </c>
      <c r="F534" s="1">
        <v>-111.6870029</v>
      </c>
      <c r="G534" s="1" t="s">
        <v>44</v>
      </c>
      <c r="H534" s="1" t="str">
        <f t="shared" si="25"/>
        <v>AZ</v>
      </c>
      <c r="I534" s="1">
        <f t="shared" si="26"/>
        <v>1</v>
      </c>
    </row>
    <row r="535" spans="1:9" x14ac:dyDescent="0.2">
      <c r="A535" s="1" t="s">
        <v>600</v>
      </c>
      <c r="B535" s="1">
        <v>59059.97</v>
      </c>
      <c r="C535" s="1" t="s">
        <v>27</v>
      </c>
      <c r="D535" s="1">
        <f t="shared" si="24"/>
        <v>55993.991594411818</v>
      </c>
      <c r="E535" s="1">
        <v>33.406232500000002</v>
      </c>
      <c r="F535" s="1">
        <v>-111.6151957</v>
      </c>
      <c r="G535" s="1" t="s">
        <v>44</v>
      </c>
      <c r="H535" s="1" t="str">
        <f t="shared" si="25"/>
        <v>AZ</v>
      </c>
      <c r="I535" s="1">
        <f t="shared" si="26"/>
        <v>1</v>
      </c>
    </row>
    <row r="536" spans="1:9" x14ac:dyDescent="0.2">
      <c r="A536" s="1" t="s">
        <v>601</v>
      </c>
      <c r="B536" s="1">
        <v>53940.76</v>
      </c>
      <c r="C536" s="1" t="s">
        <v>27</v>
      </c>
      <c r="D536" s="1">
        <f t="shared" si="24"/>
        <v>55993.991594411818</v>
      </c>
      <c r="E536" s="1">
        <v>33.393422289999997</v>
      </c>
      <c r="F536" s="1">
        <v>-111.7897202</v>
      </c>
      <c r="G536" s="1" t="s">
        <v>44</v>
      </c>
      <c r="H536" s="1" t="str">
        <f t="shared" si="25"/>
        <v>AZ</v>
      </c>
      <c r="I536" s="1">
        <f t="shared" si="26"/>
        <v>0</v>
      </c>
    </row>
    <row r="537" spans="1:9" x14ac:dyDescent="0.2">
      <c r="A537" s="1" t="s">
        <v>602</v>
      </c>
      <c r="B537" s="1">
        <v>91160.59</v>
      </c>
      <c r="C537" s="1" t="s">
        <v>27</v>
      </c>
      <c r="D537" s="1">
        <f t="shared" si="24"/>
        <v>55993.991594411818</v>
      </c>
      <c r="E537" s="1">
        <v>33.451622870000001</v>
      </c>
      <c r="F537" s="1">
        <v>-111.7873608</v>
      </c>
      <c r="G537" s="1" t="s">
        <v>44</v>
      </c>
      <c r="H537" s="1" t="str">
        <f t="shared" si="25"/>
        <v>AZ</v>
      </c>
      <c r="I537" s="1">
        <f t="shared" si="26"/>
        <v>1</v>
      </c>
    </row>
    <row r="538" spans="1:9" x14ac:dyDescent="0.2">
      <c r="A538" s="1" t="s">
        <v>603</v>
      </c>
      <c r="B538" s="1">
        <v>23507.21</v>
      </c>
      <c r="C538" s="1" t="s">
        <v>27</v>
      </c>
      <c r="D538" s="1">
        <f t="shared" si="24"/>
        <v>55993.991594411818</v>
      </c>
      <c r="E538" s="1">
        <v>33.40738855</v>
      </c>
      <c r="F538" s="1">
        <v>-111.87502600000001</v>
      </c>
      <c r="G538" s="1" t="s">
        <v>44</v>
      </c>
      <c r="H538" s="1" t="str">
        <f t="shared" si="25"/>
        <v>AZ</v>
      </c>
      <c r="I538" s="1">
        <f t="shared" si="26"/>
        <v>0</v>
      </c>
    </row>
    <row r="539" spans="1:9" x14ac:dyDescent="0.2">
      <c r="A539" s="1" t="s">
        <v>604</v>
      </c>
      <c r="B539" s="1">
        <v>76199.89</v>
      </c>
      <c r="C539" s="1" t="s">
        <v>27</v>
      </c>
      <c r="D539" s="1">
        <f t="shared" si="24"/>
        <v>55993.991594411818</v>
      </c>
      <c r="E539" s="1">
        <v>33.37941713</v>
      </c>
      <c r="F539" s="1">
        <v>-111.667835</v>
      </c>
      <c r="G539" s="1" t="s">
        <v>44</v>
      </c>
      <c r="H539" s="1" t="str">
        <f t="shared" si="25"/>
        <v>AZ</v>
      </c>
      <c r="I539" s="1">
        <f t="shared" si="26"/>
        <v>1</v>
      </c>
    </row>
    <row r="540" spans="1:9" x14ac:dyDescent="0.2">
      <c r="A540" s="1" t="s">
        <v>605</v>
      </c>
      <c r="B540" s="1">
        <v>36697.279999999999</v>
      </c>
      <c r="C540" s="1" t="s">
        <v>27</v>
      </c>
      <c r="D540" s="1">
        <f t="shared" si="24"/>
        <v>55993.991594411818</v>
      </c>
      <c r="E540" s="1">
        <v>33.451722869999998</v>
      </c>
      <c r="F540" s="1">
        <v>-111.7013857</v>
      </c>
      <c r="G540" s="1" t="s">
        <v>44</v>
      </c>
      <c r="H540" s="1" t="str">
        <f t="shared" si="25"/>
        <v>AZ</v>
      </c>
      <c r="I540" s="1">
        <f t="shared" si="26"/>
        <v>0</v>
      </c>
    </row>
    <row r="541" spans="1:9" x14ac:dyDescent="0.2">
      <c r="A541" s="1" t="s">
        <v>606</v>
      </c>
      <c r="B541" s="1">
        <v>26112.46</v>
      </c>
      <c r="C541" s="1" t="s">
        <v>27</v>
      </c>
      <c r="D541" s="1">
        <f t="shared" si="24"/>
        <v>55993.991594411818</v>
      </c>
      <c r="E541" s="1">
        <v>33.414694840000003</v>
      </c>
      <c r="F541" s="1">
        <v>-111.85626430000001</v>
      </c>
      <c r="G541" s="1" t="s">
        <v>44</v>
      </c>
      <c r="H541" s="1" t="str">
        <f t="shared" si="25"/>
        <v>AZ</v>
      </c>
      <c r="I541" s="1">
        <f t="shared" si="26"/>
        <v>0</v>
      </c>
    </row>
    <row r="542" spans="1:9" x14ac:dyDescent="0.2">
      <c r="A542" s="1" t="s">
        <v>607</v>
      </c>
      <c r="B542" s="1">
        <v>53603.66</v>
      </c>
      <c r="C542" s="1" t="s">
        <v>27</v>
      </c>
      <c r="D542" s="1">
        <f t="shared" si="24"/>
        <v>55993.991594411818</v>
      </c>
      <c r="E542" s="1">
        <v>33.393500000000003</v>
      </c>
      <c r="F542" s="1">
        <v>-111.7195742</v>
      </c>
      <c r="G542" s="1" t="s">
        <v>44</v>
      </c>
      <c r="H542" s="1" t="str">
        <f t="shared" si="25"/>
        <v>AZ</v>
      </c>
      <c r="I542" s="1">
        <f t="shared" si="26"/>
        <v>0</v>
      </c>
    </row>
    <row r="543" spans="1:9" x14ac:dyDescent="0.2">
      <c r="A543" s="1" t="s">
        <v>608</v>
      </c>
      <c r="B543" s="1">
        <v>53084.42</v>
      </c>
      <c r="C543" s="1" t="s">
        <v>27</v>
      </c>
      <c r="D543" s="1">
        <f t="shared" si="24"/>
        <v>55993.991594411818</v>
      </c>
      <c r="E543" s="1">
        <v>33.378382870000003</v>
      </c>
      <c r="F543" s="1">
        <v>-111.87361</v>
      </c>
      <c r="G543" s="1" t="s">
        <v>44</v>
      </c>
      <c r="H543" s="1" t="str">
        <f t="shared" si="25"/>
        <v>AZ</v>
      </c>
      <c r="I543" s="1">
        <f t="shared" si="26"/>
        <v>0</v>
      </c>
    </row>
    <row r="544" spans="1:9" x14ac:dyDescent="0.2">
      <c r="A544" s="1" t="s">
        <v>609</v>
      </c>
      <c r="B544" s="1">
        <v>88565.18</v>
      </c>
      <c r="C544" s="1" t="s">
        <v>27</v>
      </c>
      <c r="D544" s="1">
        <f t="shared" si="24"/>
        <v>55993.991594411818</v>
      </c>
      <c r="E544" s="1">
        <v>33.393848689999999</v>
      </c>
      <c r="F544" s="1">
        <v>-111.6844569</v>
      </c>
      <c r="G544" s="1" t="s">
        <v>44</v>
      </c>
      <c r="H544" s="1" t="str">
        <f t="shared" si="25"/>
        <v>AZ</v>
      </c>
      <c r="I544" s="1">
        <f t="shared" si="26"/>
        <v>1</v>
      </c>
    </row>
    <row r="545" spans="1:9" x14ac:dyDescent="0.2">
      <c r="A545" s="1" t="s">
        <v>610</v>
      </c>
      <c r="B545" s="1">
        <v>113281.74</v>
      </c>
      <c r="C545" s="1" t="s">
        <v>27</v>
      </c>
      <c r="D545" s="1">
        <f t="shared" si="24"/>
        <v>55993.991594411818</v>
      </c>
      <c r="E545" s="1">
        <v>33.394751329999998</v>
      </c>
      <c r="F545" s="1">
        <v>-111.5978631</v>
      </c>
      <c r="G545" s="1" t="s">
        <v>44</v>
      </c>
      <c r="H545" s="1" t="str">
        <f t="shared" si="25"/>
        <v>AZ</v>
      </c>
      <c r="I545" s="1">
        <f t="shared" si="26"/>
        <v>1</v>
      </c>
    </row>
    <row r="546" spans="1:9" x14ac:dyDescent="0.2">
      <c r="A546" s="1" t="s">
        <v>611</v>
      </c>
      <c r="B546" s="1">
        <v>126733.68</v>
      </c>
      <c r="C546" s="1" t="s">
        <v>27</v>
      </c>
      <c r="D546" s="1">
        <f t="shared" si="24"/>
        <v>55993.991594411818</v>
      </c>
      <c r="E546" s="1">
        <v>33.422490109999998</v>
      </c>
      <c r="F546" s="1">
        <v>-111.6320972</v>
      </c>
      <c r="G546" s="1" t="s">
        <v>44</v>
      </c>
      <c r="H546" s="1" t="str">
        <f t="shared" si="25"/>
        <v>AZ</v>
      </c>
      <c r="I546" s="1">
        <f t="shared" si="26"/>
        <v>1</v>
      </c>
    </row>
    <row r="547" spans="1:9" x14ac:dyDescent="0.2">
      <c r="A547" s="1" t="s">
        <v>612</v>
      </c>
      <c r="B547" s="1">
        <v>97140.69</v>
      </c>
      <c r="C547" s="1" t="s">
        <v>27</v>
      </c>
      <c r="D547" s="1">
        <f t="shared" si="24"/>
        <v>55993.991594411818</v>
      </c>
      <c r="E547" s="1">
        <v>33.407885630000003</v>
      </c>
      <c r="F547" s="1">
        <v>-111.84909829999999</v>
      </c>
      <c r="G547" s="1" t="s">
        <v>44</v>
      </c>
      <c r="H547" s="1" t="str">
        <f t="shared" si="25"/>
        <v>AZ</v>
      </c>
      <c r="I547" s="1">
        <f t="shared" si="26"/>
        <v>1</v>
      </c>
    </row>
    <row r="548" spans="1:9" x14ac:dyDescent="0.2">
      <c r="A548" s="1" t="s">
        <v>613</v>
      </c>
      <c r="B548" s="1">
        <v>54207.42</v>
      </c>
      <c r="C548" s="1" t="s">
        <v>27</v>
      </c>
      <c r="D548" s="1">
        <f t="shared" si="24"/>
        <v>55993.991594411818</v>
      </c>
      <c r="E548" s="1">
        <v>33.451712870000001</v>
      </c>
      <c r="F548" s="1">
        <v>-111.71826</v>
      </c>
      <c r="G548" s="1" t="s">
        <v>44</v>
      </c>
      <c r="H548" s="1" t="str">
        <f t="shared" si="25"/>
        <v>AZ</v>
      </c>
      <c r="I548" s="1">
        <f t="shared" si="26"/>
        <v>0</v>
      </c>
    </row>
    <row r="549" spans="1:9" x14ac:dyDescent="0.2">
      <c r="A549" s="1" t="s">
        <v>614</v>
      </c>
      <c r="B549" s="1">
        <v>54951.44</v>
      </c>
      <c r="C549" s="1" t="s">
        <v>27</v>
      </c>
      <c r="D549" s="1">
        <f t="shared" si="24"/>
        <v>55993.991594411818</v>
      </c>
      <c r="E549" s="1">
        <v>33.465730000000001</v>
      </c>
      <c r="F549" s="1">
        <v>-111.6842044</v>
      </c>
      <c r="G549" s="1" t="s">
        <v>44</v>
      </c>
      <c r="H549" s="1" t="str">
        <f t="shared" si="25"/>
        <v>AZ</v>
      </c>
      <c r="I549" s="1">
        <f t="shared" si="26"/>
        <v>0</v>
      </c>
    </row>
    <row r="550" spans="1:9" x14ac:dyDescent="0.2">
      <c r="A550" s="1" t="s">
        <v>615</v>
      </c>
      <c r="B550" s="1">
        <v>55959.34</v>
      </c>
      <c r="C550" s="1" t="s">
        <v>27</v>
      </c>
      <c r="D550" s="1">
        <f t="shared" si="24"/>
        <v>55993.991594411818</v>
      </c>
      <c r="E550" s="1">
        <v>33.422943779999997</v>
      </c>
      <c r="F550" s="1">
        <v>-111.72047739999999</v>
      </c>
      <c r="G550" s="1" t="s">
        <v>44</v>
      </c>
      <c r="H550" s="1" t="str">
        <f t="shared" si="25"/>
        <v>AZ</v>
      </c>
      <c r="I550" s="1">
        <f t="shared" si="26"/>
        <v>0</v>
      </c>
    </row>
    <row r="551" spans="1:9" x14ac:dyDescent="0.2">
      <c r="A551" s="1" t="s">
        <v>616</v>
      </c>
      <c r="B551" s="1">
        <v>61367.64</v>
      </c>
      <c r="C551" s="1" t="s">
        <v>27</v>
      </c>
      <c r="D551" s="1">
        <f t="shared" si="24"/>
        <v>55993.991594411818</v>
      </c>
      <c r="E551" s="1">
        <v>33.406759999999998</v>
      </c>
      <c r="F551" s="1">
        <v>-111.63254569999999</v>
      </c>
      <c r="G551" s="1" t="s">
        <v>44</v>
      </c>
      <c r="H551" s="1" t="str">
        <f t="shared" si="25"/>
        <v>AZ</v>
      </c>
      <c r="I551" s="1">
        <f t="shared" si="26"/>
        <v>1</v>
      </c>
    </row>
    <row r="552" spans="1:9" x14ac:dyDescent="0.2">
      <c r="A552" s="1" t="s">
        <v>617</v>
      </c>
      <c r="B552" s="1">
        <v>104667.2</v>
      </c>
      <c r="C552" s="1" t="s">
        <v>27</v>
      </c>
      <c r="D552" s="1">
        <f t="shared" si="24"/>
        <v>55993.991594411818</v>
      </c>
      <c r="E552" s="1">
        <v>33.429902749999997</v>
      </c>
      <c r="F552" s="1">
        <v>-111.87399240000001</v>
      </c>
      <c r="G552" s="1" t="s">
        <v>44</v>
      </c>
      <c r="H552" s="1" t="str">
        <f t="shared" si="25"/>
        <v>AZ</v>
      </c>
      <c r="I552" s="1">
        <f t="shared" si="26"/>
        <v>1</v>
      </c>
    </row>
    <row r="553" spans="1:9" x14ac:dyDescent="0.2">
      <c r="A553" s="1" t="s">
        <v>618</v>
      </c>
      <c r="B553" s="1">
        <v>62399</v>
      </c>
      <c r="C553" s="1" t="s">
        <v>27</v>
      </c>
      <c r="D553" s="1">
        <f t="shared" si="24"/>
        <v>55993.991594411818</v>
      </c>
      <c r="E553" s="1">
        <v>33.378495479999998</v>
      </c>
      <c r="F553" s="1">
        <v>-111.6359559</v>
      </c>
      <c r="G553" s="1" t="s">
        <v>44</v>
      </c>
      <c r="H553" s="1" t="str">
        <f t="shared" si="25"/>
        <v>AZ</v>
      </c>
      <c r="I553" s="1">
        <f t="shared" si="26"/>
        <v>1</v>
      </c>
    </row>
    <row r="554" spans="1:9" x14ac:dyDescent="0.2">
      <c r="A554" s="1" t="s">
        <v>619</v>
      </c>
      <c r="B554" s="1">
        <v>76881.48</v>
      </c>
      <c r="C554" s="1" t="s">
        <v>27</v>
      </c>
      <c r="D554" s="1">
        <f t="shared" si="24"/>
        <v>55993.991594411818</v>
      </c>
      <c r="E554" s="1">
        <v>33.414665499999998</v>
      </c>
      <c r="F554" s="1">
        <v>-111.85790540000001</v>
      </c>
      <c r="G554" s="1" t="s">
        <v>44</v>
      </c>
      <c r="H554" s="1" t="str">
        <f t="shared" si="25"/>
        <v>AZ</v>
      </c>
      <c r="I554" s="1">
        <f t="shared" si="26"/>
        <v>1</v>
      </c>
    </row>
    <row r="555" spans="1:9" x14ac:dyDescent="0.2">
      <c r="A555" s="1" t="s">
        <v>620</v>
      </c>
      <c r="B555" s="1">
        <v>118108.02</v>
      </c>
      <c r="C555" s="1" t="s">
        <v>27</v>
      </c>
      <c r="D555" s="1">
        <f t="shared" si="24"/>
        <v>55993.991594411818</v>
      </c>
      <c r="E555" s="1">
        <v>33.406344920000002</v>
      </c>
      <c r="F555" s="1">
        <v>-111.63255580000001</v>
      </c>
      <c r="G555" s="1" t="s">
        <v>44</v>
      </c>
      <c r="H555" s="1" t="str">
        <f t="shared" si="25"/>
        <v>AZ</v>
      </c>
      <c r="I555" s="1">
        <f t="shared" si="26"/>
        <v>1</v>
      </c>
    </row>
    <row r="556" spans="1:9" x14ac:dyDescent="0.2">
      <c r="A556" s="1" t="s">
        <v>621</v>
      </c>
      <c r="B556" s="1">
        <v>106027.95</v>
      </c>
      <c r="C556" s="1" t="s">
        <v>27</v>
      </c>
      <c r="D556" s="1">
        <f t="shared" si="24"/>
        <v>55993.991594411818</v>
      </c>
      <c r="E556" s="1">
        <v>33.397219999999997</v>
      </c>
      <c r="F556" s="1">
        <v>-111.78758999999999</v>
      </c>
      <c r="G556" s="1" t="s">
        <v>44</v>
      </c>
      <c r="H556" s="1" t="str">
        <f t="shared" si="25"/>
        <v>AZ</v>
      </c>
      <c r="I556" s="1">
        <f t="shared" si="26"/>
        <v>1</v>
      </c>
    </row>
    <row r="557" spans="1:9" x14ac:dyDescent="0.2">
      <c r="A557" s="1" t="s">
        <v>622</v>
      </c>
      <c r="B557" s="1">
        <v>90667.53</v>
      </c>
      <c r="C557" s="1" t="s">
        <v>27</v>
      </c>
      <c r="D557" s="1">
        <f t="shared" si="24"/>
        <v>55993.991594411818</v>
      </c>
      <c r="E557" s="1">
        <v>33.451722869999998</v>
      </c>
      <c r="F557" s="1">
        <v>-111.70267579999999</v>
      </c>
      <c r="G557" s="1" t="s">
        <v>44</v>
      </c>
      <c r="H557" s="1" t="str">
        <f t="shared" si="25"/>
        <v>AZ</v>
      </c>
      <c r="I557" s="1">
        <f t="shared" si="26"/>
        <v>1</v>
      </c>
    </row>
    <row r="558" spans="1:9" x14ac:dyDescent="0.2">
      <c r="A558" s="1" t="s">
        <v>623</v>
      </c>
      <c r="B558" s="1">
        <v>74379.56</v>
      </c>
      <c r="C558" s="1" t="s">
        <v>27</v>
      </c>
      <c r="D558" s="1">
        <f t="shared" si="24"/>
        <v>55993.991594411818</v>
      </c>
      <c r="E558" s="1">
        <v>33.3810626</v>
      </c>
      <c r="F558" s="1">
        <v>-111.68741780000001</v>
      </c>
      <c r="G558" s="1" t="s">
        <v>44</v>
      </c>
      <c r="H558" s="1" t="str">
        <f t="shared" si="25"/>
        <v>AZ</v>
      </c>
      <c r="I558" s="1">
        <f t="shared" si="26"/>
        <v>1</v>
      </c>
    </row>
    <row r="559" spans="1:9" x14ac:dyDescent="0.2">
      <c r="A559" s="1" t="s">
        <v>624</v>
      </c>
      <c r="B559" s="1">
        <v>62290.57</v>
      </c>
      <c r="C559" s="1" t="s">
        <v>27</v>
      </c>
      <c r="D559" s="1">
        <f t="shared" si="24"/>
        <v>55993.991594411818</v>
      </c>
      <c r="E559" s="1">
        <v>33.415697129999998</v>
      </c>
      <c r="F559" s="1">
        <v>-111.7345533</v>
      </c>
      <c r="G559" s="1" t="s">
        <v>44</v>
      </c>
      <c r="H559" s="1" t="str">
        <f t="shared" si="25"/>
        <v>AZ</v>
      </c>
      <c r="I559" s="1">
        <f t="shared" si="26"/>
        <v>1</v>
      </c>
    </row>
    <row r="560" spans="1:9" x14ac:dyDescent="0.2">
      <c r="A560" s="1" t="s">
        <v>625</v>
      </c>
      <c r="B560" s="1">
        <v>103477.24</v>
      </c>
      <c r="C560" s="1" t="s">
        <v>27</v>
      </c>
      <c r="D560" s="1">
        <f t="shared" si="24"/>
        <v>55993.991594411818</v>
      </c>
      <c r="E560" s="1">
        <v>33.37897856</v>
      </c>
      <c r="F560" s="1">
        <v>-111.8435771</v>
      </c>
      <c r="G560" s="1" t="s">
        <v>44</v>
      </c>
      <c r="H560" s="1" t="str">
        <f t="shared" si="25"/>
        <v>AZ</v>
      </c>
      <c r="I560" s="1">
        <f t="shared" si="26"/>
        <v>1</v>
      </c>
    </row>
    <row r="561" spans="1:9" x14ac:dyDescent="0.2">
      <c r="A561" s="1" t="s">
        <v>626</v>
      </c>
      <c r="B561" s="1">
        <v>166146.01</v>
      </c>
      <c r="C561" s="1" t="s">
        <v>27</v>
      </c>
      <c r="D561" s="1">
        <f t="shared" si="24"/>
        <v>55993.991594411818</v>
      </c>
      <c r="E561" s="1">
        <v>33.450705579999997</v>
      </c>
      <c r="F561" s="1">
        <v>-111.80473569999999</v>
      </c>
      <c r="G561" s="1" t="s">
        <v>44</v>
      </c>
      <c r="H561" s="1" t="str">
        <f t="shared" si="25"/>
        <v>AZ</v>
      </c>
      <c r="I561" s="1">
        <f t="shared" si="26"/>
        <v>1</v>
      </c>
    </row>
    <row r="562" spans="1:9" x14ac:dyDescent="0.2">
      <c r="A562" s="1" t="s">
        <v>627</v>
      </c>
      <c r="B562" s="1">
        <v>185120.95</v>
      </c>
      <c r="C562" s="1" t="s">
        <v>27</v>
      </c>
      <c r="D562" s="1">
        <f t="shared" si="24"/>
        <v>55993.991594411818</v>
      </c>
      <c r="E562" s="1">
        <v>33.365484160000001</v>
      </c>
      <c r="F562" s="1">
        <v>-111.6013952</v>
      </c>
      <c r="G562" s="1" t="s">
        <v>44</v>
      </c>
      <c r="H562" s="1" t="str">
        <f t="shared" si="25"/>
        <v>AZ</v>
      </c>
      <c r="I562" s="1">
        <f t="shared" si="26"/>
        <v>1</v>
      </c>
    </row>
    <row r="563" spans="1:9" x14ac:dyDescent="0.2">
      <c r="A563" s="1" t="s">
        <v>628</v>
      </c>
      <c r="B563" s="1">
        <v>53928.32</v>
      </c>
      <c r="C563" s="1" t="s">
        <v>27</v>
      </c>
      <c r="D563" s="1">
        <f t="shared" si="24"/>
        <v>55993.991594411818</v>
      </c>
      <c r="E563" s="1">
        <v>33.393837130000001</v>
      </c>
      <c r="F563" s="1">
        <v>-111.75241080000001</v>
      </c>
      <c r="G563" s="1" t="s">
        <v>44</v>
      </c>
      <c r="H563" s="1" t="str">
        <f t="shared" si="25"/>
        <v>AZ</v>
      </c>
      <c r="I563" s="1">
        <f t="shared" si="26"/>
        <v>0</v>
      </c>
    </row>
    <row r="564" spans="1:9" x14ac:dyDescent="0.2">
      <c r="A564" s="1" t="s">
        <v>629</v>
      </c>
      <c r="B564" s="1">
        <v>66258.53</v>
      </c>
      <c r="C564" s="1" t="s">
        <v>27</v>
      </c>
      <c r="D564" s="1">
        <f t="shared" si="24"/>
        <v>55993.991594411818</v>
      </c>
      <c r="E564" s="1">
        <v>33.415117129999999</v>
      </c>
      <c r="F564" s="1">
        <v>-111.8719588</v>
      </c>
      <c r="G564" s="1" t="s">
        <v>44</v>
      </c>
      <c r="H564" s="1" t="str">
        <f t="shared" si="25"/>
        <v>AZ</v>
      </c>
      <c r="I564" s="1">
        <f t="shared" si="26"/>
        <v>1</v>
      </c>
    </row>
    <row r="565" spans="1:9" x14ac:dyDescent="0.2">
      <c r="A565" s="1" t="s">
        <v>630</v>
      </c>
      <c r="B565" s="1">
        <v>60133.440000000002</v>
      </c>
      <c r="C565" s="1" t="s">
        <v>27</v>
      </c>
      <c r="D565" s="1">
        <f t="shared" si="24"/>
        <v>55993.991594411818</v>
      </c>
      <c r="E565" s="1">
        <v>33.36409287</v>
      </c>
      <c r="F565" s="1">
        <v>-111.85988999999999</v>
      </c>
      <c r="G565" s="1" t="s">
        <v>44</v>
      </c>
      <c r="H565" s="1" t="str">
        <f t="shared" si="25"/>
        <v>AZ</v>
      </c>
      <c r="I565" s="1">
        <f t="shared" si="26"/>
        <v>1</v>
      </c>
    </row>
    <row r="566" spans="1:9" x14ac:dyDescent="0.2">
      <c r="A566" s="1" t="s">
        <v>631</v>
      </c>
      <c r="B566" s="1">
        <v>50556.67</v>
      </c>
      <c r="C566" s="1" t="s">
        <v>27</v>
      </c>
      <c r="D566" s="1">
        <f t="shared" si="24"/>
        <v>55993.991594411818</v>
      </c>
      <c r="E566" s="1">
        <v>33.450444879999999</v>
      </c>
      <c r="F566" s="1">
        <v>-111.6838656</v>
      </c>
      <c r="G566" s="1" t="s">
        <v>44</v>
      </c>
      <c r="H566" s="1" t="str">
        <f t="shared" si="25"/>
        <v>AZ</v>
      </c>
      <c r="I566" s="1">
        <f t="shared" si="26"/>
        <v>0</v>
      </c>
    </row>
    <row r="567" spans="1:9" x14ac:dyDescent="0.2">
      <c r="A567" s="1" t="s">
        <v>632</v>
      </c>
      <c r="B567" s="1">
        <v>90148</v>
      </c>
      <c r="C567" s="1" t="s">
        <v>27</v>
      </c>
      <c r="D567" s="1">
        <f t="shared" si="24"/>
        <v>55993.991594411818</v>
      </c>
      <c r="E567" s="1">
        <v>33.336859910000001</v>
      </c>
      <c r="F567" s="1">
        <v>-111.6010127</v>
      </c>
      <c r="G567" s="1" t="s">
        <v>44</v>
      </c>
      <c r="H567" s="1" t="str">
        <f t="shared" si="25"/>
        <v>AZ</v>
      </c>
      <c r="I567" s="1">
        <f t="shared" si="26"/>
        <v>1</v>
      </c>
    </row>
    <row r="568" spans="1:9" x14ac:dyDescent="0.2">
      <c r="A568" s="1" t="s">
        <v>633</v>
      </c>
      <c r="B568" s="1">
        <v>102758.6</v>
      </c>
      <c r="C568" s="1" t="s">
        <v>27</v>
      </c>
      <c r="D568" s="1">
        <f t="shared" si="24"/>
        <v>55993.991594411818</v>
      </c>
      <c r="E568" s="1">
        <v>33.321440000000003</v>
      </c>
      <c r="F568" s="1">
        <v>-111.63463</v>
      </c>
      <c r="G568" s="1" t="s">
        <v>44</v>
      </c>
      <c r="H568" s="1" t="str">
        <f t="shared" si="25"/>
        <v>AZ</v>
      </c>
      <c r="I568" s="1">
        <f t="shared" si="26"/>
        <v>1</v>
      </c>
    </row>
    <row r="569" spans="1:9" x14ac:dyDescent="0.2">
      <c r="A569" s="1" t="s">
        <v>634</v>
      </c>
      <c r="B569" s="1">
        <v>106069.43</v>
      </c>
      <c r="C569" s="1" t="s">
        <v>27</v>
      </c>
      <c r="D569" s="1">
        <f t="shared" si="24"/>
        <v>55993.991594411818</v>
      </c>
      <c r="E569" s="1">
        <v>33.32347</v>
      </c>
      <c r="F569" s="1">
        <v>-111.6871641</v>
      </c>
      <c r="G569" s="1" t="s">
        <v>44</v>
      </c>
      <c r="H569" s="1" t="str">
        <f t="shared" si="25"/>
        <v>AZ</v>
      </c>
      <c r="I569" s="1">
        <f t="shared" si="26"/>
        <v>1</v>
      </c>
    </row>
    <row r="570" spans="1:9" x14ac:dyDescent="0.2">
      <c r="A570" s="1" t="s">
        <v>635</v>
      </c>
      <c r="B570" s="1">
        <v>56187.44</v>
      </c>
      <c r="C570" s="1" t="s">
        <v>27</v>
      </c>
      <c r="D570" s="1">
        <f t="shared" si="24"/>
        <v>55993.991594411818</v>
      </c>
      <c r="E570" s="1">
        <v>33.453802889999999</v>
      </c>
      <c r="F570" s="1">
        <v>-111.6838407</v>
      </c>
      <c r="G570" s="1" t="s">
        <v>44</v>
      </c>
      <c r="H570" s="1" t="str">
        <f t="shared" si="25"/>
        <v>AZ</v>
      </c>
      <c r="I570" s="1">
        <f t="shared" si="26"/>
        <v>1</v>
      </c>
    </row>
    <row r="571" spans="1:9" x14ac:dyDescent="0.2">
      <c r="A571" s="1" t="s">
        <v>636</v>
      </c>
      <c r="B571" s="1">
        <v>79394.95</v>
      </c>
      <c r="C571" s="1" t="s">
        <v>27</v>
      </c>
      <c r="D571" s="1">
        <f t="shared" si="24"/>
        <v>55993.991594411818</v>
      </c>
      <c r="E571" s="1">
        <v>33.392308190000001</v>
      </c>
      <c r="F571" s="1">
        <v>-111.86389699999999</v>
      </c>
      <c r="G571" s="1" t="s">
        <v>44</v>
      </c>
      <c r="H571" s="1" t="str">
        <f t="shared" si="25"/>
        <v>AZ</v>
      </c>
      <c r="I571" s="1">
        <f t="shared" si="26"/>
        <v>1</v>
      </c>
    </row>
    <row r="572" spans="1:9" x14ac:dyDescent="0.2">
      <c r="A572" s="1" t="s">
        <v>637</v>
      </c>
      <c r="B572" s="1">
        <v>58778.84</v>
      </c>
      <c r="C572" s="1" t="s">
        <v>27</v>
      </c>
      <c r="D572" s="1">
        <f t="shared" si="24"/>
        <v>55993.991594411818</v>
      </c>
      <c r="E572" s="1">
        <v>33.394390000000001</v>
      </c>
      <c r="F572" s="1">
        <v>-111.78804580000001</v>
      </c>
      <c r="G572" s="1" t="s">
        <v>44</v>
      </c>
      <c r="H572" s="1" t="str">
        <f t="shared" si="25"/>
        <v>AZ</v>
      </c>
      <c r="I572" s="1">
        <f t="shared" si="26"/>
        <v>1</v>
      </c>
    </row>
    <row r="573" spans="1:9" x14ac:dyDescent="0.2">
      <c r="A573" s="1" t="s">
        <v>638</v>
      </c>
      <c r="B573" s="1">
        <v>64377.19</v>
      </c>
      <c r="C573" s="1" t="s">
        <v>27</v>
      </c>
      <c r="D573" s="1">
        <f t="shared" si="24"/>
        <v>55993.991594411818</v>
      </c>
      <c r="E573" s="1">
        <v>33.38895333</v>
      </c>
      <c r="F573" s="1">
        <v>-111.6845058</v>
      </c>
      <c r="G573" s="1" t="s">
        <v>44</v>
      </c>
      <c r="H573" s="1" t="str">
        <f t="shared" si="25"/>
        <v>AZ</v>
      </c>
      <c r="I573" s="1">
        <f t="shared" si="26"/>
        <v>1</v>
      </c>
    </row>
    <row r="574" spans="1:9" x14ac:dyDescent="0.2">
      <c r="A574" s="1" t="s">
        <v>639</v>
      </c>
      <c r="B574" s="1">
        <v>19138.95</v>
      </c>
      <c r="C574" s="1" t="s">
        <v>27</v>
      </c>
      <c r="D574" s="1">
        <f t="shared" si="24"/>
        <v>55993.991594411818</v>
      </c>
      <c r="E574" s="1">
        <v>33.393309109999997</v>
      </c>
      <c r="F574" s="1">
        <v>-111.856013</v>
      </c>
      <c r="G574" s="1" t="s">
        <v>44</v>
      </c>
      <c r="H574" s="1" t="str">
        <f t="shared" si="25"/>
        <v>AZ</v>
      </c>
      <c r="I574" s="1">
        <f t="shared" si="26"/>
        <v>0</v>
      </c>
    </row>
    <row r="575" spans="1:9" x14ac:dyDescent="0.2">
      <c r="A575" s="1" t="s">
        <v>640</v>
      </c>
      <c r="B575" s="1">
        <v>10601.99</v>
      </c>
      <c r="C575" s="1" t="s">
        <v>27</v>
      </c>
      <c r="D575" s="1">
        <f t="shared" si="24"/>
        <v>55993.991594411818</v>
      </c>
      <c r="E575" s="1">
        <v>33.378712870000001</v>
      </c>
      <c r="F575" s="1">
        <v>-111.60057999999999</v>
      </c>
      <c r="G575" s="1" t="s">
        <v>44</v>
      </c>
      <c r="H575" s="1" t="str">
        <f t="shared" si="25"/>
        <v>AZ</v>
      </c>
      <c r="I575" s="1">
        <f t="shared" si="26"/>
        <v>0</v>
      </c>
    </row>
    <row r="576" spans="1:9" x14ac:dyDescent="0.2">
      <c r="A576" s="1" t="s">
        <v>641</v>
      </c>
      <c r="B576" s="1">
        <v>16328.12</v>
      </c>
      <c r="C576" s="1" t="s">
        <v>27</v>
      </c>
      <c r="D576" s="1">
        <f t="shared" si="24"/>
        <v>55993.991594411818</v>
      </c>
      <c r="E576" s="1">
        <v>33.391964999999999</v>
      </c>
      <c r="F576" s="1">
        <v>-111.73638579999999</v>
      </c>
      <c r="G576" s="1" t="s">
        <v>44</v>
      </c>
      <c r="H576" s="1" t="str">
        <f t="shared" si="25"/>
        <v>AZ</v>
      </c>
      <c r="I576" s="1">
        <f t="shared" si="26"/>
        <v>0</v>
      </c>
    </row>
    <row r="577" spans="1:9" x14ac:dyDescent="0.2">
      <c r="A577" s="1" t="s">
        <v>642</v>
      </c>
      <c r="B577" s="1">
        <v>8601.26</v>
      </c>
      <c r="C577" s="1" t="s">
        <v>27</v>
      </c>
      <c r="D577" s="1">
        <f t="shared" si="24"/>
        <v>55993.991594411818</v>
      </c>
      <c r="E577" s="1">
        <v>33.451196080000003</v>
      </c>
      <c r="F577" s="1">
        <v>-111.6838657</v>
      </c>
      <c r="G577" s="1" t="s">
        <v>44</v>
      </c>
      <c r="H577" s="1" t="str">
        <f t="shared" si="25"/>
        <v>AZ</v>
      </c>
      <c r="I577" s="1">
        <f t="shared" si="26"/>
        <v>0</v>
      </c>
    </row>
    <row r="578" spans="1:9" x14ac:dyDescent="0.2">
      <c r="A578" s="1" t="s">
        <v>643</v>
      </c>
      <c r="B578" s="1">
        <v>15607.9</v>
      </c>
      <c r="C578" s="1" t="s">
        <v>27</v>
      </c>
      <c r="D578" s="1">
        <f t="shared" si="24"/>
        <v>55993.991594411818</v>
      </c>
      <c r="E578" s="1">
        <v>33.40801287</v>
      </c>
      <c r="F578" s="1">
        <v>-111.7704067</v>
      </c>
      <c r="G578" s="1" t="s">
        <v>44</v>
      </c>
      <c r="H578" s="1" t="str">
        <f t="shared" si="25"/>
        <v>AZ</v>
      </c>
      <c r="I578" s="1">
        <f t="shared" si="26"/>
        <v>0</v>
      </c>
    </row>
    <row r="579" spans="1:9" x14ac:dyDescent="0.2">
      <c r="A579" s="1" t="s">
        <v>644</v>
      </c>
      <c r="B579" s="1">
        <v>11751.2</v>
      </c>
      <c r="C579" s="1" t="s">
        <v>27</v>
      </c>
      <c r="D579" s="1">
        <f t="shared" ref="D579:D642" si="27">AVERAGEIFS($B:$B,$C:$C,$C579)</f>
        <v>55993.991594411818</v>
      </c>
      <c r="E579" s="1">
        <v>33.393212869999999</v>
      </c>
      <c r="F579" s="1">
        <v>-111.80627</v>
      </c>
      <c r="G579" s="1" t="s">
        <v>44</v>
      </c>
      <c r="H579" s="1" t="str">
        <f t="shared" ref="H579:H642" si="28">TRIM(_xlfn.TEXTAFTER(A579, ",", -1))</f>
        <v>AZ</v>
      </c>
      <c r="I579" s="1">
        <f t="shared" ref="I579:I642" si="29">IF(B579&gt;D579,1,0)</f>
        <v>0</v>
      </c>
    </row>
    <row r="580" spans="1:9" x14ac:dyDescent="0.2">
      <c r="A580" s="1" t="s">
        <v>645</v>
      </c>
      <c r="B580" s="1">
        <v>15783.24</v>
      </c>
      <c r="C580" s="1" t="s">
        <v>27</v>
      </c>
      <c r="D580" s="1">
        <f t="shared" si="27"/>
        <v>55993.991594411818</v>
      </c>
      <c r="E580" s="1">
        <v>33.37922287</v>
      </c>
      <c r="F580" s="1">
        <v>-111.6816986</v>
      </c>
      <c r="G580" s="1" t="s">
        <v>44</v>
      </c>
      <c r="H580" s="1" t="str">
        <f t="shared" si="28"/>
        <v>AZ</v>
      </c>
      <c r="I580" s="1">
        <f t="shared" si="29"/>
        <v>0</v>
      </c>
    </row>
    <row r="581" spans="1:9" x14ac:dyDescent="0.2">
      <c r="A581" s="1" t="s">
        <v>646</v>
      </c>
      <c r="B581" s="1">
        <v>11115.16</v>
      </c>
      <c r="C581" s="1" t="s">
        <v>27</v>
      </c>
      <c r="D581" s="1">
        <f t="shared" si="27"/>
        <v>55993.991594411818</v>
      </c>
      <c r="E581" s="1">
        <v>33.45166287</v>
      </c>
      <c r="F581" s="1">
        <v>-111.77243</v>
      </c>
      <c r="G581" s="1" t="s">
        <v>44</v>
      </c>
      <c r="H581" s="1" t="str">
        <f t="shared" si="28"/>
        <v>AZ</v>
      </c>
      <c r="I581" s="1">
        <f t="shared" si="29"/>
        <v>0</v>
      </c>
    </row>
    <row r="582" spans="1:9" x14ac:dyDescent="0.2">
      <c r="A582" s="1" t="s">
        <v>647</v>
      </c>
      <c r="B582" s="1">
        <v>14489.25</v>
      </c>
      <c r="C582" s="1" t="s">
        <v>27</v>
      </c>
      <c r="D582" s="1">
        <f t="shared" si="27"/>
        <v>55993.991594411818</v>
      </c>
      <c r="E582" s="1">
        <v>33.437419400000003</v>
      </c>
      <c r="F582" s="1">
        <v>-111.7349292</v>
      </c>
      <c r="G582" s="1" t="s">
        <v>44</v>
      </c>
      <c r="H582" s="1" t="str">
        <f t="shared" si="28"/>
        <v>AZ</v>
      </c>
      <c r="I582" s="1">
        <f t="shared" si="29"/>
        <v>0</v>
      </c>
    </row>
    <row r="583" spans="1:9" x14ac:dyDescent="0.2">
      <c r="A583" s="1" t="s">
        <v>648</v>
      </c>
      <c r="B583" s="1">
        <v>10755.96</v>
      </c>
      <c r="C583" s="1" t="s">
        <v>27</v>
      </c>
      <c r="D583" s="1">
        <f t="shared" si="27"/>
        <v>55993.991594411818</v>
      </c>
      <c r="E583" s="1">
        <v>33.422397119999999</v>
      </c>
      <c r="F583" s="1">
        <v>-111.8477321</v>
      </c>
      <c r="G583" s="1" t="s">
        <v>44</v>
      </c>
      <c r="H583" s="1" t="str">
        <f t="shared" si="28"/>
        <v>AZ</v>
      </c>
      <c r="I583" s="1">
        <f t="shared" si="29"/>
        <v>0</v>
      </c>
    </row>
    <row r="584" spans="1:9" x14ac:dyDescent="0.2">
      <c r="A584" s="1" t="s">
        <v>649</v>
      </c>
      <c r="B584" s="1">
        <v>14254.47</v>
      </c>
      <c r="C584" s="1" t="s">
        <v>27</v>
      </c>
      <c r="D584" s="1">
        <f t="shared" si="27"/>
        <v>55993.991594411818</v>
      </c>
      <c r="E584" s="1">
        <v>33.407276670000002</v>
      </c>
      <c r="F584" s="1">
        <v>-111.6676243</v>
      </c>
      <c r="G584" s="1" t="s">
        <v>44</v>
      </c>
      <c r="H584" s="1" t="str">
        <f t="shared" si="28"/>
        <v>AZ</v>
      </c>
      <c r="I584" s="1">
        <f t="shared" si="29"/>
        <v>0</v>
      </c>
    </row>
    <row r="585" spans="1:9" x14ac:dyDescent="0.2">
      <c r="A585" s="1" t="s">
        <v>650</v>
      </c>
      <c r="B585" s="1">
        <v>18936.97</v>
      </c>
      <c r="C585" s="1" t="s">
        <v>27</v>
      </c>
      <c r="D585" s="1">
        <f t="shared" si="27"/>
        <v>55993.991594411818</v>
      </c>
      <c r="E585" s="1">
        <v>33.39436619</v>
      </c>
      <c r="F585" s="1">
        <v>-111.6155619</v>
      </c>
      <c r="G585" s="1" t="s">
        <v>44</v>
      </c>
      <c r="H585" s="1" t="str">
        <f t="shared" si="28"/>
        <v>AZ</v>
      </c>
      <c r="I585" s="1">
        <f t="shared" si="29"/>
        <v>0</v>
      </c>
    </row>
    <row r="586" spans="1:9" x14ac:dyDescent="0.2">
      <c r="A586" s="1" t="s">
        <v>651</v>
      </c>
      <c r="B586" s="1">
        <v>14209.32</v>
      </c>
      <c r="C586" s="1" t="s">
        <v>27</v>
      </c>
      <c r="D586" s="1">
        <f t="shared" si="27"/>
        <v>55993.991594411818</v>
      </c>
      <c r="E586" s="1">
        <v>33.481375</v>
      </c>
      <c r="F586" s="1">
        <v>-111.68414439999999</v>
      </c>
      <c r="G586" s="1" t="s">
        <v>44</v>
      </c>
      <c r="H586" s="1" t="str">
        <f t="shared" si="28"/>
        <v>AZ</v>
      </c>
      <c r="I586" s="1">
        <f t="shared" si="29"/>
        <v>0</v>
      </c>
    </row>
    <row r="587" spans="1:9" x14ac:dyDescent="0.2">
      <c r="A587" s="1" t="s">
        <v>652</v>
      </c>
      <c r="B587" s="1">
        <v>24912.74</v>
      </c>
      <c r="C587" s="1" t="s">
        <v>27</v>
      </c>
      <c r="D587" s="1">
        <f t="shared" si="27"/>
        <v>55993.991594411818</v>
      </c>
      <c r="E587" s="1">
        <v>33.436117609999997</v>
      </c>
      <c r="F587" s="1">
        <v>-111.82249590000001</v>
      </c>
      <c r="G587" s="1" t="s">
        <v>44</v>
      </c>
      <c r="H587" s="1" t="str">
        <f t="shared" si="28"/>
        <v>AZ</v>
      </c>
      <c r="I587" s="1">
        <f t="shared" si="29"/>
        <v>0</v>
      </c>
    </row>
    <row r="588" spans="1:9" x14ac:dyDescent="0.2">
      <c r="A588" s="1" t="s">
        <v>653</v>
      </c>
      <c r="B588" s="1">
        <v>4244.5200000000004</v>
      </c>
      <c r="C588" s="1" t="s">
        <v>27</v>
      </c>
      <c r="D588" s="1">
        <f t="shared" si="27"/>
        <v>55993.991594411818</v>
      </c>
      <c r="E588" s="1">
        <v>33.415507079999998</v>
      </c>
      <c r="F588" s="1">
        <v>-111.63135459999999</v>
      </c>
      <c r="G588" s="1" t="s">
        <v>44</v>
      </c>
      <c r="H588" s="1" t="str">
        <f t="shared" si="28"/>
        <v>AZ</v>
      </c>
      <c r="I588" s="1">
        <f t="shared" si="29"/>
        <v>0</v>
      </c>
    </row>
    <row r="589" spans="1:9" x14ac:dyDescent="0.2">
      <c r="A589" s="1" t="s">
        <v>654</v>
      </c>
      <c r="B589" s="1">
        <v>9681.91</v>
      </c>
      <c r="C589" s="1" t="s">
        <v>27</v>
      </c>
      <c r="D589" s="1">
        <f t="shared" si="27"/>
        <v>55993.991594411818</v>
      </c>
      <c r="E589" s="1">
        <v>33.415097060000001</v>
      </c>
      <c r="F589" s="1">
        <v>-111.8751053</v>
      </c>
      <c r="G589" s="1" t="s">
        <v>44</v>
      </c>
      <c r="H589" s="1" t="str">
        <f t="shared" si="28"/>
        <v>AZ</v>
      </c>
      <c r="I589" s="1">
        <f t="shared" si="29"/>
        <v>0</v>
      </c>
    </row>
    <row r="590" spans="1:9" x14ac:dyDescent="0.2">
      <c r="A590" s="1" t="s">
        <v>655</v>
      </c>
      <c r="B590" s="1">
        <v>14916.14</v>
      </c>
      <c r="C590" s="1" t="s">
        <v>27</v>
      </c>
      <c r="D590" s="1">
        <f t="shared" si="27"/>
        <v>55993.991594411818</v>
      </c>
      <c r="E590" s="1">
        <v>33.364453009999998</v>
      </c>
      <c r="F590" s="1">
        <v>-111.6352875</v>
      </c>
      <c r="G590" s="1" t="s">
        <v>44</v>
      </c>
      <c r="H590" s="1" t="str">
        <f t="shared" si="28"/>
        <v>AZ</v>
      </c>
      <c r="I590" s="1">
        <f t="shared" si="29"/>
        <v>0</v>
      </c>
    </row>
    <row r="591" spans="1:9" x14ac:dyDescent="0.2">
      <c r="A591" s="1" t="s">
        <v>656</v>
      </c>
      <c r="B591" s="1">
        <v>4774.66</v>
      </c>
      <c r="C591" s="1" t="s">
        <v>27</v>
      </c>
      <c r="D591" s="1">
        <f t="shared" si="27"/>
        <v>55993.991594411818</v>
      </c>
      <c r="E591" s="1">
        <v>33.415807129999997</v>
      </c>
      <c r="F591" s="1">
        <v>-111.7017086</v>
      </c>
      <c r="G591" s="1" t="s">
        <v>44</v>
      </c>
      <c r="H591" s="1" t="str">
        <f t="shared" si="28"/>
        <v>AZ</v>
      </c>
      <c r="I591" s="1">
        <f t="shared" si="29"/>
        <v>0</v>
      </c>
    </row>
    <row r="592" spans="1:9" x14ac:dyDescent="0.2">
      <c r="A592" s="1" t="s">
        <v>657</v>
      </c>
      <c r="B592" s="1">
        <v>10597.48</v>
      </c>
      <c r="C592" s="1" t="s">
        <v>27</v>
      </c>
      <c r="D592" s="1">
        <f t="shared" si="27"/>
        <v>55993.991594411818</v>
      </c>
      <c r="E592" s="1">
        <v>33.364377130000001</v>
      </c>
      <c r="F592" s="1">
        <v>-111.85822</v>
      </c>
      <c r="G592" s="1" t="s">
        <v>44</v>
      </c>
      <c r="H592" s="1" t="str">
        <f t="shared" si="28"/>
        <v>AZ</v>
      </c>
      <c r="I592" s="1">
        <f t="shared" si="29"/>
        <v>0</v>
      </c>
    </row>
    <row r="593" spans="1:9" x14ac:dyDescent="0.2">
      <c r="A593" s="1" t="s">
        <v>658</v>
      </c>
      <c r="B593" s="1">
        <v>27836.04</v>
      </c>
      <c r="C593" s="1" t="s">
        <v>27</v>
      </c>
      <c r="D593" s="1">
        <f t="shared" si="27"/>
        <v>55993.991594411818</v>
      </c>
      <c r="E593" s="1">
        <v>33.567284819999998</v>
      </c>
      <c r="F593" s="1">
        <v>-112.2033321</v>
      </c>
      <c r="G593" s="1" t="s">
        <v>45</v>
      </c>
      <c r="H593" s="1" t="str">
        <f t="shared" si="28"/>
        <v>AZ</v>
      </c>
      <c r="I593" s="1">
        <f t="shared" si="29"/>
        <v>0</v>
      </c>
    </row>
    <row r="594" spans="1:9" x14ac:dyDescent="0.2">
      <c r="A594" s="1" t="s">
        <v>659</v>
      </c>
      <c r="B594" s="1">
        <v>27307.46</v>
      </c>
      <c r="C594" s="1" t="s">
        <v>27</v>
      </c>
      <c r="D594" s="1">
        <f t="shared" si="27"/>
        <v>55993.991594411818</v>
      </c>
      <c r="E594" s="1">
        <v>33.638317129999997</v>
      </c>
      <c r="F594" s="1">
        <v>-112.2518</v>
      </c>
      <c r="G594" s="1" t="s">
        <v>45</v>
      </c>
      <c r="H594" s="1" t="str">
        <f t="shared" si="28"/>
        <v>AZ</v>
      </c>
      <c r="I594" s="1">
        <f t="shared" si="29"/>
        <v>0</v>
      </c>
    </row>
    <row r="595" spans="1:9" x14ac:dyDescent="0.2">
      <c r="A595" s="1" t="s">
        <v>660</v>
      </c>
      <c r="B595" s="1">
        <v>46073.52</v>
      </c>
      <c r="C595" s="1" t="s">
        <v>27</v>
      </c>
      <c r="D595" s="1">
        <f t="shared" si="27"/>
        <v>55993.991594411818</v>
      </c>
      <c r="E595" s="1">
        <v>33.681727850000001</v>
      </c>
      <c r="F595" s="1">
        <v>-112.2364316</v>
      </c>
      <c r="G595" s="1" t="s">
        <v>45</v>
      </c>
      <c r="H595" s="1" t="str">
        <f t="shared" si="28"/>
        <v>AZ</v>
      </c>
      <c r="I595" s="1">
        <f t="shared" si="29"/>
        <v>0</v>
      </c>
    </row>
    <row r="596" spans="1:9" x14ac:dyDescent="0.2">
      <c r="A596" s="1" t="s">
        <v>661</v>
      </c>
      <c r="B596" s="1">
        <v>24756.97</v>
      </c>
      <c r="C596" s="1" t="s">
        <v>27</v>
      </c>
      <c r="D596" s="1">
        <f t="shared" si="27"/>
        <v>55993.991594411818</v>
      </c>
      <c r="E596" s="1">
        <v>33.609783020000002</v>
      </c>
      <c r="F596" s="1">
        <v>-112.23754219999999</v>
      </c>
      <c r="G596" s="1" t="s">
        <v>45</v>
      </c>
      <c r="H596" s="1" t="str">
        <f t="shared" si="28"/>
        <v>AZ</v>
      </c>
      <c r="I596" s="1">
        <f t="shared" si="29"/>
        <v>0</v>
      </c>
    </row>
    <row r="597" spans="1:9" x14ac:dyDescent="0.2">
      <c r="A597" s="1" t="s">
        <v>662</v>
      </c>
      <c r="B597" s="1">
        <v>19717.490000000002</v>
      </c>
      <c r="C597" s="1" t="s">
        <v>27</v>
      </c>
      <c r="D597" s="1">
        <f t="shared" si="27"/>
        <v>55993.991594411818</v>
      </c>
      <c r="E597" s="1">
        <v>33.66854</v>
      </c>
      <c r="F597" s="1">
        <v>-112.2797152</v>
      </c>
      <c r="G597" s="1" t="s">
        <v>45</v>
      </c>
      <c r="H597" s="1" t="str">
        <f t="shared" si="28"/>
        <v>AZ</v>
      </c>
      <c r="I597" s="1">
        <f t="shared" si="29"/>
        <v>0</v>
      </c>
    </row>
    <row r="598" spans="1:9" x14ac:dyDescent="0.2">
      <c r="A598" s="1" t="s">
        <v>663</v>
      </c>
      <c r="B598" s="1">
        <v>43775.91</v>
      </c>
      <c r="C598" s="1" t="s">
        <v>27</v>
      </c>
      <c r="D598" s="1">
        <f t="shared" si="27"/>
        <v>55993.991594411818</v>
      </c>
      <c r="E598" s="1">
        <v>33.570979999999999</v>
      </c>
      <c r="F598" s="1">
        <v>-112.24777</v>
      </c>
      <c r="G598" s="1" t="s">
        <v>45</v>
      </c>
      <c r="H598" s="1" t="str">
        <f t="shared" si="28"/>
        <v>AZ</v>
      </c>
      <c r="I598" s="1">
        <f t="shared" si="29"/>
        <v>0</v>
      </c>
    </row>
    <row r="599" spans="1:9" x14ac:dyDescent="0.2">
      <c r="A599" s="1" t="s">
        <v>664</v>
      </c>
      <c r="B599" s="1">
        <v>49348.69</v>
      </c>
      <c r="C599" s="1" t="s">
        <v>27</v>
      </c>
      <c r="D599" s="1">
        <f t="shared" si="27"/>
        <v>55993.991594411818</v>
      </c>
      <c r="E599" s="1">
        <v>33.580704310000002</v>
      </c>
      <c r="F599" s="1">
        <v>-112.2544402</v>
      </c>
      <c r="G599" s="1" t="s">
        <v>45</v>
      </c>
      <c r="H599" s="1" t="str">
        <f t="shared" si="28"/>
        <v>AZ</v>
      </c>
      <c r="I599" s="1">
        <f t="shared" si="29"/>
        <v>0</v>
      </c>
    </row>
    <row r="600" spans="1:9" x14ac:dyDescent="0.2">
      <c r="A600" s="1" t="s">
        <v>665</v>
      </c>
      <c r="B600" s="1">
        <v>38906.300000000003</v>
      </c>
      <c r="C600" s="1" t="s">
        <v>27</v>
      </c>
      <c r="D600" s="1">
        <f t="shared" si="27"/>
        <v>55993.991594411818</v>
      </c>
      <c r="E600" s="1">
        <v>33.581522280000002</v>
      </c>
      <c r="F600" s="1">
        <v>-112.2204662</v>
      </c>
      <c r="G600" s="1" t="s">
        <v>45</v>
      </c>
      <c r="H600" s="1" t="str">
        <f t="shared" si="28"/>
        <v>AZ</v>
      </c>
      <c r="I600" s="1">
        <f t="shared" si="29"/>
        <v>0</v>
      </c>
    </row>
    <row r="601" spans="1:9" x14ac:dyDescent="0.2">
      <c r="A601" s="1" t="s">
        <v>666</v>
      </c>
      <c r="B601" s="1">
        <v>49591.69</v>
      </c>
      <c r="C601" s="1" t="s">
        <v>27</v>
      </c>
      <c r="D601" s="1">
        <f t="shared" si="27"/>
        <v>55993.991594411818</v>
      </c>
      <c r="E601" s="1">
        <v>33.596007120000003</v>
      </c>
      <c r="F601" s="1">
        <v>-112.21952229999999</v>
      </c>
      <c r="G601" s="1" t="s">
        <v>45</v>
      </c>
      <c r="H601" s="1" t="str">
        <f t="shared" si="28"/>
        <v>AZ</v>
      </c>
      <c r="I601" s="1">
        <f t="shared" si="29"/>
        <v>0</v>
      </c>
    </row>
    <row r="602" spans="1:9" x14ac:dyDescent="0.2">
      <c r="A602" s="1" t="s">
        <v>667</v>
      </c>
      <c r="B602" s="1">
        <v>48009.47</v>
      </c>
      <c r="C602" s="1" t="s">
        <v>27</v>
      </c>
      <c r="D602" s="1">
        <f t="shared" si="27"/>
        <v>55993.991594411818</v>
      </c>
      <c r="E602" s="1">
        <v>33.609780890000003</v>
      </c>
      <c r="F602" s="1">
        <v>-112.2377791</v>
      </c>
      <c r="G602" s="1" t="s">
        <v>45</v>
      </c>
      <c r="H602" s="1" t="str">
        <f t="shared" si="28"/>
        <v>AZ</v>
      </c>
      <c r="I602" s="1">
        <f t="shared" si="29"/>
        <v>0</v>
      </c>
    </row>
    <row r="603" spans="1:9" x14ac:dyDescent="0.2">
      <c r="A603" s="1" t="s">
        <v>668</v>
      </c>
      <c r="B603" s="1">
        <v>93034.26</v>
      </c>
      <c r="C603" s="1" t="s">
        <v>27</v>
      </c>
      <c r="D603" s="1">
        <f t="shared" si="27"/>
        <v>55993.991594411818</v>
      </c>
      <c r="E603" s="1">
        <v>33.566342980000002</v>
      </c>
      <c r="F603" s="1">
        <v>-112.2374834</v>
      </c>
      <c r="G603" s="1" t="s">
        <v>45</v>
      </c>
      <c r="H603" s="1" t="str">
        <f t="shared" si="28"/>
        <v>AZ</v>
      </c>
      <c r="I603" s="1">
        <f t="shared" si="29"/>
        <v>1</v>
      </c>
    </row>
    <row r="604" spans="1:9" x14ac:dyDescent="0.2">
      <c r="A604" s="1" t="s">
        <v>669</v>
      </c>
      <c r="B604" s="1">
        <v>78454.55</v>
      </c>
      <c r="C604" s="1" t="s">
        <v>27</v>
      </c>
      <c r="D604" s="1">
        <f t="shared" si="27"/>
        <v>55993.991594411818</v>
      </c>
      <c r="E604" s="1">
        <v>33.652857130000001</v>
      </c>
      <c r="F604" s="1">
        <v>-112.23822</v>
      </c>
      <c r="G604" s="1" t="s">
        <v>45</v>
      </c>
      <c r="H604" s="1" t="str">
        <f t="shared" si="28"/>
        <v>AZ</v>
      </c>
      <c r="I604" s="1">
        <f t="shared" si="29"/>
        <v>1</v>
      </c>
    </row>
    <row r="605" spans="1:9" x14ac:dyDescent="0.2">
      <c r="A605" s="1" t="s">
        <v>670</v>
      </c>
      <c r="B605" s="1">
        <v>88927.93</v>
      </c>
      <c r="C605" s="1" t="s">
        <v>27</v>
      </c>
      <c r="D605" s="1">
        <f t="shared" si="27"/>
        <v>55993.991594411818</v>
      </c>
      <c r="E605" s="1">
        <v>33.637902869999998</v>
      </c>
      <c r="F605" s="1">
        <v>-112.23506500000001</v>
      </c>
      <c r="G605" s="1" t="s">
        <v>45</v>
      </c>
      <c r="H605" s="1" t="str">
        <f t="shared" si="28"/>
        <v>AZ</v>
      </c>
      <c r="I605" s="1">
        <f t="shared" si="29"/>
        <v>1</v>
      </c>
    </row>
    <row r="606" spans="1:9" x14ac:dyDescent="0.2">
      <c r="A606" s="1" t="s">
        <v>671</v>
      </c>
      <c r="B606" s="1">
        <v>44692.11</v>
      </c>
      <c r="C606" s="1" t="s">
        <v>27</v>
      </c>
      <c r="D606" s="1">
        <f t="shared" si="27"/>
        <v>55993.991594411818</v>
      </c>
      <c r="E606" s="1">
        <v>33.681432870000002</v>
      </c>
      <c r="F606" s="1">
        <v>-112.23832</v>
      </c>
      <c r="G606" s="1" t="s">
        <v>45</v>
      </c>
      <c r="H606" s="1" t="str">
        <f t="shared" si="28"/>
        <v>AZ</v>
      </c>
      <c r="I606" s="1">
        <f t="shared" si="29"/>
        <v>0</v>
      </c>
    </row>
    <row r="607" spans="1:9" x14ac:dyDescent="0.2">
      <c r="A607" s="1" t="s">
        <v>672</v>
      </c>
      <c r="B607" s="1">
        <v>48850.52</v>
      </c>
      <c r="C607" s="1" t="s">
        <v>27</v>
      </c>
      <c r="D607" s="1">
        <f t="shared" si="27"/>
        <v>55993.991594411818</v>
      </c>
      <c r="E607" s="1">
        <v>33.566194009999997</v>
      </c>
      <c r="F607" s="1">
        <v>-112.2631342</v>
      </c>
      <c r="G607" s="1" t="s">
        <v>45</v>
      </c>
      <c r="H607" s="1" t="str">
        <f t="shared" si="28"/>
        <v>AZ</v>
      </c>
      <c r="I607" s="1">
        <f t="shared" si="29"/>
        <v>0</v>
      </c>
    </row>
    <row r="608" spans="1:9" x14ac:dyDescent="0.2">
      <c r="A608" s="1" t="s">
        <v>673</v>
      </c>
      <c r="B608" s="1">
        <v>68025.899999999994</v>
      </c>
      <c r="C608" s="1" t="s">
        <v>27</v>
      </c>
      <c r="D608" s="1">
        <f t="shared" si="27"/>
        <v>55993.991594411818</v>
      </c>
      <c r="E608" s="1">
        <v>33.695537229999999</v>
      </c>
      <c r="F608" s="1">
        <v>-112.2759337</v>
      </c>
      <c r="G608" s="1" t="s">
        <v>45</v>
      </c>
      <c r="H608" s="1" t="str">
        <f t="shared" si="28"/>
        <v>AZ</v>
      </c>
      <c r="I608" s="1">
        <f t="shared" si="29"/>
        <v>1</v>
      </c>
    </row>
    <row r="609" spans="1:9" x14ac:dyDescent="0.2">
      <c r="A609" s="1" t="s">
        <v>674</v>
      </c>
      <c r="B609" s="1">
        <v>75219.92</v>
      </c>
      <c r="C609" s="1" t="s">
        <v>27</v>
      </c>
      <c r="D609" s="1">
        <f t="shared" si="27"/>
        <v>55993.991594411818</v>
      </c>
      <c r="E609" s="1">
        <v>33.63832713</v>
      </c>
      <c r="F609" s="1">
        <v>-112.2467589</v>
      </c>
      <c r="G609" s="1" t="s">
        <v>45</v>
      </c>
      <c r="H609" s="1" t="str">
        <f t="shared" si="28"/>
        <v>AZ</v>
      </c>
      <c r="I609" s="1">
        <f t="shared" si="29"/>
        <v>1</v>
      </c>
    </row>
    <row r="610" spans="1:9" x14ac:dyDescent="0.2">
      <c r="A610" s="1" t="s">
        <v>675</v>
      </c>
      <c r="B610" s="1">
        <v>31812.71</v>
      </c>
      <c r="C610" s="1" t="s">
        <v>27</v>
      </c>
      <c r="D610" s="1">
        <f t="shared" si="27"/>
        <v>55993.991594411818</v>
      </c>
      <c r="E610" s="1">
        <v>33.581482870000002</v>
      </c>
      <c r="F610" s="1">
        <v>-112.20366110000001</v>
      </c>
      <c r="G610" s="1" t="s">
        <v>45</v>
      </c>
      <c r="H610" s="1" t="str">
        <f t="shared" si="28"/>
        <v>AZ</v>
      </c>
      <c r="I610" s="1">
        <f t="shared" si="29"/>
        <v>0</v>
      </c>
    </row>
    <row r="611" spans="1:9" x14ac:dyDescent="0.2">
      <c r="A611" s="1" t="s">
        <v>676</v>
      </c>
      <c r="B611" s="1">
        <v>63407.199999999997</v>
      </c>
      <c r="C611" s="1" t="s">
        <v>27</v>
      </c>
      <c r="D611" s="1">
        <f t="shared" si="27"/>
        <v>55993.991594411818</v>
      </c>
      <c r="E611" s="1">
        <v>33.595628769999998</v>
      </c>
      <c r="F611" s="1">
        <v>-112.2371606</v>
      </c>
      <c r="G611" s="1" t="s">
        <v>45</v>
      </c>
      <c r="H611" s="1" t="str">
        <f t="shared" si="28"/>
        <v>AZ</v>
      </c>
      <c r="I611" s="1">
        <f t="shared" si="29"/>
        <v>1</v>
      </c>
    </row>
    <row r="612" spans="1:9" x14ac:dyDescent="0.2">
      <c r="A612" s="1" t="s">
        <v>677</v>
      </c>
      <c r="B612" s="1">
        <v>109184.52</v>
      </c>
      <c r="C612" s="1" t="s">
        <v>27</v>
      </c>
      <c r="D612" s="1">
        <f t="shared" si="27"/>
        <v>55993.991594411818</v>
      </c>
      <c r="E612" s="1">
        <v>33.760553700000003</v>
      </c>
      <c r="F612" s="1">
        <v>-112.3385749</v>
      </c>
      <c r="G612" s="1" t="s">
        <v>45</v>
      </c>
      <c r="H612" s="1" t="str">
        <f t="shared" si="28"/>
        <v>AZ</v>
      </c>
      <c r="I612" s="1">
        <f t="shared" si="29"/>
        <v>1</v>
      </c>
    </row>
    <row r="613" spans="1:9" x14ac:dyDescent="0.2">
      <c r="A613" s="1" t="s">
        <v>678</v>
      </c>
      <c r="B613" s="1">
        <v>77046.710000000006</v>
      </c>
      <c r="C613" s="1" t="s">
        <v>27</v>
      </c>
      <c r="D613" s="1">
        <f t="shared" si="27"/>
        <v>55993.991594411818</v>
      </c>
      <c r="E613" s="1">
        <v>33.655500000000004</v>
      </c>
      <c r="F613" s="1">
        <v>-112.24764999999999</v>
      </c>
      <c r="G613" s="1" t="s">
        <v>45</v>
      </c>
      <c r="H613" s="1" t="str">
        <f t="shared" si="28"/>
        <v>AZ</v>
      </c>
      <c r="I613" s="1">
        <f t="shared" si="29"/>
        <v>1</v>
      </c>
    </row>
    <row r="614" spans="1:9" x14ac:dyDescent="0.2">
      <c r="A614" s="1" t="s">
        <v>679</v>
      </c>
      <c r="B614" s="1">
        <v>116895.45</v>
      </c>
      <c r="C614" s="1" t="s">
        <v>27</v>
      </c>
      <c r="D614" s="1">
        <f t="shared" si="27"/>
        <v>55993.991594411818</v>
      </c>
      <c r="E614" s="1">
        <v>33.595744160000002</v>
      </c>
      <c r="F614" s="1">
        <v>-112.219297</v>
      </c>
      <c r="G614" s="1" t="s">
        <v>45</v>
      </c>
      <c r="H614" s="1" t="str">
        <f t="shared" si="28"/>
        <v>AZ</v>
      </c>
      <c r="I614" s="1">
        <f t="shared" si="29"/>
        <v>1</v>
      </c>
    </row>
    <row r="615" spans="1:9" x14ac:dyDescent="0.2">
      <c r="A615" s="1" t="s">
        <v>680</v>
      </c>
      <c r="B615" s="1">
        <v>127497.24</v>
      </c>
      <c r="C615" s="1" t="s">
        <v>27</v>
      </c>
      <c r="D615" s="1">
        <f t="shared" si="27"/>
        <v>55993.991594411818</v>
      </c>
      <c r="E615" s="1">
        <v>33.566167020000002</v>
      </c>
      <c r="F615" s="1">
        <v>-112.25339080000001</v>
      </c>
      <c r="G615" s="1" t="s">
        <v>45</v>
      </c>
      <c r="H615" s="1" t="str">
        <f t="shared" si="28"/>
        <v>AZ</v>
      </c>
      <c r="I615" s="1">
        <f t="shared" si="29"/>
        <v>1</v>
      </c>
    </row>
    <row r="616" spans="1:9" x14ac:dyDescent="0.2">
      <c r="A616" s="1" t="s">
        <v>681</v>
      </c>
      <c r="B616" s="1">
        <v>196414.61</v>
      </c>
      <c r="C616" s="1" t="s">
        <v>27</v>
      </c>
      <c r="D616" s="1">
        <f t="shared" si="27"/>
        <v>55993.991594411818</v>
      </c>
      <c r="E616" s="1">
        <v>33.714479529999998</v>
      </c>
      <c r="F616" s="1">
        <v>-112.2708492</v>
      </c>
      <c r="G616" s="1" t="s">
        <v>45</v>
      </c>
      <c r="H616" s="1" t="str">
        <f t="shared" si="28"/>
        <v>AZ</v>
      </c>
      <c r="I616" s="1">
        <f t="shared" si="29"/>
        <v>1</v>
      </c>
    </row>
    <row r="617" spans="1:9" x14ac:dyDescent="0.2">
      <c r="A617" s="1" t="s">
        <v>682</v>
      </c>
      <c r="B617" s="1">
        <v>120331.42</v>
      </c>
      <c r="C617" s="1" t="s">
        <v>27</v>
      </c>
      <c r="D617" s="1">
        <f t="shared" si="27"/>
        <v>55993.991594411818</v>
      </c>
      <c r="E617" s="1" t="s">
        <v>11</v>
      </c>
      <c r="F617" s="1" t="s">
        <v>11</v>
      </c>
      <c r="G617" s="1" t="s">
        <v>45</v>
      </c>
      <c r="H617" s="1" t="str">
        <f t="shared" si="28"/>
        <v>AZ</v>
      </c>
      <c r="I617" s="1">
        <f t="shared" si="29"/>
        <v>1</v>
      </c>
    </row>
    <row r="618" spans="1:9" x14ac:dyDescent="0.2">
      <c r="A618" s="1" t="s">
        <v>683</v>
      </c>
      <c r="B618" s="1">
        <v>99365.99</v>
      </c>
      <c r="C618" s="1" t="s">
        <v>27</v>
      </c>
      <c r="D618" s="1">
        <f t="shared" si="27"/>
        <v>55993.991594411818</v>
      </c>
      <c r="E618" s="1">
        <v>33.681432870000002</v>
      </c>
      <c r="F618" s="1">
        <v>-112.239408</v>
      </c>
      <c r="G618" s="1" t="s">
        <v>45</v>
      </c>
      <c r="H618" s="1" t="str">
        <f t="shared" si="28"/>
        <v>AZ</v>
      </c>
      <c r="I618" s="1">
        <f t="shared" si="29"/>
        <v>1</v>
      </c>
    </row>
    <row r="619" spans="1:9" x14ac:dyDescent="0.2">
      <c r="A619" s="1" t="s">
        <v>684</v>
      </c>
      <c r="B619" s="1">
        <v>52344.08</v>
      </c>
      <c r="C619" s="1" t="s">
        <v>27</v>
      </c>
      <c r="D619" s="1">
        <f t="shared" si="27"/>
        <v>55993.991594411818</v>
      </c>
      <c r="E619" s="1">
        <v>33.637922889999999</v>
      </c>
      <c r="F619" s="1">
        <v>-112.2409631</v>
      </c>
      <c r="G619" s="1" t="s">
        <v>45</v>
      </c>
      <c r="H619" s="1" t="str">
        <f t="shared" si="28"/>
        <v>AZ</v>
      </c>
      <c r="I619" s="1">
        <f t="shared" si="29"/>
        <v>0</v>
      </c>
    </row>
    <row r="620" spans="1:9" x14ac:dyDescent="0.2">
      <c r="A620" s="1" t="s">
        <v>685</v>
      </c>
      <c r="B620" s="1">
        <v>78715.91</v>
      </c>
      <c r="C620" s="1" t="s">
        <v>27</v>
      </c>
      <c r="D620" s="1">
        <f t="shared" si="27"/>
        <v>55993.991594411818</v>
      </c>
      <c r="E620" s="1">
        <v>33.565494489999999</v>
      </c>
      <c r="F620" s="1">
        <v>-112.2879921</v>
      </c>
      <c r="G620" s="1" t="s">
        <v>45</v>
      </c>
      <c r="H620" s="1" t="str">
        <f t="shared" si="28"/>
        <v>AZ</v>
      </c>
      <c r="I620" s="1">
        <f t="shared" si="29"/>
        <v>1</v>
      </c>
    </row>
    <row r="621" spans="1:9" x14ac:dyDescent="0.2">
      <c r="A621" s="1" t="s">
        <v>686</v>
      </c>
      <c r="B621" s="1">
        <v>57995.58</v>
      </c>
      <c r="C621" s="1" t="s">
        <v>27</v>
      </c>
      <c r="D621" s="1">
        <f t="shared" si="27"/>
        <v>55993.991594411818</v>
      </c>
      <c r="E621" s="1">
        <v>33.59657129</v>
      </c>
      <c r="F621" s="1">
        <v>-112.2379284</v>
      </c>
      <c r="G621" s="1" t="s">
        <v>45</v>
      </c>
      <c r="H621" s="1" t="str">
        <f t="shared" si="28"/>
        <v>AZ</v>
      </c>
      <c r="I621" s="1">
        <f t="shared" si="29"/>
        <v>1</v>
      </c>
    </row>
    <row r="622" spans="1:9" x14ac:dyDescent="0.2">
      <c r="A622" s="1" t="s">
        <v>687</v>
      </c>
      <c r="B622" s="1">
        <v>41191.89</v>
      </c>
      <c r="C622" s="1" t="s">
        <v>27</v>
      </c>
      <c r="D622" s="1">
        <f t="shared" si="27"/>
        <v>55993.991594411818</v>
      </c>
      <c r="E622" s="1">
        <v>33.779179999999997</v>
      </c>
      <c r="F622" s="1">
        <v>-112.30379000000001</v>
      </c>
      <c r="G622" s="1" t="s">
        <v>45</v>
      </c>
      <c r="H622" s="1" t="str">
        <f t="shared" si="28"/>
        <v>AZ</v>
      </c>
      <c r="I622" s="1">
        <f t="shared" si="29"/>
        <v>0</v>
      </c>
    </row>
    <row r="623" spans="1:9" x14ac:dyDescent="0.2">
      <c r="A623" s="1" t="s">
        <v>688</v>
      </c>
      <c r="B623" s="1">
        <v>39932.61</v>
      </c>
      <c r="C623" s="1" t="s">
        <v>27</v>
      </c>
      <c r="D623" s="1">
        <f t="shared" si="27"/>
        <v>55993.991594411818</v>
      </c>
      <c r="E623" s="1" t="s">
        <v>11</v>
      </c>
      <c r="F623" s="1" t="s">
        <v>11</v>
      </c>
      <c r="G623" s="1" t="s">
        <v>45</v>
      </c>
      <c r="H623" s="1" t="str">
        <f t="shared" si="28"/>
        <v>AZ</v>
      </c>
      <c r="I623" s="1">
        <f t="shared" si="29"/>
        <v>0</v>
      </c>
    </row>
    <row r="624" spans="1:9" x14ac:dyDescent="0.2">
      <c r="A624" s="1" t="s">
        <v>689</v>
      </c>
      <c r="B624" s="1">
        <v>94843.38</v>
      </c>
      <c r="C624" s="1" t="s">
        <v>27</v>
      </c>
      <c r="D624" s="1">
        <f t="shared" si="27"/>
        <v>55993.991594411818</v>
      </c>
      <c r="E624" s="1">
        <v>33.709591519999996</v>
      </c>
      <c r="F624" s="1">
        <v>-112.272823</v>
      </c>
      <c r="G624" s="1" t="s">
        <v>45</v>
      </c>
      <c r="H624" s="1" t="str">
        <f t="shared" si="28"/>
        <v>AZ</v>
      </c>
      <c r="I624" s="1">
        <f t="shared" si="29"/>
        <v>1</v>
      </c>
    </row>
    <row r="625" spans="1:9" x14ac:dyDescent="0.2">
      <c r="A625" s="1" t="s">
        <v>690</v>
      </c>
      <c r="B625" s="1">
        <v>78583.839999999997</v>
      </c>
      <c r="C625" s="1" t="s">
        <v>27</v>
      </c>
      <c r="D625" s="1">
        <f t="shared" si="27"/>
        <v>55993.991594411818</v>
      </c>
      <c r="E625" s="1">
        <v>33.637912870000001</v>
      </c>
      <c r="F625" s="1">
        <v>-112.23074</v>
      </c>
      <c r="G625" s="1" t="s">
        <v>45</v>
      </c>
      <c r="H625" s="1" t="str">
        <f t="shared" si="28"/>
        <v>AZ</v>
      </c>
      <c r="I625" s="1">
        <f t="shared" si="29"/>
        <v>1</v>
      </c>
    </row>
    <row r="626" spans="1:9" x14ac:dyDescent="0.2">
      <c r="A626" s="1" t="s">
        <v>691</v>
      </c>
      <c r="B626" s="1">
        <v>7081.49</v>
      </c>
      <c r="C626" s="1" t="s">
        <v>27</v>
      </c>
      <c r="D626" s="1">
        <f t="shared" si="27"/>
        <v>55993.991594411818</v>
      </c>
      <c r="E626" s="1">
        <v>33.741312280000002</v>
      </c>
      <c r="F626" s="1">
        <v>-112.3230334</v>
      </c>
      <c r="G626" s="1" t="s">
        <v>45</v>
      </c>
      <c r="H626" s="1" t="str">
        <f t="shared" si="28"/>
        <v>AZ</v>
      </c>
      <c r="I626" s="1">
        <f t="shared" si="29"/>
        <v>0</v>
      </c>
    </row>
    <row r="627" spans="1:9" x14ac:dyDescent="0.2">
      <c r="A627" s="1" t="s">
        <v>692</v>
      </c>
      <c r="B627" s="1">
        <v>11707.75</v>
      </c>
      <c r="C627" s="1" t="s">
        <v>27</v>
      </c>
      <c r="D627" s="1">
        <f t="shared" si="27"/>
        <v>55993.991594411818</v>
      </c>
      <c r="E627" s="1">
        <v>33.652777129999997</v>
      </c>
      <c r="F627" s="1">
        <v>-112.25416</v>
      </c>
      <c r="G627" s="1" t="s">
        <v>45</v>
      </c>
      <c r="H627" s="1" t="str">
        <f t="shared" si="28"/>
        <v>AZ</v>
      </c>
      <c r="I627" s="1">
        <f t="shared" si="29"/>
        <v>0</v>
      </c>
    </row>
    <row r="628" spans="1:9" x14ac:dyDescent="0.2">
      <c r="A628" s="1" t="s">
        <v>693</v>
      </c>
      <c r="B628" s="1">
        <v>11104.59</v>
      </c>
      <c r="C628" s="1" t="s">
        <v>27</v>
      </c>
      <c r="D628" s="1">
        <f t="shared" si="27"/>
        <v>55993.991594411818</v>
      </c>
      <c r="E628" s="1">
        <v>33.610537119999996</v>
      </c>
      <c r="F628" s="1">
        <v>-112.2193224</v>
      </c>
      <c r="G628" s="1" t="s">
        <v>45</v>
      </c>
      <c r="H628" s="1" t="str">
        <f t="shared" si="28"/>
        <v>AZ</v>
      </c>
      <c r="I628" s="1">
        <f t="shared" si="29"/>
        <v>0</v>
      </c>
    </row>
    <row r="629" spans="1:9" x14ac:dyDescent="0.2">
      <c r="A629" s="1" t="s">
        <v>694</v>
      </c>
      <c r="B629" s="1">
        <v>9749.02</v>
      </c>
      <c r="C629" s="1" t="s">
        <v>27</v>
      </c>
      <c r="D629" s="1">
        <f t="shared" si="27"/>
        <v>55993.991594411818</v>
      </c>
      <c r="E629" s="1">
        <v>33.681707129999999</v>
      </c>
      <c r="F629" s="1">
        <v>-112.23860999999999</v>
      </c>
      <c r="G629" s="1" t="s">
        <v>45</v>
      </c>
      <c r="H629" s="1" t="str">
        <f t="shared" si="28"/>
        <v>AZ</v>
      </c>
      <c r="I629" s="1">
        <f t="shared" si="29"/>
        <v>0</v>
      </c>
    </row>
    <row r="630" spans="1:9" x14ac:dyDescent="0.2">
      <c r="A630" s="1" t="s">
        <v>695</v>
      </c>
      <c r="B630" s="1">
        <v>18367.79</v>
      </c>
      <c r="C630" s="1" t="s">
        <v>27</v>
      </c>
      <c r="D630" s="1">
        <f t="shared" si="27"/>
        <v>55993.991594411818</v>
      </c>
      <c r="E630" s="1">
        <v>33.580985939999998</v>
      </c>
      <c r="F630" s="1">
        <v>-112.2539945</v>
      </c>
      <c r="G630" s="1" t="s">
        <v>45</v>
      </c>
      <c r="H630" s="1" t="str">
        <f t="shared" si="28"/>
        <v>AZ</v>
      </c>
      <c r="I630" s="1">
        <f t="shared" si="29"/>
        <v>0</v>
      </c>
    </row>
    <row r="631" spans="1:9" x14ac:dyDescent="0.2">
      <c r="A631" s="1" t="s">
        <v>696</v>
      </c>
      <c r="B631" s="1">
        <v>9686.76</v>
      </c>
      <c r="C631" s="1" t="s">
        <v>27</v>
      </c>
      <c r="D631" s="1">
        <f t="shared" si="27"/>
        <v>55993.991594411818</v>
      </c>
      <c r="E631" s="1">
        <v>33.667724999999997</v>
      </c>
      <c r="F631" s="1">
        <v>-112.2801948</v>
      </c>
      <c r="G631" s="1" t="s">
        <v>45</v>
      </c>
      <c r="H631" s="1" t="str">
        <f t="shared" si="28"/>
        <v>AZ</v>
      </c>
      <c r="I631" s="1">
        <f t="shared" si="29"/>
        <v>0</v>
      </c>
    </row>
    <row r="632" spans="1:9" x14ac:dyDescent="0.2">
      <c r="A632" s="1" t="s">
        <v>697</v>
      </c>
      <c r="B632" s="1">
        <v>45186.25</v>
      </c>
      <c r="C632" s="1" t="s">
        <v>27</v>
      </c>
      <c r="D632" s="1">
        <f t="shared" si="27"/>
        <v>55993.991594411818</v>
      </c>
      <c r="E632" s="1">
        <v>33.50221947</v>
      </c>
      <c r="F632" s="1">
        <v>-112.0300455</v>
      </c>
      <c r="G632" s="1" t="s">
        <v>46</v>
      </c>
      <c r="H632" s="1" t="str">
        <f t="shared" si="28"/>
        <v>AZ</v>
      </c>
      <c r="I632" s="1">
        <f t="shared" si="29"/>
        <v>0</v>
      </c>
    </row>
    <row r="633" spans="1:9" x14ac:dyDescent="0.2">
      <c r="A633" s="1" t="s">
        <v>698</v>
      </c>
      <c r="B633" s="1">
        <v>16595.46</v>
      </c>
      <c r="C633" s="1" t="s">
        <v>27</v>
      </c>
      <c r="D633" s="1">
        <f t="shared" si="27"/>
        <v>55993.991594411818</v>
      </c>
      <c r="E633" s="1">
        <v>33.507442859999998</v>
      </c>
      <c r="F633" s="1">
        <v>-112.22029550000001</v>
      </c>
      <c r="G633" s="1" t="s">
        <v>46</v>
      </c>
      <c r="H633" s="1" t="str">
        <f t="shared" si="28"/>
        <v>AZ</v>
      </c>
      <c r="I633" s="1">
        <f t="shared" si="29"/>
        <v>0</v>
      </c>
    </row>
    <row r="634" spans="1:9" x14ac:dyDescent="0.2">
      <c r="A634" s="1" t="s">
        <v>699</v>
      </c>
      <c r="B634" s="1">
        <v>30583.88</v>
      </c>
      <c r="C634" s="1" t="s">
        <v>27</v>
      </c>
      <c r="D634" s="1">
        <f t="shared" si="27"/>
        <v>55993.991594411818</v>
      </c>
      <c r="E634" s="1">
        <v>33.625435699999997</v>
      </c>
      <c r="F634" s="1">
        <v>-112.1123283</v>
      </c>
      <c r="G634" s="1" t="s">
        <v>46</v>
      </c>
      <c r="H634" s="1" t="str">
        <f t="shared" si="28"/>
        <v>AZ</v>
      </c>
      <c r="I634" s="1">
        <f t="shared" si="29"/>
        <v>0</v>
      </c>
    </row>
    <row r="635" spans="1:9" x14ac:dyDescent="0.2">
      <c r="A635" s="1" t="s">
        <v>700</v>
      </c>
      <c r="B635" s="1">
        <v>2686.2968999999998</v>
      </c>
      <c r="C635" s="1" t="s">
        <v>27</v>
      </c>
      <c r="D635" s="1">
        <f t="shared" si="27"/>
        <v>55993.991594411818</v>
      </c>
      <c r="E635" s="1">
        <v>33.538432870000001</v>
      </c>
      <c r="F635" s="1">
        <v>-112.1157633</v>
      </c>
      <c r="G635" s="1" t="s">
        <v>46</v>
      </c>
      <c r="H635" s="1" t="str">
        <f t="shared" si="28"/>
        <v>AZ</v>
      </c>
      <c r="I635" s="1">
        <f t="shared" si="29"/>
        <v>0</v>
      </c>
    </row>
    <row r="636" spans="1:9" x14ac:dyDescent="0.2">
      <c r="A636" s="1" t="s">
        <v>701</v>
      </c>
      <c r="B636" s="1">
        <v>49755.77</v>
      </c>
      <c r="C636" s="1" t="s">
        <v>27</v>
      </c>
      <c r="D636" s="1">
        <f t="shared" si="27"/>
        <v>55993.991594411818</v>
      </c>
      <c r="E636" s="1">
        <v>33.46583287</v>
      </c>
      <c r="F636" s="1">
        <v>-112.18653999999999</v>
      </c>
      <c r="G636" s="1" t="s">
        <v>46</v>
      </c>
      <c r="H636" s="1" t="str">
        <f t="shared" si="28"/>
        <v>AZ</v>
      </c>
      <c r="I636" s="1">
        <f t="shared" si="29"/>
        <v>0</v>
      </c>
    </row>
    <row r="637" spans="1:9" x14ac:dyDescent="0.2">
      <c r="A637" s="1" t="s">
        <v>702</v>
      </c>
      <c r="B637" s="1">
        <v>46253.94</v>
      </c>
      <c r="C637" s="1" t="s">
        <v>27</v>
      </c>
      <c r="D637" s="1">
        <f t="shared" si="27"/>
        <v>55993.991594411818</v>
      </c>
      <c r="E637" s="1">
        <v>33.465867129999999</v>
      </c>
      <c r="F637" s="1">
        <v>-111.9791455</v>
      </c>
      <c r="G637" s="1" t="s">
        <v>46</v>
      </c>
      <c r="H637" s="1" t="str">
        <f t="shared" si="28"/>
        <v>AZ</v>
      </c>
      <c r="I637" s="1">
        <f t="shared" si="29"/>
        <v>0</v>
      </c>
    </row>
    <row r="638" spans="1:9" x14ac:dyDescent="0.2">
      <c r="A638" s="1" t="s">
        <v>703</v>
      </c>
      <c r="B638" s="1">
        <v>36036.269999999997</v>
      </c>
      <c r="C638" s="1" t="s">
        <v>27</v>
      </c>
      <c r="D638" s="1">
        <f t="shared" si="27"/>
        <v>55993.991594411818</v>
      </c>
      <c r="E638" s="1">
        <v>33.494964490000001</v>
      </c>
      <c r="F638" s="1">
        <v>-112.0400004</v>
      </c>
      <c r="G638" s="1" t="s">
        <v>46</v>
      </c>
      <c r="H638" s="1" t="str">
        <f t="shared" si="28"/>
        <v>AZ</v>
      </c>
      <c r="I638" s="1">
        <f t="shared" si="29"/>
        <v>0</v>
      </c>
    </row>
    <row r="639" spans="1:9" x14ac:dyDescent="0.2">
      <c r="A639" s="1" t="s">
        <v>704</v>
      </c>
      <c r="B639" s="1">
        <v>26741.98</v>
      </c>
      <c r="C639" s="1" t="s">
        <v>27</v>
      </c>
      <c r="D639" s="1">
        <f t="shared" si="27"/>
        <v>55993.991594411818</v>
      </c>
      <c r="E639" s="1">
        <v>33.639865530000002</v>
      </c>
      <c r="F639" s="1">
        <v>-112.13003380000001</v>
      </c>
      <c r="G639" s="1" t="s">
        <v>46</v>
      </c>
      <c r="H639" s="1" t="str">
        <f t="shared" si="28"/>
        <v>AZ</v>
      </c>
      <c r="I639" s="1">
        <f t="shared" si="29"/>
        <v>0</v>
      </c>
    </row>
    <row r="640" spans="1:9" x14ac:dyDescent="0.2">
      <c r="A640" s="1" t="s">
        <v>705</v>
      </c>
      <c r="B640" s="1">
        <v>31573.72</v>
      </c>
      <c r="C640" s="1" t="s">
        <v>27</v>
      </c>
      <c r="D640" s="1">
        <f t="shared" si="27"/>
        <v>55993.991594411818</v>
      </c>
      <c r="E640" s="1">
        <v>33.595849999999999</v>
      </c>
      <c r="F640" s="1">
        <v>-112.1199354</v>
      </c>
      <c r="G640" s="1" t="s">
        <v>46</v>
      </c>
      <c r="H640" s="1" t="str">
        <f t="shared" si="28"/>
        <v>AZ</v>
      </c>
      <c r="I640" s="1">
        <f t="shared" si="29"/>
        <v>0</v>
      </c>
    </row>
    <row r="641" spans="1:9" x14ac:dyDescent="0.2">
      <c r="A641" s="1" t="s">
        <v>706</v>
      </c>
      <c r="B641" s="1">
        <v>32079.17</v>
      </c>
      <c r="C641" s="1" t="s">
        <v>27</v>
      </c>
      <c r="D641" s="1">
        <f t="shared" si="27"/>
        <v>55993.991594411818</v>
      </c>
      <c r="E641" s="1">
        <v>33.495007129999998</v>
      </c>
      <c r="F641" s="1">
        <v>-112.0826667</v>
      </c>
      <c r="G641" s="1" t="s">
        <v>46</v>
      </c>
      <c r="H641" s="1" t="str">
        <f t="shared" si="28"/>
        <v>AZ</v>
      </c>
      <c r="I641" s="1">
        <f t="shared" si="29"/>
        <v>0</v>
      </c>
    </row>
    <row r="642" spans="1:9" x14ac:dyDescent="0.2">
      <c r="A642" s="1" t="s">
        <v>707</v>
      </c>
      <c r="B642" s="1">
        <v>27299.07</v>
      </c>
      <c r="C642" s="1" t="s">
        <v>27</v>
      </c>
      <c r="D642" s="1">
        <f t="shared" si="27"/>
        <v>55993.991594411818</v>
      </c>
      <c r="E642" s="1">
        <v>33.47991287</v>
      </c>
      <c r="F642" s="1">
        <v>-111.9704636</v>
      </c>
      <c r="G642" s="1" t="s">
        <v>46</v>
      </c>
      <c r="H642" s="1" t="str">
        <f t="shared" si="28"/>
        <v>AZ</v>
      </c>
      <c r="I642" s="1">
        <f t="shared" si="29"/>
        <v>0</v>
      </c>
    </row>
    <row r="643" spans="1:9" x14ac:dyDescent="0.2">
      <c r="A643" s="1" t="s">
        <v>708</v>
      </c>
      <c r="B643" s="1">
        <v>30509.8</v>
      </c>
      <c r="C643" s="1" t="s">
        <v>27</v>
      </c>
      <c r="D643" s="1">
        <f t="shared" ref="D643:D706" si="30">AVERAGEIFS($B:$B,$C:$C,$C643)</f>
        <v>55993.991594411818</v>
      </c>
      <c r="E643" s="1">
        <v>33.510077129999999</v>
      </c>
      <c r="F643" s="1">
        <v>-111.99722180000001</v>
      </c>
      <c r="G643" s="1" t="s">
        <v>46</v>
      </c>
      <c r="H643" s="1" t="str">
        <f t="shared" ref="H643:H706" si="31">TRIM(_xlfn.TEXTAFTER(A643, ",", -1))</f>
        <v>AZ</v>
      </c>
      <c r="I643" s="1">
        <f t="shared" ref="I643:I706" si="32">IF(B643&gt;D643,1,0)</f>
        <v>0</v>
      </c>
    </row>
    <row r="644" spans="1:9" x14ac:dyDescent="0.2">
      <c r="A644" s="1" t="s">
        <v>709</v>
      </c>
      <c r="B644" s="1">
        <v>30131.599999999999</v>
      </c>
      <c r="C644" s="1" t="s">
        <v>27</v>
      </c>
      <c r="D644" s="1">
        <f t="shared" si="30"/>
        <v>55993.991594411818</v>
      </c>
      <c r="E644" s="1">
        <v>33.480562910000003</v>
      </c>
      <c r="F644" s="1">
        <v>-111.9966002</v>
      </c>
      <c r="G644" s="1" t="s">
        <v>46</v>
      </c>
      <c r="H644" s="1" t="str">
        <f t="shared" si="31"/>
        <v>AZ</v>
      </c>
      <c r="I644" s="1">
        <f t="shared" si="32"/>
        <v>0</v>
      </c>
    </row>
    <row r="645" spans="1:9" x14ac:dyDescent="0.2">
      <c r="A645" s="1" t="s">
        <v>710</v>
      </c>
      <c r="B645" s="1">
        <v>40892.720000000001</v>
      </c>
      <c r="C645" s="1" t="s">
        <v>27</v>
      </c>
      <c r="D645" s="1">
        <f t="shared" si="30"/>
        <v>55993.991594411818</v>
      </c>
      <c r="E645" s="1">
        <v>33.640530589999997</v>
      </c>
      <c r="F645" s="1">
        <v>-112.0621373</v>
      </c>
      <c r="G645" s="1" t="s">
        <v>46</v>
      </c>
      <c r="H645" s="1" t="str">
        <f t="shared" si="31"/>
        <v>AZ</v>
      </c>
      <c r="I645" s="1">
        <f t="shared" si="32"/>
        <v>0</v>
      </c>
    </row>
    <row r="646" spans="1:9" x14ac:dyDescent="0.2">
      <c r="A646" s="1" t="s">
        <v>711</v>
      </c>
      <c r="B646" s="1">
        <v>26067.360000000001</v>
      </c>
      <c r="C646" s="1" t="s">
        <v>27</v>
      </c>
      <c r="D646" s="1">
        <f t="shared" si="30"/>
        <v>55993.991594411818</v>
      </c>
      <c r="E646" s="1">
        <v>33.538765869999999</v>
      </c>
      <c r="F646" s="1">
        <v>-112.09838190000001</v>
      </c>
      <c r="G646" s="1" t="s">
        <v>46</v>
      </c>
      <c r="H646" s="1" t="str">
        <f t="shared" si="31"/>
        <v>AZ</v>
      </c>
      <c r="I646" s="1">
        <f t="shared" si="32"/>
        <v>0</v>
      </c>
    </row>
    <row r="647" spans="1:9" x14ac:dyDescent="0.2">
      <c r="A647" s="1" t="s">
        <v>712</v>
      </c>
      <c r="B647" s="1">
        <v>41505.839999999997</v>
      </c>
      <c r="C647" s="1" t="s">
        <v>27</v>
      </c>
      <c r="D647" s="1">
        <f t="shared" si="30"/>
        <v>55993.991594411818</v>
      </c>
      <c r="E647" s="1">
        <v>33.58232297</v>
      </c>
      <c r="F647" s="1">
        <v>-112.01307370000001</v>
      </c>
      <c r="G647" s="1" t="s">
        <v>46</v>
      </c>
      <c r="H647" s="1" t="str">
        <f t="shared" si="31"/>
        <v>AZ</v>
      </c>
      <c r="I647" s="1">
        <f t="shared" si="32"/>
        <v>0</v>
      </c>
    </row>
    <row r="648" spans="1:9" x14ac:dyDescent="0.2">
      <c r="A648" s="1" t="s">
        <v>713</v>
      </c>
      <c r="B648" s="1">
        <v>35039.199999999997</v>
      </c>
      <c r="C648" s="1" t="s">
        <v>27</v>
      </c>
      <c r="D648" s="1">
        <f t="shared" si="30"/>
        <v>55993.991594411818</v>
      </c>
      <c r="E648" s="1">
        <v>33.480657129999997</v>
      </c>
      <c r="F648" s="1">
        <v>-112.18638</v>
      </c>
      <c r="G648" s="1" t="s">
        <v>46</v>
      </c>
      <c r="H648" s="1" t="str">
        <f t="shared" si="31"/>
        <v>AZ</v>
      </c>
      <c r="I648" s="1">
        <f t="shared" si="32"/>
        <v>0</v>
      </c>
    </row>
    <row r="649" spans="1:9" x14ac:dyDescent="0.2">
      <c r="A649" s="1" t="s">
        <v>714</v>
      </c>
      <c r="B649" s="1">
        <v>47208.81</v>
      </c>
      <c r="C649" s="1" t="s">
        <v>27</v>
      </c>
      <c r="D649" s="1">
        <f t="shared" si="30"/>
        <v>55993.991594411818</v>
      </c>
      <c r="E649" s="1">
        <v>33.451247129999999</v>
      </c>
      <c r="F649" s="1">
        <v>-111.97928829999999</v>
      </c>
      <c r="G649" s="1" t="s">
        <v>46</v>
      </c>
      <c r="H649" s="1" t="str">
        <f t="shared" si="31"/>
        <v>AZ</v>
      </c>
      <c r="I649" s="1">
        <f t="shared" si="32"/>
        <v>0</v>
      </c>
    </row>
    <row r="650" spans="1:9" x14ac:dyDescent="0.2">
      <c r="A650" s="1" t="s">
        <v>715</v>
      </c>
      <c r="B650" s="1">
        <v>35619.1</v>
      </c>
      <c r="C650" s="1" t="s">
        <v>27</v>
      </c>
      <c r="D650" s="1">
        <f t="shared" si="30"/>
        <v>55993.991594411818</v>
      </c>
      <c r="E650" s="1">
        <v>33.508606579999999</v>
      </c>
      <c r="F650" s="1">
        <v>-112.20332449999999</v>
      </c>
      <c r="G650" s="1" t="s">
        <v>46</v>
      </c>
      <c r="H650" s="1" t="str">
        <f t="shared" si="31"/>
        <v>AZ</v>
      </c>
      <c r="I650" s="1">
        <f t="shared" si="32"/>
        <v>0</v>
      </c>
    </row>
    <row r="651" spans="1:9" x14ac:dyDescent="0.2">
      <c r="A651" s="1" t="s">
        <v>716</v>
      </c>
      <c r="B651" s="1">
        <v>82862.22</v>
      </c>
      <c r="C651" s="1" t="s">
        <v>27</v>
      </c>
      <c r="D651" s="1">
        <f t="shared" si="30"/>
        <v>55993.991594411818</v>
      </c>
      <c r="E651" s="1">
        <v>33.666805050000001</v>
      </c>
      <c r="F651" s="1">
        <v>-112.1175085</v>
      </c>
      <c r="G651" s="1" t="s">
        <v>46</v>
      </c>
      <c r="H651" s="1" t="str">
        <f t="shared" si="31"/>
        <v>AZ</v>
      </c>
      <c r="I651" s="1">
        <f t="shared" si="32"/>
        <v>1</v>
      </c>
    </row>
    <row r="652" spans="1:9" x14ac:dyDescent="0.2">
      <c r="A652" s="1" t="s">
        <v>717</v>
      </c>
      <c r="B652" s="1">
        <v>54751.62</v>
      </c>
      <c r="C652" s="1" t="s">
        <v>27</v>
      </c>
      <c r="D652" s="1">
        <f t="shared" si="30"/>
        <v>55993.991594411818</v>
      </c>
      <c r="E652" s="1">
        <v>33.493906729999999</v>
      </c>
      <c r="F652" s="1">
        <v>-112.2729126</v>
      </c>
      <c r="G652" s="1" t="s">
        <v>46</v>
      </c>
      <c r="H652" s="1" t="str">
        <f t="shared" si="31"/>
        <v>AZ</v>
      </c>
      <c r="I652" s="1">
        <f t="shared" si="32"/>
        <v>0</v>
      </c>
    </row>
    <row r="653" spans="1:9" x14ac:dyDescent="0.2">
      <c r="A653" s="1" t="s">
        <v>718</v>
      </c>
      <c r="B653" s="1">
        <v>53676.84</v>
      </c>
      <c r="C653" s="1" t="s">
        <v>27</v>
      </c>
      <c r="D653" s="1">
        <f t="shared" si="30"/>
        <v>55993.991594411818</v>
      </c>
      <c r="E653" s="1" t="s">
        <v>11</v>
      </c>
      <c r="F653" s="1" t="s">
        <v>11</v>
      </c>
      <c r="G653" s="1" t="s">
        <v>46</v>
      </c>
      <c r="H653" s="1" t="str">
        <f t="shared" si="31"/>
        <v>AZ</v>
      </c>
      <c r="I653" s="1">
        <f t="shared" si="32"/>
        <v>0</v>
      </c>
    </row>
    <row r="654" spans="1:9" x14ac:dyDescent="0.2">
      <c r="A654" s="1" t="s">
        <v>719</v>
      </c>
      <c r="B654" s="1">
        <v>16001.9</v>
      </c>
      <c r="C654" s="1" t="s">
        <v>27</v>
      </c>
      <c r="D654" s="1">
        <f t="shared" si="30"/>
        <v>55993.991594411818</v>
      </c>
      <c r="E654" s="1">
        <v>33.509537129999998</v>
      </c>
      <c r="F654" s="1">
        <v>-111.98384</v>
      </c>
      <c r="G654" s="1" t="s">
        <v>46</v>
      </c>
      <c r="H654" s="1" t="str">
        <f t="shared" si="31"/>
        <v>AZ</v>
      </c>
      <c r="I654" s="1">
        <f t="shared" si="32"/>
        <v>0</v>
      </c>
    </row>
    <row r="655" spans="1:9" x14ac:dyDescent="0.2">
      <c r="A655" s="1" t="s">
        <v>720</v>
      </c>
      <c r="B655" s="1">
        <v>14117.72</v>
      </c>
      <c r="C655" s="1" t="s">
        <v>27</v>
      </c>
      <c r="D655" s="1">
        <f t="shared" si="30"/>
        <v>55993.991594411818</v>
      </c>
      <c r="E655" s="1">
        <v>33.509827219999998</v>
      </c>
      <c r="F655" s="1">
        <v>-112.07357930000001</v>
      </c>
      <c r="G655" s="1" t="s">
        <v>46</v>
      </c>
      <c r="H655" s="1" t="str">
        <f t="shared" si="31"/>
        <v>AZ</v>
      </c>
      <c r="I655" s="1">
        <f t="shared" si="32"/>
        <v>0</v>
      </c>
    </row>
    <row r="656" spans="1:9" x14ac:dyDescent="0.2">
      <c r="A656" s="1" t="s">
        <v>721</v>
      </c>
      <c r="B656" s="1">
        <v>71784.73</v>
      </c>
      <c r="C656" s="1" t="s">
        <v>27</v>
      </c>
      <c r="D656" s="1">
        <f t="shared" si="30"/>
        <v>55993.991594411818</v>
      </c>
      <c r="E656" s="1">
        <v>33.677403120000001</v>
      </c>
      <c r="F656" s="1">
        <v>-111.97711889999999</v>
      </c>
      <c r="G656" s="1" t="s">
        <v>46</v>
      </c>
      <c r="H656" s="1" t="str">
        <f t="shared" si="31"/>
        <v>AZ</v>
      </c>
      <c r="I656" s="1">
        <f t="shared" si="32"/>
        <v>1</v>
      </c>
    </row>
    <row r="657" spans="1:9" x14ac:dyDescent="0.2">
      <c r="A657" s="1" t="s">
        <v>722</v>
      </c>
      <c r="B657" s="1">
        <v>43789.440000000002</v>
      </c>
      <c r="C657" s="1" t="s">
        <v>27</v>
      </c>
      <c r="D657" s="1">
        <f t="shared" si="30"/>
        <v>55993.991594411818</v>
      </c>
      <c r="E657" s="1">
        <v>33.554724849999999</v>
      </c>
      <c r="F657" s="1">
        <v>-112.0994954</v>
      </c>
      <c r="G657" s="1" t="s">
        <v>46</v>
      </c>
      <c r="H657" s="1" t="str">
        <f t="shared" si="31"/>
        <v>AZ</v>
      </c>
      <c r="I657" s="1">
        <f t="shared" si="32"/>
        <v>0</v>
      </c>
    </row>
    <row r="658" spans="1:9" x14ac:dyDescent="0.2">
      <c r="A658" s="1" t="s">
        <v>723</v>
      </c>
      <c r="B658" s="1">
        <v>43781.15</v>
      </c>
      <c r="C658" s="1" t="s">
        <v>27</v>
      </c>
      <c r="D658" s="1">
        <f t="shared" si="30"/>
        <v>55993.991594411818</v>
      </c>
      <c r="E658" s="1">
        <v>33.653559999999999</v>
      </c>
      <c r="F658" s="1">
        <v>-112.0306853</v>
      </c>
      <c r="G658" s="1" t="s">
        <v>46</v>
      </c>
      <c r="H658" s="1" t="str">
        <f t="shared" si="31"/>
        <v>AZ</v>
      </c>
      <c r="I658" s="1">
        <f t="shared" si="32"/>
        <v>0</v>
      </c>
    </row>
    <row r="659" spans="1:9" x14ac:dyDescent="0.2">
      <c r="A659" s="1" t="s">
        <v>724</v>
      </c>
      <c r="B659" s="1">
        <v>70488.09</v>
      </c>
      <c r="C659" s="1" t="s">
        <v>27</v>
      </c>
      <c r="D659" s="1">
        <f t="shared" si="30"/>
        <v>55993.991594411818</v>
      </c>
      <c r="E659" s="1">
        <v>33.79853713</v>
      </c>
      <c r="F659" s="1">
        <v>-112.1271601</v>
      </c>
      <c r="G659" s="1" t="s">
        <v>46</v>
      </c>
      <c r="H659" s="1" t="str">
        <f t="shared" si="31"/>
        <v>AZ</v>
      </c>
      <c r="I659" s="1">
        <f t="shared" si="32"/>
        <v>1</v>
      </c>
    </row>
    <row r="660" spans="1:9" x14ac:dyDescent="0.2">
      <c r="A660" s="1" t="s">
        <v>725</v>
      </c>
      <c r="B660" s="1">
        <v>56932.79</v>
      </c>
      <c r="C660" s="1" t="s">
        <v>27</v>
      </c>
      <c r="D660" s="1">
        <f t="shared" si="30"/>
        <v>55993.991594411818</v>
      </c>
      <c r="E660" s="1">
        <v>33.465948099999999</v>
      </c>
      <c r="F660" s="1">
        <v>-112.1516256</v>
      </c>
      <c r="G660" s="1" t="s">
        <v>46</v>
      </c>
      <c r="H660" s="1" t="str">
        <f t="shared" si="31"/>
        <v>AZ</v>
      </c>
      <c r="I660" s="1">
        <f t="shared" si="32"/>
        <v>1</v>
      </c>
    </row>
    <row r="661" spans="1:9" x14ac:dyDescent="0.2">
      <c r="A661" s="1" t="s">
        <v>726</v>
      </c>
      <c r="B661" s="1">
        <v>39916.620000000003</v>
      </c>
      <c r="C661" s="1" t="s">
        <v>27</v>
      </c>
      <c r="D661" s="1">
        <f t="shared" si="30"/>
        <v>55993.991594411818</v>
      </c>
      <c r="E661" s="1">
        <v>33.5512856</v>
      </c>
      <c r="F661" s="1">
        <v>-112.151353</v>
      </c>
      <c r="G661" s="1" t="s">
        <v>46</v>
      </c>
      <c r="H661" s="1" t="str">
        <f t="shared" si="31"/>
        <v>AZ</v>
      </c>
      <c r="I661" s="1">
        <f t="shared" si="32"/>
        <v>0</v>
      </c>
    </row>
    <row r="662" spans="1:9" x14ac:dyDescent="0.2">
      <c r="A662" s="1" t="s">
        <v>727</v>
      </c>
      <c r="B662" s="1">
        <v>46074.67</v>
      </c>
      <c r="C662" s="1" t="s">
        <v>27</v>
      </c>
      <c r="D662" s="1">
        <f t="shared" si="30"/>
        <v>55993.991594411818</v>
      </c>
      <c r="E662" s="1">
        <v>33.465940000000003</v>
      </c>
      <c r="F662" s="1">
        <v>-112.1169656</v>
      </c>
      <c r="G662" s="1" t="s">
        <v>46</v>
      </c>
      <c r="H662" s="1" t="str">
        <f t="shared" si="31"/>
        <v>AZ</v>
      </c>
      <c r="I662" s="1">
        <f t="shared" si="32"/>
        <v>0</v>
      </c>
    </row>
    <row r="663" spans="1:9" x14ac:dyDescent="0.2">
      <c r="A663" s="1" t="s">
        <v>728</v>
      </c>
      <c r="B663" s="1">
        <v>14186.33</v>
      </c>
      <c r="C663" s="1" t="s">
        <v>27</v>
      </c>
      <c r="D663" s="1">
        <f t="shared" si="30"/>
        <v>55993.991594411818</v>
      </c>
      <c r="E663" s="1">
        <v>33.552903059999998</v>
      </c>
      <c r="F663" s="1">
        <v>-112.0565714</v>
      </c>
      <c r="G663" s="1" t="s">
        <v>46</v>
      </c>
      <c r="H663" s="1" t="str">
        <f t="shared" si="31"/>
        <v>AZ</v>
      </c>
      <c r="I663" s="1">
        <f t="shared" si="32"/>
        <v>0</v>
      </c>
    </row>
    <row r="664" spans="1:9" x14ac:dyDescent="0.2">
      <c r="A664" s="1" t="s">
        <v>729</v>
      </c>
      <c r="B664" s="1">
        <v>93248.68</v>
      </c>
      <c r="C664" s="1" t="s">
        <v>27</v>
      </c>
      <c r="D664" s="1">
        <f t="shared" si="30"/>
        <v>55993.991594411818</v>
      </c>
      <c r="E664" s="1">
        <v>33.458999259999999</v>
      </c>
      <c r="F664" s="1">
        <v>-112.15168250000001</v>
      </c>
      <c r="G664" s="1" t="s">
        <v>46</v>
      </c>
      <c r="H664" s="1" t="str">
        <f t="shared" si="31"/>
        <v>AZ</v>
      </c>
      <c r="I664" s="1">
        <f t="shared" si="32"/>
        <v>1</v>
      </c>
    </row>
    <row r="665" spans="1:9" x14ac:dyDescent="0.2">
      <c r="A665" s="1" t="s">
        <v>730</v>
      </c>
      <c r="B665" s="1">
        <v>25972.57</v>
      </c>
      <c r="C665" s="1" t="s">
        <v>27</v>
      </c>
      <c r="D665" s="1">
        <f t="shared" si="30"/>
        <v>55993.991594411818</v>
      </c>
      <c r="E665" s="1">
        <v>33.59767909</v>
      </c>
      <c r="F665" s="1">
        <v>-112.0134185</v>
      </c>
      <c r="G665" s="1" t="s">
        <v>46</v>
      </c>
      <c r="H665" s="1" t="str">
        <f t="shared" si="31"/>
        <v>AZ</v>
      </c>
      <c r="I665" s="1">
        <f t="shared" si="32"/>
        <v>0</v>
      </c>
    </row>
    <row r="666" spans="1:9" x14ac:dyDescent="0.2">
      <c r="A666" s="1" t="s">
        <v>731</v>
      </c>
      <c r="B666" s="1">
        <v>20213.07</v>
      </c>
      <c r="C666" s="1" t="s">
        <v>27</v>
      </c>
      <c r="D666" s="1">
        <f t="shared" si="30"/>
        <v>55993.991594411818</v>
      </c>
      <c r="E666" s="1">
        <v>33.480342870000001</v>
      </c>
      <c r="F666" s="1">
        <v>-112.16898</v>
      </c>
      <c r="G666" s="1" t="s">
        <v>46</v>
      </c>
      <c r="H666" s="1" t="str">
        <f t="shared" si="31"/>
        <v>AZ</v>
      </c>
      <c r="I666" s="1">
        <f t="shared" si="32"/>
        <v>0</v>
      </c>
    </row>
    <row r="667" spans="1:9" x14ac:dyDescent="0.2">
      <c r="A667" s="1" t="s">
        <v>732</v>
      </c>
      <c r="B667" s="1">
        <v>19692.71</v>
      </c>
      <c r="C667" s="1" t="s">
        <v>27</v>
      </c>
      <c r="D667" s="1">
        <f t="shared" si="30"/>
        <v>55993.991594411818</v>
      </c>
      <c r="E667" s="1">
        <v>33.331230120000001</v>
      </c>
      <c r="F667" s="1">
        <v>-111.9789603</v>
      </c>
      <c r="G667" s="1" t="s">
        <v>46</v>
      </c>
      <c r="H667" s="1" t="str">
        <f t="shared" si="31"/>
        <v>AZ</v>
      </c>
      <c r="I667" s="1">
        <f t="shared" si="32"/>
        <v>0</v>
      </c>
    </row>
    <row r="668" spans="1:9" x14ac:dyDescent="0.2">
      <c r="A668" s="1" t="s">
        <v>733</v>
      </c>
      <c r="B668" s="1">
        <v>24822.23</v>
      </c>
      <c r="C668" s="1" t="s">
        <v>27</v>
      </c>
      <c r="D668" s="1">
        <f t="shared" si="30"/>
        <v>55993.991594411818</v>
      </c>
      <c r="E668" s="1">
        <v>33.654715469999999</v>
      </c>
      <c r="F668" s="1">
        <v>-112.0633524</v>
      </c>
      <c r="G668" s="1" t="s">
        <v>46</v>
      </c>
      <c r="H668" s="1" t="str">
        <f t="shared" si="31"/>
        <v>AZ</v>
      </c>
      <c r="I668" s="1">
        <f t="shared" si="32"/>
        <v>0</v>
      </c>
    </row>
    <row r="669" spans="1:9" x14ac:dyDescent="0.2">
      <c r="A669" s="1" t="s">
        <v>734</v>
      </c>
      <c r="B669" s="1">
        <v>28103.17</v>
      </c>
      <c r="C669" s="1" t="s">
        <v>27</v>
      </c>
      <c r="D669" s="1">
        <f t="shared" si="30"/>
        <v>55993.991594411818</v>
      </c>
      <c r="E669" s="1">
        <v>33.582864479999998</v>
      </c>
      <c r="F669" s="1">
        <v>-112.01292429999999</v>
      </c>
      <c r="G669" s="1" t="s">
        <v>46</v>
      </c>
      <c r="H669" s="1" t="str">
        <f t="shared" si="31"/>
        <v>AZ</v>
      </c>
      <c r="I669" s="1">
        <f t="shared" si="32"/>
        <v>0</v>
      </c>
    </row>
    <row r="670" spans="1:9" x14ac:dyDescent="0.2">
      <c r="A670" s="1" t="s">
        <v>735</v>
      </c>
      <c r="B670" s="1">
        <v>30270.51</v>
      </c>
      <c r="C670" s="1" t="s">
        <v>27</v>
      </c>
      <c r="D670" s="1">
        <f t="shared" si="30"/>
        <v>55993.991594411818</v>
      </c>
      <c r="E670" s="1">
        <v>33.518193330000003</v>
      </c>
      <c r="F670" s="1">
        <v>-112.0648255</v>
      </c>
      <c r="G670" s="1" t="s">
        <v>46</v>
      </c>
      <c r="H670" s="1" t="str">
        <f t="shared" si="31"/>
        <v>AZ</v>
      </c>
      <c r="I670" s="1">
        <f t="shared" si="32"/>
        <v>0</v>
      </c>
    </row>
    <row r="671" spans="1:9" x14ac:dyDescent="0.2">
      <c r="A671" s="1" t="s">
        <v>736</v>
      </c>
      <c r="B671" s="1">
        <v>37715.79</v>
      </c>
      <c r="C671" s="1" t="s">
        <v>27</v>
      </c>
      <c r="D671" s="1">
        <f t="shared" si="30"/>
        <v>55993.991594411818</v>
      </c>
      <c r="E671" s="1">
        <v>33.465813369999999</v>
      </c>
      <c r="F671" s="1">
        <v>-112.1506613</v>
      </c>
      <c r="G671" s="1" t="s">
        <v>46</v>
      </c>
      <c r="H671" s="1" t="str">
        <f t="shared" si="31"/>
        <v>AZ</v>
      </c>
      <c r="I671" s="1">
        <f t="shared" si="32"/>
        <v>0</v>
      </c>
    </row>
    <row r="672" spans="1:9" x14ac:dyDescent="0.2">
      <c r="A672" s="1" t="s">
        <v>737</v>
      </c>
      <c r="B672" s="1">
        <v>27180.76</v>
      </c>
      <c r="C672" s="1" t="s">
        <v>27</v>
      </c>
      <c r="D672" s="1">
        <f t="shared" si="30"/>
        <v>55993.991594411818</v>
      </c>
      <c r="E672" s="1">
        <v>33.626537130000003</v>
      </c>
      <c r="F672" s="1">
        <v>-112.0132564</v>
      </c>
      <c r="G672" s="1" t="s">
        <v>46</v>
      </c>
      <c r="H672" s="1" t="str">
        <f t="shared" si="31"/>
        <v>AZ</v>
      </c>
      <c r="I672" s="1">
        <f t="shared" si="32"/>
        <v>0</v>
      </c>
    </row>
    <row r="673" spans="1:9" x14ac:dyDescent="0.2">
      <c r="A673" s="1" t="s">
        <v>738</v>
      </c>
      <c r="B673" s="1">
        <v>34946.879999999997</v>
      </c>
      <c r="C673" s="1" t="s">
        <v>27</v>
      </c>
      <c r="D673" s="1">
        <f t="shared" si="30"/>
        <v>55993.991594411818</v>
      </c>
      <c r="E673" s="1">
        <v>33.53865012</v>
      </c>
      <c r="F673" s="1">
        <v>-112.1348184</v>
      </c>
      <c r="G673" s="1" t="s">
        <v>46</v>
      </c>
      <c r="H673" s="1" t="str">
        <f t="shared" si="31"/>
        <v>AZ</v>
      </c>
      <c r="I673" s="1">
        <f t="shared" si="32"/>
        <v>0</v>
      </c>
    </row>
    <row r="674" spans="1:9" x14ac:dyDescent="0.2">
      <c r="A674" s="1" t="s">
        <v>739</v>
      </c>
      <c r="B674" s="1">
        <v>25850.16</v>
      </c>
      <c r="C674" s="1" t="s">
        <v>27</v>
      </c>
      <c r="D674" s="1">
        <f t="shared" si="30"/>
        <v>55993.991594411818</v>
      </c>
      <c r="E674" s="1">
        <v>33.380948330000002</v>
      </c>
      <c r="F674" s="1">
        <v>-112.0730958</v>
      </c>
      <c r="G674" s="1" t="s">
        <v>46</v>
      </c>
      <c r="H674" s="1" t="str">
        <f t="shared" si="31"/>
        <v>AZ</v>
      </c>
      <c r="I674" s="1">
        <f t="shared" si="32"/>
        <v>0</v>
      </c>
    </row>
    <row r="675" spans="1:9" x14ac:dyDescent="0.2">
      <c r="A675" s="1" t="s">
        <v>740</v>
      </c>
      <c r="B675" s="1">
        <v>28595.15</v>
      </c>
      <c r="C675" s="1" t="s">
        <v>27</v>
      </c>
      <c r="D675" s="1">
        <f t="shared" si="30"/>
        <v>55993.991594411818</v>
      </c>
      <c r="E675" s="1">
        <v>33.465958739999998</v>
      </c>
      <c r="F675" s="1">
        <v>-112.03544840000001</v>
      </c>
      <c r="G675" s="1" t="s">
        <v>46</v>
      </c>
      <c r="H675" s="1" t="str">
        <f t="shared" si="31"/>
        <v>AZ</v>
      </c>
      <c r="I675" s="1">
        <f t="shared" si="32"/>
        <v>0</v>
      </c>
    </row>
    <row r="676" spans="1:9" x14ac:dyDescent="0.2">
      <c r="A676" s="1" t="s">
        <v>741</v>
      </c>
      <c r="B676" s="1">
        <v>24895</v>
      </c>
      <c r="C676" s="1" t="s">
        <v>27</v>
      </c>
      <c r="D676" s="1">
        <f t="shared" si="30"/>
        <v>55993.991594411818</v>
      </c>
      <c r="E676" s="1">
        <v>33.450966260000001</v>
      </c>
      <c r="F676" s="1">
        <v>-112.11794829999999</v>
      </c>
      <c r="G676" s="1" t="s">
        <v>46</v>
      </c>
      <c r="H676" s="1" t="str">
        <f t="shared" si="31"/>
        <v>AZ</v>
      </c>
      <c r="I676" s="1">
        <f t="shared" si="32"/>
        <v>0</v>
      </c>
    </row>
    <row r="677" spans="1:9" x14ac:dyDescent="0.2">
      <c r="A677" s="1" t="s">
        <v>742</v>
      </c>
      <c r="B677" s="1">
        <v>31677.43</v>
      </c>
      <c r="C677" s="1" t="s">
        <v>27</v>
      </c>
      <c r="D677" s="1">
        <f t="shared" si="30"/>
        <v>55993.991594411818</v>
      </c>
      <c r="E677" s="1">
        <v>33.466107129999997</v>
      </c>
      <c r="F677" s="1">
        <v>-112.16952999999999</v>
      </c>
      <c r="G677" s="1" t="s">
        <v>46</v>
      </c>
      <c r="H677" s="1" t="str">
        <f t="shared" si="31"/>
        <v>AZ</v>
      </c>
      <c r="I677" s="1">
        <f t="shared" si="32"/>
        <v>0</v>
      </c>
    </row>
    <row r="678" spans="1:9" x14ac:dyDescent="0.2">
      <c r="A678" s="1" t="s">
        <v>743</v>
      </c>
      <c r="B678" s="1">
        <v>35414.42</v>
      </c>
      <c r="C678" s="1" t="s">
        <v>27</v>
      </c>
      <c r="D678" s="1">
        <f t="shared" si="30"/>
        <v>55993.991594411818</v>
      </c>
      <c r="E678" s="1">
        <v>33.480497130000003</v>
      </c>
      <c r="F678" s="1">
        <v>-112.20049469999999</v>
      </c>
      <c r="G678" s="1" t="s">
        <v>46</v>
      </c>
      <c r="H678" s="1" t="str">
        <f t="shared" si="31"/>
        <v>AZ</v>
      </c>
      <c r="I678" s="1">
        <f t="shared" si="32"/>
        <v>0</v>
      </c>
    </row>
    <row r="679" spans="1:9" x14ac:dyDescent="0.2">
      <c r="A679" s="1" t="s">
        <v>744</v>
      </c>
      <c r="B679" s="1">
        <v>23722.62</v>
      </c>
      <c r="C679" s="1" t="s">
        <v>27</v>
      </c>
      <c r="D679" s="1">
        <f t="shared" si="30"/>
        <v>55993.991594411818</v>
      </c>
      <c r="E679" s="1">
        <v>33.465917130000001</v>
      </c>
      <c r="F679" s="1">
        <v>-111.9863613</v>
      </c>
      <c r="G679" s="1" t="s">
        <v>46</v>
      </c>
      <c r="H679" s="1" t="str">
        <f t="shared" si="31"/>
        <v>AZ</v>
      </c>
      <c r="I679" s="1">
        <f t="shared" si="32"/>
        <v>0</v>
      </c>
    </row>
    <row r="680" spans="1:9" x14ac:dyDescent="0.2">
      <c r="A680" s="1" t="s">
        <v>745</v>
      </c>
      <c r="B680" s="1">
        <v>17807.259999999998</v>
      </c>
      <c r="C680" s="1" t="s">
        <v>27</v>
      </c>
      <c r="D680" s="1">
        <f t="shared" si="30"/>
        <v>55993.991594411818</v>
      </c>
      <c r="E680" s="1">
        <v>33.465602869999998</v>
      </c>
      <c r="F680" s="1">
        <v>-112.01269000000001</v>
      </c>
      <c r="G680" s="1" t="s">
        <v>46</v>
      </c>
      <c r="H680" s="1" t="str">
        <f t="shared" si="31"/>
        <v>AZ</v>
      </c>
      <c r="I680" s="1">
        <f t="shared" si="32"/>
        <v>0</v>
      </c>
    </row>
    <row r="681" spans="1:9" x14ac:dyDescent="0.2">
      <c r="A681" s="1" t="s">
        <v>746</v>
      </c>
      <c r="B681" s="1">
        <v>31478.57</v>
      </c>
      <c r="C681" s="1" t="s">
        <v>27</v>
      </c>
      <c r="D681" s="1">
        <f t="shared" si="30"/>
        <v>55993.991594411818</v>
      </c>
      <c r="E681" s="1">
        <v>33.524721990000003</v>
      </c>
      <c r="F681" s="1">
        <v>-112.1167255</v>
      </c>
      <c r="G681" s="1" t="s">
        <v>46</v>
      </c>
      <c r="H681" s="1" t="str">
        <f t="shared" si="31"/>
        <v>AZ</v>
      </c>
      <c r="I681" s="1">
        <f t="shared" si="32"/>
        <v>0</v>
      </c>
    </row>
    <row r="682" spans="1:9" x14ac:dyDescent="0.2">
      <c r="A682" s="1" t="s">
        <v>747</v>
      </c>
      <c r="B682" s="1">
        <v>23898.07</v>
      </c>
      <c r="C682" s="1" t="s">
        <v>27</v>
      </c>
      <c r="D682" s="1">
        <f t="shared" si="30"/>
        <v>55993.991594411818</v>
      </c>
      <c r="E682" s="1">
        <v>33.392602920000002</v>
      </c>
      <c r="F682" s="1">
        <v>-111.9792253</v>
      </c>
      <c r="G682" s="1" t="s">
        <v>46</v>
      </c>
      <c r="H682" s="1" t="str">
        <f t="shared" si="31"/>
        <v>AZ</v>
      </c>
      <c r="I682" s="1">
        <f t="shared" si="32"/>
        <v>0</v>
      </c>
    </row>
    <row r="683" spans="1:9" x14ac:dyDescent="0.2">
      <c r="A683" s="1" t="s">
        <v>748</v>
      </c>
      <c r="B683" s="1">
        <v>55215.96</v>
      </c>
      <c r="C683" s="1" t="s">
        <v>27</v>
      </c>
      <c r="D683" s="1">
        <f t="shared" si="30"/>
        <v>55993.991594411818</v>
      </c>
      <c r="E683" s="1">
        <v>33.47983851</v>
      </c>
      <c r="F683" s="1">
        <v>-112.2530253</v>
      </c>
      <c r="G683" s="1" t="s">
        <v>46</v>
      </c>
      <c r="H683" s="1" t="str">
        <f t="shared" si="31"/>
        <v>AZ</v>
      </c>
      <c r="I683" s="1">
        <f t="shared" si="32"/>
        <v>0</v>
      </c>
    </row>
    <row r="684" spans="1:9" x14ac:dyDescent="0.2">
      <c r="A684" s="1" t="s">
        <v>749</v>
      </c>
      <c r="B684" s="1">
        <v>42517.72</v>
      </c>
      <c r="C684" s="1" t="s">
        <v>27</v>
      </c>
      <c r="D684" s="1">
        <f t="shared" si="30"/>
        <v>55993.991594411818</v>
      </c>
      <c r="E684" s="1">
        <v>33.39207287</v>
      </c>
      <c r="F684" s="1">
        <v>-112.084075</v>
      </c>
      <c r="G684" s="1" t="s">
        <v>46</v>
      </c>
      <c r="H684" s="1" t="str">
        <f t="shared" si="31"/>
        <v>AZ</v>
      </c>
      <c r="I684" s="1">
        <f t="shared" si="32"/>
        <v>0</v>
      </c>
    </row>
    <row r="685" spans="1:9" x14ac:dyDescent="0.2">
      <c r="A685" s="1" t="s">
        <v>750</v>
      </c>
      <c r="B685" s="1">
        <v>45893.91</v>
      </c>
      <c r="C685" s="1" t="s">
        <v>27</v>
      </c>
      <c r="D685" s="1">
        <f t="shared" si="30"/>
        <v>55993.991594411818</v>
      </c>
      <c r="E685" s="1">
        <v>33.451541409999997</v>
      </c>
      <c r="F685" s="1">
        <v>-112.1333637</v>
      </c>
      <c r="G685" s="1" t="s">
        <v>46</v>
      </c>
      <c r="H685" s="1" t="str">
        <f t="shared" si="31"/>
        <v>AZ</v>
      </c>
      <c r="I685" s="1">
        <f t="shared" si="32"/>
        <v>0</v>
      </c>
    </row>
    <row r="686" spans="1:9" x14ac:dyDescent="0.2">
      <c r="A686" s="1" t="s">
        <v>751</v>
      </c>
      <c r="B686" s="1">
        <v>36121.360000000001</v>
      </c>
      <c r="C686" s="1" t="s">
        <v>27</v>
      </c>
      <c r="D686" s="1">
        <f t="shared" si="30"/>
        <v>55993.991594411818</v>
      </c>
      <c r="E686" s="1">
        <v>33.495167129999999</v>
      </c>
      <c r="F686" s="1">
        <v>-112.10145</v>
      </c>
      <c r="G686" s="1" t="s">
        <v>46</v>
      </c>
      <c r="H686" s="1" t="str">
        <f t="shared" si="31"/>
        <v>AZ</v>
      </c>
      <c r="I686" s="1">
        <f t="shared" si="32"/>
        <v>0</v>
      </c>
    </row>
    <row r="687" spans="1:9" x14ac:dyDescent="0.2">
      <c r="A687" s="1" t="s">
        <v>752</v>
      </c>
      <c r="B687" s="1">
        <v>22159.15</v>
      </c>
      <c r="C687" s="1" t="s">
        <v>27</v>
      </c>
      <c r="D687" s="1">
        <f t="shared" si="30"/>
        <v>55993.991594411818</v>
      </c>
      <c r="E687" s="1">
        <v>33.458689290000002</v>
      </c>
      <c r="F687" s="1">
        <v>-112.1346344</v>
      </c>
      <c r="G687" s="1" t="s">
        <v>46</v>
      </c>
      <c r="H687" s="1" t="str">
        <f t="shared" si="31"/>
        <v>AZ</v>
      </c>
      <c r="I687" s="1">
        <f t="shared" si="32"/>
        <v>0</v>
      </c>
    </row>
    <row r="688" spans="1:9" x14ac:dyDescent="0.2">
      <c r="A688" s="1" t="s">
        <v>753</v>
      </c>
      <c r="B688" s="1">
        <v>45495.839999999997</v>
      </c>
      <c r="C688" s="1" t="s">
        <v>27</v>
      </c>
      <c r="D688" s="1">
        <f t="shared" si="30"/>
        <v>55993.991594411818</v>
      </c>
      <c r="E688" s="1">
        <v>33.458712980000001</v>
      </c>
      <c r="F688" s="1">
        <v>-112.0474557</v>
      </c>
      <c r="G688" s="1" t="s">
        <v>46</v>
      </c>
      <c r="H688" s="1" t="str">
        <f t="shared" si="31"/>
        <v>AZ</v>
      </c>
      <c r="I688" s="1">
        <f t="shared" si="32"/>
        <v>0</v>
      </c>
    </row>
    <row r="689" spans="1:9" x14ac:dyDescent="0.2">
      <c r="A689" s="1" t="s">
        <v>754</v>
      </c>
      <c r="B689" s="1">
        <v>19699.080000000002</v>
      </c>
      <c r="C689" s="1" t="s">
        <v>27</v>
      </c>
      <c r="D689" s="1">
        <f t="shared" si="30"/>
        <v>55993.991594411818</v>
      </c>
      <c r="E689" s="1">
        <v>33.56286489</v>
      </c>
      <c r="F689" s="1">
        <v>-112.11677779999999</v>
      </c>
      <c r="G689" s="1" t="s">
        <v>46</v>
      </c>
      <c r="H689" s="1" t="str">
        <f t="shared" si="31"/>
        <v>AZ</v>
      </c>
      <c r="I689" s="1">
        <f t="shared" si="32"/>
        <v>0</v>
      </c>
    </row>
    <row r="690" spans="1:9" x14ac:dyDescent="0.2">
      <c r="A690" s="1" t="s">
        <v>755</v>
      </c>
      <c r="B690" s="1">
        <v>29623.25</v>
      </c>
      <c r="C690" s="1" t="s">
        <v>27</v>
      </c>
      <c r="D690" s="1">
        <f t="shared" si="30"/>
        <v>55993.991594411818</v>
      </c>
      <c r="E690" s="1">
        <v>33.530180000000001</v>
      </c>
      <c r="F690" s="1">
        <v>-112.0564145</v>
      </c>
      <c r="G690" s="1" t="s">
        <v>46</v>
      </c>
      <c r="H690" s="1" t="str">
        <f t="shared" si="31"/>
        <v>AZ</v>
      </c>
      <c r="I690" s="1">
        <f t="shared" si="32"/>
        <v>0</v>
      </c>
    </row>
    <row r="691" spans="1:9" x14ac:dyDescent="0.2">
      <c r="A691" s="1" t="s">
        <v>756</v>
      </c>
      <c r="B691" s="1">
        <v>68499.34</v>
      </c>
      <c r="C691" s="1" t="s">
        <v>27</v>
      </c>
      <c r="D691" s="1">
        <f t="shared" si="30"/>
        <v>55993.991594411818</v>
      </c>
      <c r="E691" s="1">
        <v>33.458954949999999</v>
      </c>
      <c r="F691" s="1">
        <v>-112.0824092</v>
      </c>
      <c r="G691" s="1" t="s">
        <v>46</v>
      </c>
      <c r="H691" s="1" t="str">
        <f t="shared" si="31"/>
        <v>AZ</v>
      </c>
      <c r="I691" s="1">
        <f t="shared" si="32"/>
        <v>1</v>
      </c>
    </row>
    <row r="692" spans="1:9" x14ac:dyDescent="0.2">
      <c r="A692" s="1" t="s">
        <v>757</v>
      </c>
      <c r="B692" s="1">
        <v>36224.949999999997</v>
      </c>
      <c r="C692" s="1" t="s">
        <v>27</v>
      </c>
      <c r="D692" s="1">
        <f t="shared" si="30"/>
        <v>55993.991594411818</v>
      </c>
      <c r="E692" s="1">
        <v>33.631770000000003</v>
      </c>
      <c r="F692" s="1">
        <v>-112.09423</v>
      </c>
      <c r="G692" s="1" t="s">
        <v>46</v>
      </c>
      <c r="H692" s="1" t="str">
        <f t="shared" si="31"/>
        <v>AZ</v>
      </c>
      <c r="I692" s="1">
        <f t="shared" si="32"/>
        <v>0</v>
      </c>
    </row>
    <row r="693" spans="1:9" x14ac:dyDescent="0.2">
      <c r="A693" s="1" t="s">
        <v>758</v>
      </c>
      <c r="B693" s="1">
        <v>61592.61</v>
      </c>
      <c r="C693" s="1" t="s">
        <v>27</v>
      </c>
      <c r="D693" s="1">
        <f t="shared" si="30"/>
        <v>55993.991594411818</v>
      </c>
      <c r="E693" s="1">
        <v>33.393378630000001</v>
      </c>
      <c r="F693" s="1">
        <v>-112.09930970000001</v>
      </c>
      <c r="G693" s="1" t="s">
        <v>46</v>
      </c>
      <c r="H693" s="1" t="str">
        <f t="shared" si="31"/>
        <v>AZ</v>
      </c>
      <c r="I693" s="1">
        <f t="shared" si="32"/>
        <v>1</v>
      </c>
    </row>
    <row r="694" spans="1:9" x14ac:dyDescent="0.2">
      <c r="A694" s="1" t="s">
        <v>759</v>
      </c>
      <c r="B694" s="1">
        <v>29070.02</v>
      </c>
      <c r="C694" s="1" t="s">
        <v>27</v>
      </c>
      <c r="D694" s="1">
        <f t="shared" si="30"/>
        <v>55993.991594411818</v>
      </c>
      <c r="E694" s="1">
        <v>33.669418899999997</v>
      </c>
      <c r="F694" s="1">
        <v>-112.0317604</v>
      </c>
      <c r="G694" s="1" t="s">
        <v>46</v>
      </c>
      <c r="H694" s="1" t="str">
        <f t="shared" si="31"/>
        <v>AZ</v>
      </c>
      <c r="I694" s="1">
        <f t="shared" si="32"/>
        <v>0</v>
      </c>
    </row>
    <row r="695" spans="1:9" x14ac:dyDescent="0.2">
      <c r="A695" s="1" t="s">
        <v>760</v>
      </c>
      <c r="B695" s="1">
        <v>39322.49</v>
      </c>
      <c r="C695" s="1" t="s">
        <v>27</v>
      </c>
      <c r="D695" s="1">
        <f t="shared" si="30"/>
        <v>55993.991594411818</v>
      </c>
      <c r="E695" s="1">
        <v>33.538707129999999</v>
      </c>
      <c r="F695" s="1">
        <v>-112.11696070000001</v>
      </c>
      <c r="G695" s="1" t="s">
        <v>46</v>
      </c>
      <c r="H695" s="1" t="str">
        <f t="shared" si="31"/>
        <v>AZ</v>
      </c>
      <c r="I695" s="1">
        <f t="shared" si="32"/>
        <v>0</v>
      </c>
    </row>
    <row r="696" spans="1:9" x14ac:dyDescent="0.2">
      <c r="A696" s="1" t="s">
        <v>761</v>
      </c>
      <c r="B696" s="1">
        <v>68802</v>
      </c>
      <c r="C696" s="1" t="s">
        <v>27</v>
      </c>
      <c r="D696" s="1">
        <f t="shared" si="30"/>
        <v>55993.991594411818</v>
      </c>
      <c r="E696" s="1">
        <v>33.407133119999997</v>
      </c>
      <c r="F696" s="1">
        <v>-111.9958511</v>
      </c>
      <c r="G696" s="1" t="s">
        <v>46</v>
      </c>
      <c r="H696" s="1" t="str">
        <f t="shared" si="31"/>
        <v>AZ</v>
      </c>
      <c r="I696" s="1">
        <f t="shared" si="32"/>
        <v>1</v>
      </c>
    </row>
    <row r="697" spans="1:9" x14ac:dyDescent="0.2">
      <c r="A697" s="1" t="s">
        <v>762</v>
      </c>
      <c r="B697" s="1">
        <v>28534.21</v>
      </c>
      <c r="C697" s="1" t="s">
        <v>27</v>
      </c>
      <c r="D697" s="1">
        <f t="shared" si="30"/>
        <v>55993.991594411818</v>
      </c>
      <c r="E697" s="1">
        <v>33.458884150000003</v>
      </c>
      <c r="F697" s="1">
        <v>-112.01305429999999</v>
      </c>
      <c r="G697" s="1" t="s">
        <v>46</v>
      </c>
      <c r="H697" s="1" t="str">
        <f t="shared" si="31"/>
        <v>AZ</v>
      </c>
      <c r="I697" s="1">
        <f t="shared" si="32"/>
        <v>0</v>
      </c>
    </row>
    <row r="698" spans="1:9" x14ac:dyDescent="0.2">
      <c r="A698" s="1" t="s">
        <v>763</v>
      </c>
      <c r="B698" s="1">
        <v>48893.78</v>
      </c>
      <c r="C698" s="1" t="s">
        <v>27</v>
      </c>
      <c r="D698" s="1">
        <f t="shared" si="30"/>
        <v>55993.991594411818</v>
      </c>
      <c r="E698" s="1">
        <v>33.552942870000003</v>
      </c>
      <c r="F698" s="1">
        <v>-112.12560000000001</v>
      </c>
      <c r="G698" s="1" t="s">
        <v>46</v>
      </c>
      <c r="H698" s="1" t="str">
        <f t="shared" si="31"/>
        <v>AZ</v>
      </c>
      <c r="I698" s="1">
        <f t="shared" si="32"/>
        <v>0</v>
      </c>
    </row>
    <row r="699" spans="1:9" x14ac:dyDescent="0.2">
      <c r="A699" s="1" t="s">
        <v>764</v>
      </c>
      <c r="B699" s="1">
        <v>40386.370000000003</v>
      </c>
      <c r="C699" s="1" t="s">
        <v>27</v>
      </c>
      <c r="D699" s="1">
        <f t="shared" si="30"/>
        <v>55993.991594411818</v>
      </c>
      <c r="E699" s="1">
        <v>33.502375600000001</v>
      </c>
      <c r="F699" s="1">
        <v>-112.1000635</v>
      </c>
      <c r="G699" s="1" t="s">
        <v>46</v>
      </c>
      <c r="H699" s="1" t="str">
        <f t="shared" si="31"/>
        <v>AZ</v>
      </c>
      <c r="I699" s="1">
        <f t="shared" si="32"/>
        <v>0</v>
      </c>
    </row>
    <row r="700" spans="1:9" x14ac:dyDescent="0.2">
      <c r="A700" s="1" t="s">
        <v>765</v>
      </c>
      <c r="B700" s="1">
        <v>37116.15</v>
      </c>
      <c r="C700" s="1" t="s">
        <v>27</v>
      </c>
      <c r="D700" s="1">
        <f t="shared" si="30"/>
        <v>55993.991594411818</v>
      </c>
      <c r="E700" s="1">
        <v>33.523602869999998</v>
      </c>
      <c r="F700" s="1">
        <v>-112.06498000000001</v>
      </c>
      <c r="G700" s="1" t="s">
        <v>46</v>
      </c>
      <c r="H700" s="1" t="str">
        <f t="shared" si="31"/>
        <v>AZ</v>
      </c>
      <c r="I700" s="1">
        <f t="shared" si="32"/>
        <v>0</v>
      </c>
    </row>
    <row r="701" spans="1:9" x14ac:dyDescent="0.2">
      <c r="A701" s="1" t="s">
        <v>766</v>
      </c>
      <c r="B701" s="1">
        <v>44976.44</v>
      </c>
      <c r="C701" s="1" t="s">
        <v>27</v>
      </c>
      <c r="D701" s="1">
        <f t="shared" si="30"/>
        <v>55993.991594411818</v>
      </c>
      <c r="E701" s="1">
        <v>33.582166209999997</v>
      </c>
      <c r="F701" s="1">
        <v>-112.13425340000001</v>
      </c>
      <c r="G701" s="1" t="s">
        <v>46</v>
      </c>
      <c r="H701" s="1" t="str">
        <f t="shared" si="31"/>
        <v>AZ</v>
      </c>
      <c r="I701" s="1">
        <f t="shared" si="32"/>
        <v>0</v>
      </c>
    </row>
    <row r="702" spans="1:9" x14ac:dyDescent="0.2">
      <c r="A702" s="1" t="s">
        <v>767</v>
      </c>
      <c r="B702" s="1">
        <v>87887.23</v>
      </c>
      <c r="C702" s="1" t="s">
        <v>27</v>
      </c>
      <c r="D702" s="1">
        <f t="shared" si="30"/>
        <v>55993.991594411818</v>
      </c>
      <c r="E702" s="1">
        <v>33.436702879999999</v>
      </c>
      <c r="F702" s="1">
        <v>-112.0652078</v>
      </c>
      <c r="G702" s="1" t="s">
        <v>46</v>
      </c>
      <c r="H702" s="1" t="str">
        <f t="shared" si="31"/>
        <v>AZ</v>
      </c>
      <c r="I702" s="1">
        <f t="shared" si="32"/>
        <v>1</v>
      </c>
    </row>
    <row r="703" spans="1:9" x14ac:dyDescent="0.2">
      <c r="A703" s="1" t="s">
        <v>768</v>
      </c>
      <c r="B703" s="1">
        <v>41201.120000000003</v>
      </c>
      <c r="C703" s="1" t="s">
        <v>27</v>
      </c>
      <c r="D703" s="1">
        <f t="shared" si="30"/>
        <v>55993.991594411818</v>
      </c>
      <c r="E703" s="1">
        <v>33.406697360000003</v>
      </c>
      <c r="F703" s="1">
        <v>-112.08174579999999</v>
      </c>
      <c r="G703" s="1" t="s">
        <v>46</v>
      </c>
      <c r="H703" s="1" t="str">
        <f t="shared" si="31"/>
        <v>AZ</v>
      </c>
      <c r="I703" s="1">
        <f t="shared" si="32"/>
        <v>0</v>
      </c>
    </row>
    <row r="704" spans="1:9" x14ac:dyDescent="0.2">
      <c r="A704" s="1" t="s">
        <v>769</v>
      </c>
      <c r="B704" s="1">
        <v>31250.71</v>
      </c>
      <c r="C704" s="1" t="s">
        <v>27</v>
      </c>
      <c r="D704" s="1">
        <f t="shared" si="30"/>
        <v>55993.991594411818</v>
      </c>
      <c r="E704" s="1">
        <v>33.451217110000002</v>
      </c>
      <c r="F704" s="1">
        <v>-112.1169967</v>
      </c>
      <c r="G704" s="1" t="s">
        <v>46</v>
      </c>
      <c r="H704" s="1" t="str">
        <f t="shared" si="31"/>
        <v>AZ</v>
      </c>
      <c r="I704" s="1">
        <f t="shared" si="32"/>
        <v>0</v>
      </c>
    </row>
    <row r="705" spans="1:9" x14ac:dyDescent="0.2">
      <c r="A705" s="1" t="s">
        <v>770</v>
      </c>
      <c r="B705" s="1">
        <v>43299.83</v>
      </c>
      <c r="C705" s="1" t="s">
        <v>27</v>
      </c>
      <c r="D705" s="1">
        <f t="shared" si="30"/>
        <v>55993.991594411818</v>
      </c>
      <c r="E705" s="1">
        <v>33.465712869999997</v>
      </c>
      <c r="F705" s="1">
        <v>-112.0918442</v>
      </c>
      <c r="G705" s="1" t="s">
        <v>46</v>
      </c>
      <c r="H705" s="1" t="str">
        <f t="shared" si="31"/>
        <v>AZ</v>
      </c>
      <c r="I705" s="1">
        <f t="shared" si="32"/>
        <v>0</v>
      </c>
    </row>
    <row r="706" spans="1:9" x14ac:dyDescent="0.2">
      <c r="A706" s="1" t="s">
        <v>771</v>
      </c>
      <c r="B706" s="1">
        <v>49398.55</v>
      </c>
      <c r="C706" s="1" t="s">
        <v>27</v>
      </c>
      <c r="D706" s="1">
        <f t="shared" si="30"/>
        <v>55993.991594411818</v>
      </c>
      <c r="E706" s="1">
        <v>33.523950910000003</v>
      </c>
      <c r="F706" s="1">
        <v>-112.08257450000001</v>
      </c>
      <c r="G706" s="1" t="s">
        <v>46</v>
      </c>
      <c r="H706" s="1" t="str">
        <f t="shared" si="31"/>
        <v>AZ</v>
      </c>
      <c r="I706" s="1">
        <f t="shared" si="32"/>
        <v>0</v>
      </c>
    </row>
    <row r="707" spans="1:9" x14ac:dyDescent="0.2">
      <c r="A707" s="1" t="s">
        <v>772</v>
      </c>
      <c r="B707" s="1">
        <v>38391.72</v>
      </c>
      <c r="C707" s="1" t="s">
        <v>27</v>
      </c>
      <c r="D707" s="1">
        <f t="shared" ref="D707:D770" si="33">AVERAGEIFS($B:$B,$C:$C,$C707)</f>
        <v>55993.991594411818</v>
      </c>
      <c r="E707" s="1">
        <v>33.494692880000002</v>
      </c>
      <c r="F707" s="1">
        <v>-112.03019810000001</v>
      </c>
      <c r="G707" s="1" t="s">
        <v>46</v>
      </c>
      <c r="H707" s="1" t="str">
        <f t="shared" ref="H707:H770" si="34">TRIM(_xlfn.TEXTAFTER(A707, ",", -1))</f>
        <v>AZ</v>
      </c>
      <c r="I707" s="1">
        <f t="shared" ref="I707:I770" si="35">IF(B707&gt;D707,1,0)</f>
        <v>0</v>
      </c>
    </row>
    <row r="708" spans="1:9" x14ac:dyDescent="0.2">
      <c r="A708" s="1" t="s">
        <v>773</v>
      </c>
      <c r="B708" s="1">
        <v>31299.49</v>
      </c>
      <c r="C708" s="1" t="s">
        <v>27</v>
      </c>
      <c r="D708" s="1">
        <f t="shared" si="33"/>
        <v>55993.991594411818</v>
      </c>
      <c r="E708" s="1">
        <v>33.495302129999999</v>
      </c>
      <c r="F708" s="1">
        <v>-112.0053759</v>
      </c>
      <c r="G708" s="1" t="s">
        <v>46</v>
      </c>
      <c r="H708" s="1" t="str">
        <f t="shared" si="34"/>
        <v>AZ</v>
      </c>
      <c r="I708" s="1">
        <f t="shared" si="35"/>
        <v>0</v>
      </c>
    </row>
    <row r="709" spans="1:9" x14ac:dyDescent="0.2">
      <c r="A709" s="1" t="s">
        <v>774</v>
      </c>
      <c r="B709" s="1">
        <v>36736.089999999997</v>
      </c>
      <c r="C709" s="1" t="s">
        <v>27</v>
      </c>
      <c r="D709" s="1">
        <f t="shared" si="33"/>
        <v>55993.991594411818</v>
      </c>
      <c r="E709" s="1">
        <v>33.487923330000001</v>
      </c>
      <c r="F709" s="1">
        <v>-112.1000944</v>
      </c>
      <c r="G709" s="1" t="s">
        <v>46</v>
      </c>
      <c r="H709" s="1" t="str">
        <f t="shared" si="34"/>
        <v>AZ</v>
      </c>
      <c r="I709" s="1">
        <f t="shared" si="35"/>
        <v>0</v>
      </c>
    </row>
    <row r="710" spans="1:9" x14ac:dyDescent="0.2">
      <c r="A710" s="1" t="s">
        <v>775</v>
      </c>
      <c r="B710" s="1">
        <v>31224.560000000001</v>
      </c>
      <c r="C710" s="1" t="s">
        <v>27</v>
      </c>
      <c r="D710" s="1">
        <f t="shared" si="33"/>
        <v>55993.991594411818</v>
      </c>
      <c r="E710" s="1">
        <v>33.393338290000003</v>
      </c>
      <c r="F710" s="1">
        <v>-112.0300026</v>
      </c>
      <c r="G710" s="1" t="s">
        <v>46</v>
      </c>
      <c r="H710" s="1" t="str">
        <f t="shared" si="34"/>
        <v>AZ</v>
      </c>
      <c r="I710" s="1">
        <f t="shared" si="35"/>
        <v>0</v>
      </c>
    </row>
    <row r="711" spans="1:9" x14ac:dyDescent="0.2">
      <c r="A711" s="1" t="s">
        <v>776</v>
      </c>
      <c r="B711" s="1">
        <v>64707.59</v>
      </c>
      <c r="C711" s="1" t="s">
        <v>27</v>
      </c>
      <c r="D711" s="1">
        <f t="shared" si="33"/>
        <v>55993.991594411818</v>
      </c>
      <c r="E711" s="1">
        <v>33.487749860000001</v>
      </c>
      <c r="F711" s="1">
        <v>-111.98672139999999</v>
      </c>
      <c r="G711" s="1" t="s">
        <v>46</v>
      </c>
      <c r="H711" s="1" t="str">
        <f t="shared" si="34"/>
        <v>AZ</v>
      </c>
      <c r="I711" s="1">
        <f t="shared" si="35"/>
        <v>1</v>
      </c>
    </row>
    <row r="712" spans="1:9" x14ac:dyDescent="0.2">
      <c r="A712" s="1" t="s">
        <v>777</v>
      </c>
      <c r="B712" s="1">
        <v>48293.33</v>
      </c>
      <c r="C712" s="1" t="s">
        <v>27</v>
      </c>
      <c r="D712" s="1">
        <f t="shared" si="33"/>
        <v>55993.991594411818</v>
      </c>
      <c r="E712" s="1">
        <v>33.479649989999999</v>
      </c>
      <c r="F712" s="1">
        <v>-112.0652424</v>
      </c>
      <c r="G712" s="1" t="s">
        <v>46</v>
      </c>
      <c r="H712" s="1" t="str">
        <f t="shared" si="34"/>
        <v>AZ</v>
      </c>
      <c r="I712" s="1">
        <f t="shared" si="35"/>
        <v>0</v>
      </c>
    </row>
    <row r="713" spans="1:9" x14ac:dyDescent="0.2">
      <c r="A713" s="1" t="s">
        <v>778</v>
      </c>
      <c r="B713" s="1">
        <v>52093.08</v>
      </c>
      <c r="C713" s="1" t="s">
        <v>27</v>
      </c>
      <c r="D713" s="1">
        <f t="shared" si="33"/>
        <v>55993.991594411818</v>
      </c>
      <c r="E713" s="1">
        <v>33.683969699999999</v>
      </c>
      <c r="F713" s="1">
        <v>-112.1003037</v>
      </c>
      <c r="G713" s="1" t="s">
        <v>46</v>
      </c>
      <c r="H713" s="1" t="str">
        <f t="shared" si="34"/>
        <v>AZ</v>
      </c>
      <c r="I713" s="1">
        <f t="shared" si="35"/>
        <v>0</v>
      </c>
    </row>
    <row r="714" spans="1:9" x14ac:dyDescent="0.2">
      <c r="A714" s="1" t="s">
        <v>779</v>
      </c>
      <c r="B714" s="1">
        <v>38527.730000000003</v>
      </c>
      <c r="C714" s="1" t="s">
        <v>27</v>
      </c>
      <c r="D714" s="1">
        <f t="shared" si="33"/>
        <v>55993.991594411818</v>
      </c>
      <c r="E714" s="1">
        <v>33.37856395</v>
      </c>
      <c r="F714" s="1">
        <v>-112.0820842</v>
      </c>
      <c r="G714" s="1" t="s">
        <v>46</v>
      </c>
      <c r="H714" s="1" t="str">
        <f t="shared" si="34"/>
        <v>AZ</v>
      </c>
      <c r="I714" s="1">
        <f t="shared" si="35"/>
        <v>0</v>
      </c>
    </row>
    <row r="715" spans="1:9" x14ac:dyDescent="0.2">
      <c r="A715" s="1" t="s">
        <v>780</v>
      </c>
      <c r="B715" s="1">
        <v>40468.47</v>
      </c>
      <c r="C715" s="1" t="s">
        <v>27</v>
      </c>
      <c r="D715" s="1">
        <f t="shared" si="33"/>
        <v>55993.991594411818</v>
      </c>
      <c r="E715" s="1">
        <v>33.512177940000001</v>
      </c>
      <c r="F715" s="1">
        <v>-112.0735655</v>
      </c>
      <c r="G715" s="1" t="s">
        <v>46</v>
      </c>
      <c r="H715" s="1" t="str">
        <f t="shared" si="34"/>
        <v>AZ</v>
      </c>
      <c r="I715" s="1">
        <f t="shared" si="35"/>
        <v>0</v>
      </c>
    </row>
    <row r="716" spans="1:9" x14ac:dyDescent="0.2">
      <c r="A716" s="1" t="s">
        <v>781</v>
      </c>
      <c r="B716" s="1">
        <v>61095.1</v>
      </c>
      <c r="C716" s="1" t="s">
        <v>27</v>
      </c>
      <c r="D716" s="1">
        <f t="shared" si="33"/>
        <v>55993.991594411818</v>
      </c>
      <c r="E716" s="1">
        <v>33.50934049</v>
      </c>
      <c r="F716" s="1">
        <v>-111.98760679999999</v>
      </c>
      <c r="G716" s="1" t="s">
        <v>46</v>
      </c>
      <c r="H716" s="1" t="str">
        <f t="shared" si="34"/>
        <v>AZ</v>
      </c>
      <c r="I716" s="1">
        <f t="shared" si="35"/>
        <v>1</v>
      </c>
    </row>
    <row r="717" spans="1:9" x14ac:dyDescent="0.2">
      <c r="A717" s="1" t="s">
        <v>782</v>
      </c>
      <c r="B717" s="1">
        <v>47083.01</v>
      </c>
      <c r="C717" s="1" t="s">
        <v>27</v>
      </c>
      <c r="D717" s="1">
        <f t="shared" si="33"/>
        <v>55993.991594411818</v>
      </c>
      <c r="E717" s="1">
        <v>33.40690713</v>
      </c>
      <c r="F717" s="1">
        <v>-112.0477413</v>
      </c>
      <c r="G717" s="1" t="s">
        <v>46</v>
      </c>
      <c r="H717" s="1" t="str">
        <f t="shared" si="34"/>
        <v>AZ</v>
      </c>
      <c r="I717" s="1">
        <f t="shared" si="35"/>
        <v>0</v>
      </c>
    </row>
    <row r="718" spans="1:9" x14ac:dyDescent="0.2">
      <c r="A718" s="1" t="s">
        <v>783</v>
      </c>
      <c r="B718" s="1">
        <v>34934.32</v>
      </c>
      <c r="C718" s="1" t="s">
        <v>27</v>
      </c>
      <c r="D718" s="1">
        <f t="shared" si="33"/>
        <v>55993.991594411818</v>
      </c>
      <c r="E718" s="1">
        <v>33.451435590000003</v>
      </c>
      <c r="F718" s="1">
        <v>-112.097089</v>
      </c>
      <c r="G718" s="1" t="s">
        <v>46</v>
      </c>
      <c r="H718" s="1" t="str">
        <f t="shared" si="34"/>
        <v>AZ</v>
      </c>
      <c r="I718" s="1">
        <f t="shared" si="35"/>
        <v>0</v>
      </c>
    </row>
    <row r="719" spans="1:9" x14ac:dyDescent="0.2">
      <c r="A719" s="1" t="s">
        <v>784</v>
      </c>
      <c r="B719" s="1">
        <v>27096.34</v>
      </c>
      <c r="C719" s="1" t="s">
        <v>27</v>
      </c>
      <c r="D719" s="1">
        <f t="shared" si="33"/>
        <v>55993.991594411818</v>
      </c>
      <c r="E719" s="1">
        <v>33.436960450000001</v>
      </c>
      <c r="F719" s="1">
        <v>-112.07333079999999</v>
      </c>
      <c r="G719" s="1" t="s">
        <v>46</v>
      </c>
      <c r="H719" s="1" t="str">
        <f t="shared" si="34"/>
        <v>AZ</v>
      </c>
      <c r="I719" s="1">
        <f t="shared" si="35"/>
        <v>0</v>
      </c>
    </row>
    <row r="720" spans="1:9" x14ac:dyDescent="0.2">
      <c r="A720" s="1" t="s">
        <v>785</v>
      </c>
      <c r="B720" s="1">
        <v>40875.519999999997</v>
      </c>
      <c r="C720" s="1" t="s">
        <v>27</v>
      </c>
      <c r="D720" s="1">
        <f t="shared" si="33"/>
        <v>55993.991594411818</v>
      </c>
      <c r="E720" s="1">
        <v>33.40683713</v>
      </c>
      <c r="F720" s="1">
        <v>-112.06509730000001</v>
      </c>
      <c r="G720" s="1" t="s">
        <v>46</v>
      </c>
      <c r="H720" s="1" t="str">
        <f t="shared" si="34"/>
        <v>AZ</v>
      </c>
      <c r="I720" s="1">
        <f t="shared" si="35"/>
        <v>0</v>
      </c>
    </row>
    <row r="721" spans="1:9" x14ac:dyDescent="0.2">
      <c r="A721" s="1" t="s">
        <v>786</v>
      </c>
      <c r="B721" s="1">
        <v>37237.01</v>
      </c>
      <c r="C721" s="1" t="s">
        <v>27</v>
      </c>
      <c r="D721" s="1">
        <f t="shared" si="33"/>
        <v>55993.991594411818</v>
      </c>
      <c r="E721" s="1">
        <v>33.625817359999999</v>
      </c>
      <c r="F721" s="1">
        <v>-112.06568470000001</v>
      </c>
      <c r="G721" s="1" t="s">
        <v>46</v>
      </c>
      <c r="H721" s="1" t="str">
        <f t="shared" si="34"/>
        <v>AZ</v>
      </c>
      <c r="I721" s="1">
        <f t="shared" si="35"/>
        <v>0</v>
      </c>
    </row>
    <row r="722" spans="1:9" x14ac:dyDescent="0.2">
      <c r="A722" s="1" t="s">
        <v>787</v>
      </c>
      <c r="B722" s="1">
        <v>47744.97</v>
      </c>
      <c r="C722" s="1" t="s">
        <v>27</v>
      </c>
      <c r="D722" s="1">
        <f t="shared" si="33"/>
        <v>55993.991594411818</v>
      </c>
      <c r="E722" s="1">
        <v>33.465961980000003</v>
      </c>
      <c r="F722" s="1">
        <v>-112.0830996</v>
      </c>
      <c r="G722" s="1" t="s">
        <v>46</v>
      </c>
      <c r="H722" s="1" t="str">
        <f t="shared" si="34"/>
        <v>AZ</v>
      </c>
      <c r="I722" s="1">
        <f t="shared" si="35"/>
        <v>0</v>
      </c>
    </row>
    <row r="723" spans="1:9" x14ac:dyDescent="0.2">
      <c r="A723" s="1" t="s">
        <v>788</v>
      </c>
      <c r="B723" s="1">
        <v>49848.91</v>
      </c>
      <c r="C723" s="1" t="s">
        <v>27</v>
      </c>
      <c r="D723" s="1">
        <f t="shared" si="33"/>
        <v>55993.991594411818</v>
      </c>
      <c r="E723" s="1">
        <v>33.40689287</v>
      </c>
      <c r="F723" s="1">
        <v>-112.01308</v>
      </c>
      <c r="G723" s="1" t="s">
        <v>46</v>
      </c>
      <c r="H723" s="1" t="str">
        <f t="shared" si="34"/>
        <v>AZ</v>
      </c>
      <c r="I723" s="1">
        <f t="shared" si="35"/>
        <v>0</v>
      </c>
    </row>
    <row r="724" spans="1:9" x14ac:dyDescent="0.2">
      <c r="A724" s="1" t="s">
        <v>789</v>
      </c>
      <c r="B724" s="1">
        <v>30231.22</v>
      </c>
      <c r="C724" s="1" t="s">
        <v>27</v>
      </c>
      <c r="D724" s="1">
        <f t="shared" si="33"/>
        <v>55993.991594411818</v>
      </c>
      <c r="E724" s="1">
        <v>33.451182869999997</v>
      </c>
      <c r="F724" s="1">
        <v>-112.01355150000001</v>
      </c>
      <c r="G724" s="1" t="s">
        <v>46</v>
      </c>
      <c r="H724" s="1" t="str">
        <f t="shared" si="34"/>
        <v>AZ</v>
      </c>
      <c r="I724" s="1">
        <f t="shared" si="35"/>
        <v>0</v>
      </c>
    </row>
    <row r="725" spans="1:9" x14ac:dyDescent="0.2">
      <c r="A725" s="1" t="s">
        <v>790</v>
      </c>
      <c r="B725" s="1">
        <v>44131.07</v>
      </c>
      <c r="C725" s="1" t="s">
        <v>27</v>
      </c>
      <c r="D725" s="1">
        <f t="shared" si="33"/>
        <v>55993.991594411818</v>
      </c>
      <c r="E725" s="1">
        <v>33.640785039999997</v>
      </c>
      <c r="F725" s="1">
        <v>-111.9774627</v>
      </c>
      <c r="G725" s="1" t="s">
        <v>46</v>
      </c>
      <c r="H725" s="1" t="str">
        <f t="shared" si="34"/>
        <v>AZ</v>
      </c>
      <c r="I725" s="1">
        <f t="shared" si="35"/>
        <v>0</v>
      </c>
    </row>
    <row r="726" spans="1:9" x14ac:dyDescent="0.2">
      <c r="A726" s="1" t="s">
        <v>791</v>
      </c>
      <c r="B726" s="1">
        <v>52262.15</v>
      </c>
      <c r="C726" s="1" t="s">
        <v>27</v>
      </c>
      <c r="D726" s="1">
        <f t="shared" si="33"/>
        <v>55993.991594411818</v>
      </c>
      <c r="E726" s="1">
        <v>33.654493989999999</v>
      </c>
      <c r="F726" s="1">
        <v>-112.11173359999999</v>
      </c>
      <c r="G726" s="1" t="s">
        <v>46</v>
      </c>
      <c r="H726" s="1" t="str">
        <f t="shared" si="34"/>
        <v>AZ</v>
      </c>
      <c r="I726" s="1">
        <f t="shared" si="35"/>
        <v>0</v>
      </c>
    </row>
    <row r="727" spans="1:9" x14ac:dyDescent="0.2">
      <c r="A727" s="1" t="s">
        <v>792</v>
      </c>
      <c r="B727" s="1">
        <v>47371.3</v>
      </c>
      <c r="C727" s="1" t="s">
        <v>27</v>
      </c>
      <c r="D727" s="1">
        <f t="shared" si="33"/>
        <v>55993.991594411818</v>
      </c>
      <c r="E727" s="1">
        <v>33.364199470000003</v>
      </c>
      <c r="F727" s="1">
        <v>-112.0733542</v>
      </c>
      <c r="G727" s="1" t="s">
        <v>46</v>
      </c>
      <c r="H727" s="1" t="str">
        <f t="shared" si="34"/>
        <v>AZ</v>
      </c>
      <c r="I727" s="1">
        <f t="shared" si="35"/>
        <v>0</v>
      </c>
    </row>
    <row r="728" spans="1:9" x14ac:dyDescent="0.2">
      <c r="A728" s="1" t="s">
        <v>793</v>
      </c>
      <c r="B728" s="1">
        <v>48480.08</v>
      </c>
      <c r="C728" s="1" t="s">
        <v>27</v>
      </c>
      <c r="D728" s="1">
        <f t="shared" si="33"/>
        <v>55993.991594411818</v>
      </c>
      <c r="E728" s="1">
        <v>33.407616670000003</v>
      </c>
      <c r="F728" s="1">
        <v>-112.0992557</v>
      </c>
      <c r="G728" s="1" t="s">
        <v>46</v>
      </c>
      <c r="H728" s="1" t="str">
        <f t="shared" si="34"/>
        <v>AZ</v>
      </c>
      <c r="I728" s="1">
        <f t="shared" si="35"/>
        <v>0</v>
      </c>
    </row>
    <row r="729" spans="1:9" x14ac:dyDescent="0.2">
      <c r="A729" s="1" t="s">
        <v>794</v>
      </c>
      <c r="B729" s="1">
        <v>46377.22</v>
      </c>
      <c r="C729" s="1" t="s">
        <v>27</v>
      </c>
      <c r="D729" s="1">
        <f t="shared" si="33"/>
        <v>55993.991594411818</v>
      </c>
      <c r="E729" s="1">
        <v>33.46592613</v>
      </c>
      <c r="F729" s="1">
        <v>-112.03011239999999</v>
      </c>
      <c r="G729" s="1" t="s">
        <v>46</v>
      </c>
      <c r="H729" s="1" t="str">
        <f t="shared" si="34"/>
        <v>AZ</v>
      </c>
      <c r="I729" s="1">
        <f t="shared" si="35"/>
        <v>0</v>
      </c>
    </row>
    <row r="730" spans="1:9" x14ac:dyDescent="0.2">
      <c r="A730" s="1" t="s">
        <v>795</v>
      </c>
      <c r="B730" s="1">
        <v>44945.84</v>
      </c>
      <c r="C730" s="1" t="s">
        <v>27</v>
      </c>
      <c r="D730" s="1">
        <f t="shared" si="33"/>
        <v>55993.991594411818</v>
      </c>
      <c r="E730" s="1">
        <v>33.441486529999999</v>
      </c>
      <c r="F730" s="1">
        <v>-112.099383</v>
      </c>
      <c r="G730" s="1" t="s">
        <v>46</v>
      </c>
      <c r="H730" s="1" t="str">
        <f t="shared" si="34"/>
        <v>AZ</v>
      </c>
      <c r="I730" s="1">
        <f t="shared" si="35"/>
        <v>0</v>
      </c>
    </row>
    <row r="731" spans="1:9" x14ac:dyDescent="0.2">
      <c r="A731" s="1" t="s">
        <v>796</v>
      </c>
      <c r="B731" s="1">
        <v>46367.32</v>
      </c>
      <c r="C731" s="1" t="s">
        <v>27</v>
      </c>
      <c r="D731" s="1">
        <f t="shared" si="33"/>
        <v>55993.991594411818</v>
      </c>
      <c r="E731" s="1">
        <v>33.470751999999997</v>
      </c>
      <c r="F731" s="1">
        <v>-112.1346044</v>
      </c>
      <c r="G731" s="1" t="s">
        <v>46</v>
      </c>
      <c r="H731" s="1" t="str">
        <f t="shared" si="34"/>
        <v>AZ</v>
      </c>
      <c r="I731" s="1">
        <f t="shared" si="35"/>
        <v>0</v>
      </c>
    </row>
    <row r="732" spans="1:9" x14ac:dyDescent="0.2">
      <c r="A732" s="1" t="s">
        <v>797</v>
      </c>
      <c r="B732" s="1">
        <v>45267.3</v>
      </c>
      <c r="C732" s="1" t="s">
        <v>27</v>
      </c>
      <c r="D732" s="1">
        <f t="shared" si="33"/>
        <v>55993.991594411818</v>
      </c>
      <c r="E732" s="1">
        <v>33.487696409999998</v>
      </c>
      <c r="F732" s="1">
        <v>-112.134494</v>
      </c>
      <c r="G732" s="1" t="s">
        <v>46</v>
      </c>
      <c r="H732" s="1" t="str">
        <f t="shared" si="34"/>
        <v>AZ</v>
      </c>
      <c r="I732" s="1">
        <f t="shared" si="35"/>
        <v>0</v>
      </c>
    </row>
    <row r="733" spans="1:9" x14ac:dyDescent="0.2">
      <c r="A733" s="1" t="s">
        <v>798</v>
      </c>
      <c r="B733" s="1">
        <v>53174.98</v>
      </c>
      <c r="C733" s="1" t="s">
        <v>27</v>
      </c>
      <c r="D733" s="1">
        <f t="shared" si="33"/>
        <v>55993.991594411818</v>
      </c>
      <c r="E733" s="1">
        <v>33.456050040000001</v>
      </c>
      <c r="F733" s="1">
        <v>-112.07534440000001</v>
      </c>
      <c r="G733" s="1" t="s">
        <v>46</v>
      </c>
      <c r="H733" s="1" t="str">
        <f t="shared" si="34"/>
        <v>AZ</v>
      </c>
      <c r="I733" s="1">
        <f t="shared" si="35"/>
        <v>0</v>
      </c>
    </row>
    <row r="734" spans="1:9" x14ac:dyDescent="0.2">
      <c r="A734" s="1" t="s">
        <v>799</v>
      </c>
      <c r="B734" s="1">
        <v>33660.07</v>
      </c>
      <c r="C734" s="1" t="s">
        <v>27</v>
      </c>
      <c r="D734" s="1">
        <f t="shared" si="33"/>
        <v>55993.991594411818</v>
      </c>
      <c r="E734" s="1">
        <v>33.39275713</v>
      </c>
      <c r="F734" s="1">
        <v>-111.9970746</v>
      </c>
      <c r="G734" s="1" t="s">
        <v>46</v>
      </c>
      <c r="H734" s="1" t="str">
        <f t="shared" si="34"/>
        <v>AZ</v>
      </c>
      <c r="I734" s="1">
        <f t="shared" si="35"/>
        <v>0</v>
      </c>
    </row>
    <row r="735" spans="1:9" x14ac:dyDescent="0.2">
      <c r="A735" s="1" t="s">
        <v>800</v>
      </c>
      <c r="B735" s="1">
        <v>48730.25</v>
      </c>
      <c r="C735" s="1" t="s">
        <v>27</v>
      </c>
      <c r="D735" s="1">
        <f t="shared" si="33"/>
        <v>55993.991594411818</v>
      </c>
      <c r="E735" s="1">
        <v>33.437035389999998</v>
      </c>
      <c r="F735" s="1">
        <v>-112.13748750000001</v>
      </c>
      <c r="G735" s="1" t="s">
        <v>46</v>
      </c>
      <c r="H735" s="1" t="str">
        <f t="shared" si="34"/>
        <v>AZ</v>
      </c>
      <c r="I735" s="1">
        <f t="shared" si="35"/>
        <v>0</v>
      </c>
    </row>
    <row r="736" spans="1:9" x14ac:dyDescent="0.2">
      <c r="A736" s="1" t="s">
        <v>801</v>
      </c>
      <c r="B736" s="1">
        <v>38311.199999999997</v>
      </c>
      <c r="C736" s="1" t="s">
        <v>27</v>
      </c>
      <c r="D736" s="1">
        <f t="shared" si="33"/>
        <v>55993.991594411818</v>
      </c>
      <c r="E736" s="1">
        <v>33.480597789999997</v>
      </c>
      <c r="F736" s="1">
        <v>-112.0904164</v>
      </c>
      <c r="G736" s="1" t="s">
        <v>46</v>
      </c>
      <c r="H736" s="1" t="str">
        <f t="shared" si="34"/>
        <v>AZ</v>
      </c>
      <c r="I736" s="1">
        <f t="shared" si="35"/>
        <v>0</v>
      </c>
    </row>
    <row r="737" spans="1:9" x14ac:dyDescent="0.2">
      <c r="A737" s="1" t="s">
        <v>802</v>
      </c>
      <c r="B737" s="1">
        <v>36815.58</v>
      </c>
      <c r="C737" s="1" t="s">
        <v>27</v>
      </c>
      <c r="D737" s="1">
        <f t="shared" si="33"/>
        <v>55993.991594411818</v>
      </c>
      <c r="E737" s="1">
        <v>33.472982870000003</v>
      </c>
      <c r="F737" s="1">
        <v>-112.0047797</v>
      </c>
      <c r="G737" s="1" t="s">
        <v>46</v>
      </c>
      <c r="H737" s="1" t="str">
        <f t="shared" si="34"/>
        <v>AZ</v>
      </c>
      <c r="I737" s="1">
        <f t="shared" si="35"/>
        <v>0</v>
      </c>
    </row>
    <row r="738" spans="1:9" x14ac:dyDescent="0.2">
      <c r="A738" s="1" t="s">
        <v>803</v>
      </c>
      <c r="B738" s="1">
        <v>88046.95</v>
      </c>
      <c r="C738" s="1" t="s">
        <v>27</v>
      </c>
      <c r="D738" s="1">
        <f t="shared" si="33"/>
        <v>55993.991594411818</v>
      </c>
      <c r="E738" s="1">
        <v>33.465777129999999</v>
      </c>
      <c r="F738" s="1">
        <v>-111.97040440000001</v>
      </c>
      <c r="G738" s="1" t="s">
        <v>46</v>
      </c>
      <c r="H738" s="1" t="str">
        <f t="shared" si="34"/>
        <v>AZ</v>
      </c>
      <c r="I738" s="1">
        <f t="shared" si="35"/>
        <v>1</v>
      </c>
    </row>
    <row r="739" spans="1:9" x14ac:dyDescent="0.2">
      <c r="A739" s="1" t="s">
        <v>804</v>
      </c>
      <c r="B739" s="1">
        <v>73664.75</v>
      </c>
      <c r="C739" s="1" t="s">
        <v>27</v>
      </c>
      <c r="D739" s="1">
        <f t="shared" si="33"/>
        <v>55993.991594411818</v>
      </c>
      <c r="E739" s="1">
        <v>33.451361630000001</v>
      </c>
      <c r="F739" s="1">
        <v>-112.1515857</v>
      </c>
      <c r="G739" s="1" t="s">
        <v>46</v>
      </c>
      <c r="H739" s="1" t="str">
        <f t="shared" si="34"/>
        <v>AZ</v>
      </c>
      <c r="I739" s="1">
        <f t="shared" si="35"/>
        <v>1</v>
      </c>
    </row>
    <row r="740" spans="1:9" x14ac:dyDescent="0.2">
      <c r="A740" s="1" t="s">
        <v>805</v>
      </c>
      <c r="B740" s="1">
        <v>65361.09</v>
      </c>
      <c r="C740" s="1" t="s">
        <v>27</v>
      </c>
      <c r="D740" s="1">
        <f t="shared" si="33"/>
        <v>55993.991594411818</v>
      </c>
      <c r="E740" s="1">
        <v>33.640352870000001</v>
      </c>
      <c r="F740" s="1">
        <v>-112.0176125</v>
      </c>
      <c r="G740" s="1" t="s">
        <v>46</v>
      </c>
      <c r="H740" s="1" t="str">
        <f t="shared" si="34"/>
        <v>AZ</v>
      </c>
      <c r="I740" s="1">
        <f t="shared" si="35"/>
        <v>1</v>
      </c>
    </row>
    <row r="741" spans="1:9" x14ac:dyDescent="0.2">
      <c r="A741" s="1" t="s">
        <v>806</v>
      </c>
      <c r="B741" s="1">
        <v>65283.89</v>
      </c>
      <c r="C741" s="1" t="s">
        <v>27</v>
      </c>
      <c r="D741" s="1">
        <f t="shared" si="33"/>
        <v>55993.991594411818</v>
      </c>
      <c r="E741" s="1">
        <v>33.49485713</v>
      </c>
      <c r="F741" s="1">
        <v>-112.0578086</v>
      </c>
      <c r="G741" s="1" t="s">
        <v>46</v>
      </c>
      <c r="H741" s="1" t="str">
        <f t="shared" si="34"/>
        <v>AZ</v>
      </c>
      <c r="I741" s="1">
        <f t="shared" si="35"/>
        <v>1</v>
      </c>
    </row>
    <row r="742" spans="1:9" x14ac:dyDescent="0.2">
      <c r="A742" s="1" t="s">
        <v>807</v>
      </c>
      <c r="B742" s="1">
        <v>93501.35</v>
      </c>
      <c r="C742" s="1" t="s">
        <v>27</v>
      </c>
      <c r="D742" s="1">
        <f t="shared" si="33"/>
        <v>55993.991594411818</v>
      </c>
      <c r="E742" s="1">
        <v>33.713037129999996</v>
      </c>
      <c r="F742" s="1">
        <v>-112.09907</v>
      </c>
      <c r="G742" s="1" t="s">
        <v>46</v>
      </c>
      <c r="H742" s="1" t="str">
        <f t="shared" si="34"/>
        <v>AZ</v>
      </c>
      <c r="I742" s="1">
        <f t="shared" si="35"/>
        <v>1</v>
      </c>
    </row>
    <row r="743" spans="1:9" x14ac:dyDescent="0.2">
      <c r="A743" s="1" t="s">
        <v>808</v>
      </c>
      <c r="B743" s="1">
        <v>87840.6</v>
      </c>
      <c r="C743" s="1" t="s">
        <v>27</v>
      </c>
      <c r="D743" s="1">
        <f t="shared" si="33"/>
        <v>55993.991594411818</v>
      </c>
      <c r="E743" s="1">
        <v>33.553237129999999</v>
      </c>
      <c r="F743" s="1">
        <v>-112.10466</v>
      </c>
      <c r="G743" s="1" t="s">
        <v>46</v>
      </c>
      <c r="H743" s="1" t="str">
        <f t="shared" si="34"/>
        <v>AZ</v>
      </c>
      <c r="I743" s="1">
        <f t="shared" si="35"/>
        <v>1</v>
      </c>
    </row>
    <row r="744" spans="1:9" x14ac:dyDescent="0.2">
      <c r="A744" s="1" t="s">
        <v>809</v>
      </c>
      <c r="B744" s="1">
        <v>65658.02</v>
      </c>
      <c r="C744" s="1" t="s">
        <v>27</v>
      </c>
      <c r="D744" s="1">
        <f t="shared" si="33"/>
        <v>55993.991594411818</v>
      </c>
      <c r="E744" s="1">
        <v>33.378269160000002</v>
      </c>
      <c r="F744" s="1">
        <v>-111.99644139999999</v>
      </c>
      <c r="G744" s="1" t="s">
        <v>46</v>
      </c>
      <c r="H744" s="1" t="str">
        <f t="shared" si="34"/>
        <v>AZ</v>
      </c>
      <c r="I744" s="1">
        <f t="shared" si="35"/>
        <v>1</v>
      </c>
    </row>
    <row r="745" spans="1:9" x14ac:dyDescent="0.2">
      <c r="A745" s="1" t="s">
        <v>810</v>
      </c>
      <c r="B745" s="1">
        <v>81262.2</v>
      </c>
      <c r="C745" s="1" t="s">
        <v>27</v>
      </c>
      <c r="D745" s="1">
        <f t="shared" si="33"/>
        <v>55993.991594411818</v>
      </c>
      <c r="E745" s="1">
        <v>33.458393809999997</v>
      </c>
      <c r="F745" s="1">
        <v>-112.0650401</v>
      </c>
      <c r="G745" s="1" t="s">
        <v>46</v>
      </c>
      <c r="H745" s="1" t="str">
        <f t="shared" si="34"/>
        <v>AZ</v>
      </c>
      <c r="I745" s="1">
        <f t="shared" si="35"/>
        <v>1</v>
      </c>
    </row>
    <row r="746" spans="1:9" x14ac:dyDescent="0.2">
      <c r="A746" s="1" t="s">
        <v>811</v>
      </c>
      <c r="B746" s="1">
        <v>55302.94</v>
      </c>
      <c r="C746" s="1" t="s">
        <v>27</v>
      </c>
      <c r="D746" s="1">
        <f t="shared" si="33"/>
        <v>55993.991594411818</v>
      </c>
      <c r="E746" s="1">
        <v>33.509605260000001</v>
      </c>
      <c r="F746" s="1">
        <v>-112.11622</v>
      </c>
      <c r="G746" s="1" t="s">
        <v>46</v>
      </c>
      <c r="H746" s="1" t="str">
        <f t="shared" si="34"/>
        <v>AZ</v>
      </c>
      <c r="I746" s="1">
        <f t="shared" si="35"/>
        <v>0</v>
      </c>
    </row>
    <row r="747" spans="1:9" x14ac:dyDescent="0.2">
      <c r="A747" s="1" t="s">
        <v>812</v>
      </c>
      <c r="B747" s="1">
        <v>47453.67</v>
      </c>
      <c r="C747" s="1" t="s">
        <v>27</v>
      </c>
      <c r="D747" s="1">
        <f t="shared" si="33"/>
        <v>55993.991594411818</v>
      </c>
      <c r="E747" s="1">
        <v>33.479741590000003</v>
      </c>
      <c r="F747" s="1">
        <v>-112.2208948</v>
      </c>
      <c r="G747" s="1" t="s">
        <v>46</v>
      </c>
      <c r="H747" s="1" t="str">
        <f t="shared" si="34"/>
        <v>AZ</v>
      </c>
      <c r="I747" s="1">
        <f t="shared" si="35"/>
        <v>0</v>
      </c>
    </row>
    <row r="748" spans="1:9" x14ac:dyDescent="0.2">
      <c r="A748" s="1" t="s">
        <v>813</v>
      </c>
      <c r="B748" s="1">
        <v>36251.08</v>
      </c>
      <c r="C748" s="1" t="s">
        <v>27</v>
      </c>
      <c r="D748" s="1">
        <f t="shared" si="33"/>
        <v>55993.991594411818</v>
      </c>
      <c r="E748" s="1">
        <v>33.331129920000002</v>
      </c>
      <c r="F748" s="1">
        <v>-111.9802577</v>
      </c>
      <c r="G748" s="1" t="s">
        <v>46</v>
      </c>
      <c r="H748" s="1" t="str">
        <f t="shared" si="34"/>
        <v>AZ</v>
      </c>
      <c r="I748" s="1">
        <f t="shared" si="35"/>
        <v>0</v>
      </c>
    </row>
    <row r="749" spans="1:9" x14ac:dyDescent="0.2">
      <c r="A749" s="1" t="s">
        <v>814</v>
      </c>
      <c r="B749" s="1">
        <v>50154.42</v>
      </c>
      <c r="C749" s="1" t="s">
        <v>27</v>
      </c>
      <c r="D749" s="1">
        <f t="shared" si="33"/>
        <v>55993.991594411818</v>
      </c>
      <c r="E749" s="1">
        <v>33.654511210000003</v>
      </c>
      <c r="F749" s="1">
        <v>-112.0820914</v>
      </c>
      <c r="G749" s="1" t="s">
        <v>46</v>
      </c>
      <c r="H749" s="1" t="str">
        <f t="shared" si="34"/>
        <v>AZ</v>
      </c>
      <c r="I749" s="1">
        <f t="shared" si="35"/>
        <v>0</v>
      </c>
    </row>
    <row r="750" spans="1:9" x14ac:dyDescent="0.2">
      <c r="A750" s="1" t="s">
        <v>815</v>
      </c>
      <c r="B750" s="1">
        <v>63432.9</v>
      </c>
      <c r="C750" s="1" t="s">
        <v>27</v>
      </c>
      <c r="D750" s="1">
        <f t="shared" si="33"/>
        <v>55993.991594411818</v>
      </c>
      <c r="E750" s="1">
        <v>33.625402870000002</v>
      </c>
      <c r="F750" s="1">
        <v>-112.09828</v>
      </c>
      <c r="G750" s="1" t="s">
        <v>46</v>
      </c>
      <c r="H750" s="1" t="str">
        <f t="shared" si="34"/>
        <v>AZ</v>
      </c>
      <c r="I750" s="1">
        <f t="shared" si="35"/>
        <v>1</v>
      </c>
    </row>
    <row r="751" spans="1:9" x14ac:dyDescent="0.2">
      <c r="A751" s="1" t="s">
        <v>816</v>
      </c>
      <c r="B751" s="1">
        <v>42436.03</v>
      </c>
      <c r="C751" s="1" t="s">
        <v>27</v>
      </c>
      <c r="D751" s="1">
        <f t="shared" si="33"/>
        <v>55993.991594411818</v>
      </c>
      <c r="E751" s="1">
        <v>33.567413219999999</v>
      </c>
      <c r="F751" s="1">
        <v>-112.13335170000001</v>
      </c>
      <c r="G751" s="1" t="s">
        <v>46</v>
      </c>
      <c r="H751" s="1" t="str">
        <f t="shared" si="34"/>
        <v>AZ</v>
      </c>
      <c r="I751" s="1">
        <f t="shared" si="35"/>
        <v>0</v>
      </c>
    </row>
    <row r="752" spans="1:9" x14ac:dyDescent="0.2">
      <c r="A752" s="1" t="s">
        <v>817</v>
      </c>
      <c r="B752" s="1">
        <v>60849</v>
      </c>
      <c r="C752" s="1" t="s">
        <v>27</v>
      </c>
      <c r="D752" s="1">
        <f t="shared" si="33"/>
        <v>55993.991594411818</v>
      </c>
      <c r="E752" s="1">
        <v>33.596202349999999</v>
      </c>
      <c r="F752" s="1">
        <v>-112.1512926</v>
      </c>
      <c r="G752" s="1" t="s">
        <v>46</v>
      </c>
      <c r="H752" s="1" t="str">
        <f t="shared" si="34"/>
        <v>AZ</v>
      </c>
      <c r="I752" s="1">
        <f t="shared" si="35"/>
        <v>1</v>
      </c>
    </row>
    <row r="753" spans="1:9" x14ac:dyDescent="0.2">
      <c r="A753" s="1" t="s">
        <v>818</v>
      </c>
      <c r="B753" s="1">
        <v>16634.23</v>
      </c>
      <c r="C753" s="1" t="s">
        <v>27</v>
      </c>
      <c r="D753" s="1">
        <f t="shared" si="33"/>
        <v>55993.991594411818</v>
      </c>
      <c r="E753" s="1">
        <v>33.566974000000002</v>
      </c>
      <c r="F753" s="1">
        <v>-112.09944539999999</v>
      </c>
      <c r="G753" s="1" t="s">
        <v>46</v>
      </c>
      <c r="H753" s="1" t="str">
        <f t="shared" si="34"/>
        <v>AZ</v>
      </c>
      <c r="I753" s="1">
        <f t="shared" si="35"/>
        <v>0</v>
      </c>
    </row>
    <row r="754" spans="1:9" x14ac:dyDescent="0.2">
      <c r="A754" s="1" t="s">
        <v>819</v>
      </c>
      <c r="B754" s="1">
        <v>33256.58</v>
      </c>
      <c r="C754" s="1" t="s">
        <v>27</v>
      </c>
      <c r="D754" s="1">
        <f t="shared" si="33"/>
        <v>55993.991594411818</v>
      </c>
      <c r="E754" s="1">
        <v>33.515778330000003</v>
      </c>
      <c r="F754" s="1">
        <v>-112.11709449999999</v>
      </c>
      <c r="G754" s="1" t="s">
        <v>46</v>
      </c>
      <c r="H754" s="1" t="str">
        <f t="shared" si="34"/>
        <v>AZ</v>
      </c>
      <c r="I754" s="1">
        <f t="shared" si="35"/>
        <v>0</v>
      </c>
    </row>
    <row r="755" spans="1:9" x14ac:dyDescent="0.2">
      <c r="A755" s="1" t="s">
        <v>820</v>
      </c>
      <c r="B755" s="1">
        <v>54315.58</v>
      </c>
      <c r="C755" s="1" t="s">
        <v>27</v>
      </c>
      <c r="D755" s="1">
        <f t="shared" si="33"/>
        <v>55993.991594411818</v>
      </c>
      <c r="E755" s="1">
        <v>33.516627130000003</v>
      </c>
      <c r="F755" s="1">
        <v>-112.06561000000001</v>
      </c>
      <c r="G755" s="1" t="s">
        <v>46</v>
      </c>
      <c r="H755" s="1" t="str">
        <f t="shared" si="34"/>
        <v>AZ</v>
      </c>
      <c r="I755" s="1">
        <f t="shared" si="35"/>
        <v>0</v>
      </c>
    </row>
    <row r="756" spans="1:9" x14ac:dyDescent="0.2">
      <c r="A756" s="1" t="s">
        <v>821</v>
      </c>
      <c r="B756" s="1">
        <v>34282.1</v>
      </c>
      <c r="C756" s="1" t="s">
        <v>27</v>
      </c>
      <c r="D756" s="1">
        <f t="shared" si="33"/>
        <v>55993.991594411818</v>
      </c>
      <c r="E756" s="1">
        <v>33.597674779999998</v>
      </c>
      <c r="F756" s="1">
        <v>-112.0373647</v>
      </c>
      <c r="G756" s="1" t="s">
        <v>46</v>
      </c>
      <c r="H756" s="1" t="str">
        <f t="shared" si="34"/>
        <v>AZ</v>
      </c>
      <c r="I756" s="1">
        <f t="shared" si="35"/>
        <v>0</v>
      </c>
    </row>
    <row r="757" spans="1:9" x14ac:dyDescent="0.2">
      <c r="A757" s="1" t="s">
        <v>822</v>
      </c>
      <c r="B757" s="1">
        <v>33062.28</v>
      </c>
      <c r="C757" s="1" t="s">
        <v>27</v>
      </c>
      <c r="D757" s="1">
        <f t="shared" si="33"/>
        <v>55993.991594411818</v>
      </c>
      <c r="E757" s="1">
        <v>33.654807759999997</v>
      </c>
      <c r="F757" s="1">
        <v>-112.1345335</v>
      </c>
      <c r="G757" s="1" t="s">
        <v>46</v>
      </c>
      <c r="H757" s="1" t="str">
        <f t="shared" si="34"/>
        <v>AZ</v>
      </c>
      <c r="I757" s="1">
        <f t="shared" si="35"/>
        <v>0</v>
      </c>
    </row>
    <row r="758" spans="1:9" x14ac:dyDescent="0.2">
      <c r="A758" s="1" t="s">
        <v>823</v>
      </c>
      <c r="B758" s="1">
        <v>39236.949999999997</v>
      </c>
      <c r="C758" s="1" t="s">
        <v>27</v>
      </c>
      <c r="D758" s="1">
        <f t="shared" si="33"/>
        <v>55993.991594411818</v>
      </c>
      <c r="E758" s="1">
        <v>33.465612870000001</v>
      </c>
      <c r="F758" s="1">
        <v>-112.0493511</v>
      </c>
      <c r="G758" s="1" t="s">
        <v>46</v>
      </c>
      <c r="H758" s="1" t="str">
        <f t="shared" si="34"/>
        <v>AZ</v>
      </c>
      <c r="I758" s="1">
        <f t="shared" si="35"/>
        <v>0</v>
      </c>
    </row>
    <row r="759" spans="1:9" x14ac:dyDescent="0.2">
      <c r="A759" s="1" t="s">
        <v>824</v>
      </c>
      <c r="B759" s="1">
        <v>37763.980000000003</v>
      </c>
      <c r="C759" s="1" t="s">
        <v>27</v>
      </c>
      <c r="D759" s="1">
        <f t="shared" si="33"/>
        <v>55993.991594411818</v>
      </c>
      <c r="E759" s="1">
        <v>33.480342989999997</v>
      </c>
      <c r="F759" s="1">
        <v>-112.1516568</v>
      </c>
      <c r="G759" s="1" t="s">
        <v>46</v>
      </c>
      <c r="H759" s="1" t="str">
        <f t="shared" si="34"/>
        <v>AZ</v>
      </c>
      <c r="I759" s="1">
        <f t="shared" si="35"/>
        <v>0</v>
      </c>
    </row>
    <row r="760" spans="1:9" x14ac:dyDescent="0.2">
      <c r="A760" s="1" t="s">
        <v>825</v>
      </c>
      <c r="B760" s="1">
        <v>43073.62</v>
      </c>
      <c r="C760" s="1" t="s">
        <v>27</v>
      </c>
      <c r="D760" s="1">
        <f t="shared" si="33"/>
        <v>55993.991594411818</v>
      </c>
      <c r="E760" s="1">
        <v>33.596475169999998</v>
      </c>
      <c r="F760" s="1">
        <v>-112.01342459999999</v>
      </c>
      <c r="G760" s="1" t="s">
        <v>46</v>
      </c>
      <c r="H760" s="1" t="str">
        <f t="shared" si="34"/>
        <v>AZ</v>
      </c>
      <c r="I760" s="1">
        <f t="shared" si="35"/>
        <v>0</v>
      </c>
    </row>
    <row r="761" spans="1:9" x14ac:dyDescent="0.2">
      <c r="A761" s="1" t="s">
        <v>826</v>
      </c>
      <c r="B761" s="1">
        <v>46697.35</v>
      </c>
      <c r="C761" s="1" t="s">
        <v>27</v>
      </c>
      <c r="D761" s="1">
        <f t="shared" si="33"/>
        <v>55993.991594411818</v>
      </c>
      <c r="E761" s="1">
        <v>33.33400031</v>
      </c>
      <c r="F761" s="1">
        <v>-111.9773185</v>
      </c>
      <c r="G761" s="1" t="s">
        <v>46</v>
      </c>
      <c r="H761" s="1" t="str">
        <f t="shared" si="34"/>
        <v>AZ</v>
      </c>
      <c r="I761" s="1">
        <f t="shared" si="35"/>
        <v>0</v>
      </c>
    </row>
    <row r="762" spans="1:9" x14ac:dyDescent="0.2">
      <c r="A762" s="1" t="s">
        <v>827</v>
      </c>
      <c r="B762" s="1">
        <v>51972.05</v>
      </c>
      <c r="C762" s="1" t="s">
        <v>27</v>
      </c>
      <c r="D762" s="1">
        <f t="shared" si="33"/>
        <v>55993.991594411818</v>
      </c>
      <c r="E762" s="1">
        <v>33.30499287</v>
      </c>
      <c r="F762" s="1">
        <v>-112.014015</v>
      </c>
      <c r="G762" s="1" t="s">
        <v>46</v>
      </c>
      <c r="H762" s="1" t="str">
        <f t="shared" si="34"/>
        <v>AZ</v>
      </c>
      <c r="I762" s="1">
        <f t="shared" si="35"/>
        <v>0</v>
      </c>
    </row>
    <row r="763" spans="1:9" x14ac:dyDescent="0.2">
      <c r="A763" s="1" t="s">
        <v>828</v>
      </c>
      <c r="B763" s="1">
        <v>56055.27</v>
      </c>
      <c r="C763" s="1" t="s">
        <v>27</v>
      </c>
      <c r="D763" s="1">
        <f t="shared" si="33"/>
        <v>55993.991594411818</v>
      </c>
      <c r="E763" s="1">
        <v>33.348753119999998</v>
      </c>
      <c r="F763" s="1">
        <v>-111.9794524</v>
      </c>
      <c r="G763" s="1" t="s">
        <v>46</v>
      </c>
      <c r="H763" s="1" t="str">
        <f t="shared" si="34"/>
        <v>AZ</v>
      </c>
      <c r="I763" s="1">
        <f t="shared" si="35"/>
        <v>1</v>
      </c>
    </row>
    <row r="764" spans="1:9" x14ac:dyDescent="0.2">
      <c r="A764" s="1" t="s">
        <v>829</v>
      </c>
      <c r="B764" s="1">
        <v>36453.72</v>
      </c>
      <c r="C764" s="1" t="s">
        <v>27</v>
      </c>
      <c r="D764" s="1">
        <f t="shared" si="33"/>
        <v>55993.991594411818</v>
      </c>
      <c r="E764" s="1">
        <v>33.454039999999999</v>
      </c>
      <c r="F764" s="1">
        <v>-112.07392</v>
      </c>
      <c r="G764" s="1" t="s">
        <v>46</v>
      </c>
      <c r="H764" s="1" t="str">
        <f t="shared" si="34"/>
        <v>AZ</v>
      </c>
      <c r="I764" s="1">
        <f t="shared" si="35"/>
        <v>0</v>
      </c>
    </row>
    <row r="765" spans="1:9" x14ac:dyDescent="0.2">
      <c r="A765" s="1" t="s">
        <v>830</v>
      </c>
      <c r="B765" s="1">
        <v>43387.59</v>
      </c>
      <c r="C765" s="1" t="s">
        <v>27</v>
      </c>
      <c r="D765" s="1">
        <f t="shared" si="33"/>
        <v>55993.991594411818</v>
      </c>
      <c r="E765" s="1">
        <v>33.306468549999998</v>
      </c>
      <c r="F765" s="1">
        <v>-112.05590290000001</v>
      </c>
      <c r="G765" s="1" t="s">
        <v>46</v>
      </c>
      <c r="H765" s="1" t="str">
        <f t="shared" si="34"/>
        <v>AZ</v>
      </c>
      <c r="I765" s="1">
        <f t="shared" si="35"/>
        <v>0</v>
      </c>
    </row>
    <row r="766" spans="1:9" x14ac:dyDescent="0.2">
      <c r="A766" s="1" t="s">
        <v>831</v>
      </c>
      <c r="B766" s="1">
        <v>48349.39</v>
      </c>
      <c r="C766" s="1" t="s">
        <v>27</v>
      </c>
      <c r="D766" s="1">
        <f t="shared" si="33"/>
        <v>55993.991594411818</v>
      </c>
      <c r="E766" s="1">
        <v>33.723684179999999</v>
      </c>
      <c r="F766" s="1">
        <v>-111.97765080000001</v>
      </c>
      <c r="G766" s="1" t="s">
        <v>46</v>
      </c>
      <c r="H766" s="1" t="str">
        <f t="shared" si="34"/>
        <v>AZ</v>
      </c>
      <c r="I766" s="1">
        <f t="shared" si="35"/>
        <v>0</v>
      </c>
    </row>
    <row r="767" spans="1:9" x14ac:dyDescent="0.2">
      <c r="A767" s="1" t="s">
        <v>832</v>
      </c>
      <c r="B767" s="1">
        <v>64324.65</v>
      </c>
      <c r="C767" s="1" t="s">
        <v>27</v>
      </c>
      <c r="D767" s="1">
        <f t="shared" si="33"/>
        <v>55993.991594411818</v>
      </c>
      <c r="E767" s="1">
        <v>33.683722869999997</v>
      </c>
      <c r="F767" s="1">
        <v>-112.13294500000001</v>
      </c>
      <c r="G767" s="1" t="s">
        <v>46</v>
      </c>
      <c r="H767" s="1" t="str">
        <f t="shared" si="34"/>
        <v>AZ</v>
      </c>
      <c r="I767" s="1">
        <f t="shared" si="35"/>
        <v>1</v>
      </c>
    </row>
    <row r="768" spans="1:9" x14ac:dyDescent="0.2">
      <c r="A768" s="1" t="s">
        <v>833</v>
      </c>
      <c r="B768" s="1">
        <v>99375.77</v>
      </c>
      <c r="C768" s="1" t="s">
        <v>27</v>
      </c>
      <c r="D768" s="1">
        <f t="shared" si="33"/>
        <v>55993.991594411818</v>
      </c>
      <c r="E768" s="1">
        <v>33.669222859999998</v>
      </c>
      <c r="F768" s="1">
        <v>-112.08312479999999</v>
      </c>
      <c r="G768" s="1" t="s">
        <v>46</v>
      </c>
      <c r="H768" s="1" t="str">
        <f t="shared" si="34"/>
        <v>AZ</v>
      </c>
      <c r="I768" s="1">
        <f t="shared" si="35"/>
        <v>1</v>
      </c>
    </row>
    <row r="769" spans="1:9" x14ac:dyDescent="0.2">
      <c r="A769" s="1" t="s">
        <v>834</v>
      </c>
      <c r="B769" s="1">
        <v>32954.620000000003</v>
      </c>
      <c r="C769" s="1" t="s">
        <v>27</v>
      </c>
      <c r="D769" s="1">
        <f t="shared" si="33"/>
        <v>55993.991594411818</v>
      </c>
      <c r="E769" s="1">
        <v>33.538402869999999</v>
      </c>
      <c r="F769" s="1">
        <v>-112.11329000000001</v>
      </c>
      <c r="G769" s="1" t="s">
        <v>46</v>
      </c>
      <c r="H769" s="1" t="str">
        <f t="shared" si="34"/>
        <v>AZ</v>
      </c>
      <c r="I769" s="1">
        <f t="shared" si="35"/>
        <v>0</v>
      </c>
    </row>
    <row r="770" spans="1:9" x14ac:dyDescent="0.2">
      <c r="A770" s="1" t="s">
        <v>835</v>
      </c>
      <c r="B770" s="1">
        <v>40079.32</v>
      </c>
      <c r="C770" s="1" t="s">
        <v>27</v>
      </c>
      <c r="D770" s="1">
        <f t="shared" si="33"/>
        <v>55993.991594411818</v>
      </c>
      <c r="E770" s="1">
        <v>33.465812870000001</v>
      </c>
      <c r="F770" s="1">
        <v>-112.15107570000001</v>
      </c>
      <c r="G770" s="1" t="s">
        <v>46</v>
      </c>
      <c r="H770" s="1" t="str">
        <f t="shared" si="34"/>
        <v>AZ</v>
      </c>
      <c r="I770" s="1">
        <f t="shared" si="35"/>
        <v>0</v>
      </c>
    </row>
    <row r="771" spans="1:9" x14ac:dyDescent="0.2">
      <c r="A771" s="1" t="s">
        <v>836</v>
      </c>
      <c r="B771" s="1">
        <v>56160.15</v>
      </c>
      <c r="C771" s="1" t="s">
        <v>27</v>
      </c>
      <c r="D771" s="1">
        <f t="shared" ref="D771:D834" si="36">AVERAGEIFS($B:$B,$C:$C,$C771)</f>
        <v>55993.991594411818</v>
      </c>
      <c r="E771" s="1">
        <v>33.451052599999997</v>
      </c>
      <c r="F771" s="1">
        <v>-111.98701490000001</v>
      </c>
      <c r="G771" s="1" t="s">
        <v>46</v>
      </c>
      <c r="H771" s="1" t="str">
        <f t="shared" ref="H771:H834" si="37">TRIM(_xlfn.TEXTAFTER(A771, ",", -1))</f>
        <v>AZ</v>
      </c>
      <c r="I771" s="1">
        <f t="shared" ref="I771:I834" si="38">IF(B771&gt;D771,1,0)</f>
        <v>1</v>
      </c>
    </row>
    <row r="772" spans="1:9" x14ac:dyDescent="0.2">
      <c r="A772" s="1" t="s">
        <v>837</v>
      </c>
      <c r="B772" s="1">
        <v>26142.73</v>
      </c>
      <c r="C772" s="1" t="s">
        <v>27</v>
      </c>
      <c r="D772" s="1">
        <f t="shared" si="36"/>
        <v>55993.991594411818</v>
      </c>
      <c r="E772" s="1">
        <v>33.494152870000001</v>
      </c>
      <c r="F772" s="1">
        <v>-112.23707</v>
      </c>
      <c r="G772" s="1" t="s">
        <v>46</v>
      </c>
      <c r="H772" s="1" t="str">
        <f t="shared" si="37"/>
        <v>AZ</v>
      </c>
      <c r="I772" s="1">
        <f t="shared" si="38"/>
        <v>0</v>
      </c>
    </row>
    <row r="773" spans="1:9" x14ac:dyDescent="0.2">
      <c r="A773" s="1" t="s">
        <v>838</v>
      </c>
      <c r="B773" s="1">
        <v>47447.040000000001</v>
      </c>
      <c r="C773" s="1" t="s">
        <v>27</v>
      </c>
      <c r="D773" s="1">
        <f t="shared" si="36"/>
        <v>55993.991594411818</v>
      </c>
      <c r="E773" s="1">
        <v>33.653595250000002</v>
      </c>
      <c r="F773" s="1">
        <v>-111.9776707</v>
      </c>
      <c r="G773" s="1" t="s">
        <v>46</v>
      </c>
      <c r="H773" s="1" t="str">
        <f t="shared" si="37"/>
        <v>AZ</v>
      </c>
      <c r="I773" s="1">
        <f t="shared" si="38"/>
        <v>0</v>
      </c>
    </row>
    <row r="774" spans="1:9" x14ac:dyDescent="0.2">
      <c r="A774" s="1" t="s">
        <v>839</v>
      </c>
      <c r="B774" s="1">
        <v>43077.72</v>
      </c>
      <c r="C774" s="1" t="s">
        <v>27</v>
      </c>
      <c r="D774" s="1">
        <f t="shared" si="36"/>
        <v>55993.991594411818</v>
      </c>
      <c r="E774" s="1">
        <v>33.640002870000004</v>
      </c>
      <c r="F774" s="1">
        <v>-112.081794</v>
      </c>
      <c r="G774" s="1" t="s">
        <v>46</v>
      </c>
      <c r="H774" s="1" t="str">
        <f t="shared" si="37"/>
        <v>AZ</v>
      </c>
      <c r="I774" s="1">
        <f t="shared" si="38"/>
        <v>0</v>
      </c>
    </row>
    <row r="775" spans="1:9" x14ac:dyDescent="0.2">
      <c r="A775" s="1" t="s">
        <v>840</v>
      </c>
      <c r="B775" s="1">
        <v>89213.66</v>
      </c>
      <c r="C775" s="1" t="s">
        <v>27</v>
      </c>
      <c r="D775" s="1">
        <f t="shared" si="36"/>
        <v>55993.991594411818</v>
      </c>
      <c r="E775" s="1">
        <v>33.319642870000003</v>
      </c>
      <c r="F775" s="1">
        <v>-111.9767705</v>
      </c>
      <c r="G775" s="1" t="s">
        <v>46</v>
      </c>
      <c r="H775" s="1" t="str">
        <f t="shared" si="37"/>
        <v>AZ</v>
      </c>
      <c r="I775" s="1">
        <f t="shared" si="38"/>
        <v>1</v>
      </c>
    </row>
    <row r="776" spans="1:9" x14ac:dyDescent="0.2">
      <c r="A776" s="1" t="s">
        <v>841</v>
      </c>
      <c r="B776" s="1">
        <v>92927.5</v>
      </c>
      <c r="C776" s="1" t="s">
        <v>27</v>
      </c>
      <c r="D776" s="1">
        <f t="shared" si="36"/>
        <v>55993.991594411818</v>
      </c>
      <c r="E776" s="1">
        <v>33.508145030000001</v>
      </c>
      <c r="F776" s="1">
        <v>-112.27218190000001</v>
      </c>
      <c r="G776" s="1" t="s">
        <v>46</v>
      </c>
      <c r="H776" s="1" t="str">
        <f t="shared" si="37"/>
        <v>AZ</v>
      </c>
      <c r="I776" s="1">
        <f t="shared" si="38"/>
        <v>1</v>
      </c>
    </row>
    <row r="777" spans="1:9" x14ac:dyDescent="0.2">
      <c r="A777" s="1" t="s">
        <v>842</v>
      </c>
      <c r="B777" s="1">
        <v>43713.32</v>
      </c>
      <c r="C777" s="1" t="s">
        <v>27</v>
      </c>
      <c r="D777" s="1">
        <f t="shared" si="36"/>
        <v>55993.991594411818</v>
      </c>
      <c r="E777" s="1">
        <v>33.437347129999999</v>
      </c>
      <c r="F777" s="1">
        <v>-112.2042</v>
      </c>
      <c r="G777" s="1" t="s">
        <v>46</v>
      </c>
      <c r="H777" s="1" t="str">
        <f t="shared" si="37"/>
        <v>AZ</v>
      </c>
      <c r="I777" s="1">
        <f t="shared" si="38"/>
        <v>0</v>
      </c>
    </row>
    <row r="778" spans="1:9" x14ac:dyDescent="0.2">
      <c r="A778" s="1" t="s">
        <v>843</v>
      </c>
      <c r="B778" s="1">
        <v>58732.959999999999</v>
      </c>
      <c r="C778" s="1" t="s">
        <v>27</v>
      </c>
      <c r="D778" s="1">
        <f t="shared" si="36"/>
        <v>55993.991594411818</v>
      </c>
      <c r="E778" s="1">
        <v>33.798067039999999</v>
      </c>
      <c r="F778" s="1">
        <v>-112.1626488</v>
      </c>
      <c r="G778" s="1" t="s">
        <v>46</v>
      </c>
      <c r="H778" s="1" t="str">
        <f t="shared" si="37"/>
        <v>AZ</v>
      </c>
      <c r="I778" s="1">
        <f t="shared" si="38"/>
        <v>1</v>
      </c>
    </row>
    <row r="779" spans="1:9" x14ac:dyDescent="0.2">
      <c r="A779" s="1" t="s">
        <v>844</v>
      </c>
      <c r="B779" s="1">
        <v>48199.12</v>
      </c>
      <c r="C779" s="1" t="s">
        <v>27</v>
      </c>
      <c r="D779" s="1">
        <f t="shared" si="36"/>
        <v>55993.991594411818</v>
      </c>
      <c r="E779" s="1">
        <v>33.480031940000003</v>
      </c>
      <c r="F779" s="1">
        <v>-112.2361812</v>
      </c>
      <c r="G779" s="1" t="s">
        <v>46</v>
      </c>
      <c r="H779" s="1" t="str">
        <f t="shared" si="37"/>
        <v>AZ</v>
      </c>
      <c r="I779" s="1">
        <f t="shared" si="38"/>
        <v>0</v>
      </c>
    </row>
    <row r="780" spans="1:9" x14ac:dyDescent="0.2">
      <c r="A780" s="1" t="s">
        <v>845</v>
      </c>
      <c r="B780" s="1">
        <v>57021.99</v>
      </c>
      <c r="C780" s="1" t="s">
        <v>27</v>
      </c>
      <c r="D780" s="1">
        <f t="shared" si="36"/>
        <v>55993.991594411818</v>
      </c>
      <c r="E780" s="1">
        <v>33.487362869999998</v>
      </c>
      <c r="F780" s="1">
        <v>-112.06874000000001</v>
      </c>
      <c r="G780" s="1" t="s">
        <v>46</v>
      </c>
      <c r="H780" s="1" t="str">
        <f t="shared" si="37"/>
        <v>AZ</v>
      </c>
      <c r="I780" s="1">
        <f t="shared" si="38"/>
        <v>1</v>
      </c>
    </row>
    <row r="781" spans="1:9" x14ac:dyDescent="0.2">
      <c r="A781" s="1" t="s">
        <v>846</v>
      </c>
      <c r="B781" s="1">
        <v>62553.54</v>
      </c>
      <c r="C781" s="1" t="s">
        <v>27</v>
      </c>
      <c r="D781" s="1">
        <f t="shared" si="36"/>
        <v>55993.991594411818</v>
      </c>
      <c r="E781" s="1">
        <v>33.320563309999997</v>
      </c>
      <c r="F781" s="1">
        <v>-111.9888997</v>
      </c>
      <c r="G781" s="1" t="s">
        <v>46</v>
      </c>
      <c r="H781" s="1" t="str">
        <f t="shared" si="37"/>
        <v>AZ</v>
      </c>
      <c r="I781" s="1">
        <f t="shared" si="38"/>
        <v>1</v>
      </c>
    </row>
    <row r="782" spans="1:9" x14ac:dyDescent="0.2">
      <c r="A782" s="1" t="s">
        <v>847</v>
      </c>
      <c r="B782" s="1">
        <v>58079.71</v>
      </c>
      <c r="C782" s="1" t="s">
        <v>27</v>
      </c>
      <c r="D782" s="1">
        <f t="shared" si="36"/>
        <v>55993.991594411818</v>
      </c>
      <c r="E782" s="1">
        <v>33.305491549999999</v>
      </c>
      <c r="F782" s="1">
        <v>-111.976905</v>
      </c>
      <c r="G782" s="1" t="s">
        <v>46</v>
      </c>
      <c r="H782" s="1" t="str">
        <f t="shared" si="37"/>
        <v>AZ</v>
      </c>
      <c r="I782" s="1">
        <f t="shared" si="38"/>
        <v>1</v>
      </c>
    </row>
    <row r="783" spans="1:9" x14ac:dyDescent="0.2">
      <c r="A783" s="1" t="s">
        <v>848</v>
      </c>
      <c r="B783" s="1">
        <v>46875.66</v>
      </c>
      <c r="C783" s="1" t="s">
        <v>27</v>
      </c>
      <c r="D783" s="1">
        <f t="shared" si="36"/>
        <v>55993.991594411818</v>
      </c>
      <c r="E783" s="1">
        <v>33.465355000000002</v>
      </c>
      <c r="F783" s="1">
        <v>-112.25506559999999</v>
      </c>
      <c r="G783" s="1" t="s">
        <v>46</v>
      </c>
      <c r="H783" s="1" t="str">
        <f t="shared" si="37"/>
        <v>AZ</v>
      </c>
      <c r="I783" s="1">
        <f t="shared" si="38"/>
        <v>0</v>
      </c>
    </row>
    <row r="784" spans="1:9" x14ac:dyDescent="0.2">
      <c r="A784" s="1" t="s">
        <v>849</v>
      </c>
      <c r="B784" s="1">
        <v>101879.43</v>
      </c>
      <c r="C784" s="1" t="s">
        <v>27</v>
      </c>
      <c r="D784" s="1">
        <f t="shared" si="36"/>
        <v>55993.991594411818</v>
      </c>
      <c r="E784" s="1">
        <v>33.799297469999999</v>
      </c>
      <c r="F784" s="1">
        <v>-112.0660591</v>
      </c>
      <c r="G784" s="1" t="s">
        <v>46</v>
      </c>
      <c r="H784" s="1" t="str">
        <f t="shared" si="37"/>
        <v>AZ</v>
      </c>
      <c r="I784" s="1">
        <f t="shared" si="38"/>
        <v>1</v>
      </c>
    </row>
    <row r="785" spans="1:9" x14ac:dyDescent="0.2">
      <c r="A785" s="1" t="s">
        <v>850</v>
      </c>
      <c r="B785" s="1">
        <v>39550.480000000003</v>
      </c>
      <c r="C785" s="1" t="s">
        <v>27</v>
      </c>
      <c r="D785" s="1">
        <f t="shared" si="36"/>
        <v>55993.991594411818</v>
      </c>
      <c r="E785" s="1">
        <v>33.668166569999997</v>
      </c>
      <c r="F785" s="1">
        <v>-112.0658597</v>
      </c>
      <c r="G785" s="1" t="s">
        <v>46</v>
      </c>
      <c r="H785" s="1" t="str">
        <f t="shared" si="37"/>
        <v>AZ</v>
      </c>
      <c r="I785" s="1">
        <f t="shared" si="38"/>
        <v>0</v>
      </c>
    </row>
    <row r="786" spans="1:9" x14ac:dyDescent="0.2">
      <c r="A786" s="1" t="s">
        <v>851</v>
      </c>
      <c r="B786" s="1">
        <v>38283.5</v>
      </c>
      <c r="C786" s="1" t="s">
        <v>27</v>
      </c>
      <c r="D786" s="1">
        <f t="shared" si="36"/>
        <v>55993.991594411818</v>
      </c>
      <c r="E786" s="1">
        <v>33.654853770000003</v>
      </c>
      <c r="F786" s="1">
        <v>-112.09907</v>
      </c>
      <c r="G786" s="1" t="s">
        <v>46</v>
      </c>
      <c r="H786" s="1" t="str">
        <f t="shared" si="37"/>
        <v>AZ</v>
      </c>
      <c r="I786" s="1">
        <f t="shared" si="38"/>
        <v>0</v>
      </c>
    </row>
    <row r="787" spans="1:9" x14ac:dyDescent="0.2">
      <c r="A787" s="1" t="s">
        <v>852</v>
      </c>
      <c r="B787" s="1">
        <v>63855.3</v>
      </c>
      <c r="C787" s="1" t="s">
        <v>27</v>
      </c>
      <c r="D787" s="1">
        <f t="shared" si="36"/>
        <v>55993.991594411818</v>
      </c>
      <c r="E787" s="1">
        <v>33.62514023</v>
      </c>
      <c r="F787" s="1">
        <v>-112.1329837</v>
      </c>
      <c r="G787" s="1" t="s">
        <v>46</v>
      </c>
      <c r="H787" s="1" t="str">
        <f t="shared" si="37"/>
        <v>AZ</v>
      </c>
      <c r="I787" s="1">
        <f t="shared" si="38"/>
        <v>1</v>
      </c>
    </row>
    <row r="788" spans="1:9" x14ac:dyDescent="0.2">
      <c r="A788" s="1" t="s">
        <v>853</v>
      </c>
      <c r="B788" s="1">
        <v>71477.97</v>
      </c>
      <c r="C788" s="1" t="s">
        <v>27</v>
      </c>
      <c r="D788" s="1">
        <f t="shared" si="36"/>
        <v>55993.991594411818</v>
      </c>
      <c r="E788" s="1">
        <v>33.683582870000002</v>
      </c>
      <c r="F788" s="1">
        <v>-112.1089308</v>
      </c>
      <c r="G788" s="1" t="s">
        <v>46</v>
      </c>
      <c r="H788" s="1" t="str">
        <f t="shared" si="37"/>
        <v>AZ</v>
      </c>
      <c r="I788" s="1">
        <f t="shared" si="38"/>
        <v>1</v>
      </c>
    </row>
    <row r="789" spans="1:9" x14ac:dyDescent="0.2">
      <c r="A789" s="1" t="s">
        <v>854</v>
      </c>
      <c r="B789" s="1">
        <v>28663.65</v>
      </c>
      <c r="C789" s="1" t="s">
        <v>27</v>
      </c>
      <c r="D789" s="1">
        <f t="shared" si="36"/>
        <v>55993.991594411818</v>
      </c>
      <c r="E789" s="1">
        <v>33.626514</v>
      </c>
      <c r="F789" s="1">
        <v>-112.0135047</v>
      </c>
      <c r="G789" s="1" t="s">
        <v>46</v>
      </c>
      <c r="H789" s="1" t="str">
        <f t="shared" si="37"/>
        <v>AZ</v>
      </c>
      <c r="I789" s="1">
        <f t="shared" si="38"/>
        <v>0</v>
      </c>
    </row>
    <row r="790" spans="1:9" x14ac:dyDescent="0.2">
      <c r="A790" s="1" t="s">
        <v>855</v>
      </c>
      <c r="B790" s="1">
        <v>46533.120000000003</v>
      </c>
      <c r="C790" s="1" t="s">
        <v>27</v>
      </c>
      <c r="D790" s="1">
        <f t="shared" si="36"/>
        <v>55993.991594411818</v>
      </c>
      <c r="E790" s="1">
        <v>33.460899859999998</v>
      </c>
      <c r="F790" s="1">
        <v>-112.13463400000001</v>
      </c>
      <c r="G790" s="1" t="s">
        <v>46</v>
      </c>
      <c r="H790" s="1" t="str">
        <f t="shared" si="37"/>
        <v>AZ</v>
      </c>
      <c r="I790" s="1">
        <f t="shared" si="38"/>
        <v>0</v>
      </c>
    </row>
    <row r="791" spans="1:9" x14ac:dyDescent="0.2">
      <c r="A791" s="1" t="s">
        <v>856</v>
      </c>
      <c r="B791" s="1">
        <v>55963.51</v>
      </c>
      <c r="C791" s="1" t="s">
        <v>27</v>
      </c>
      <c r="D791" s="1">
        <f t="shared" si="36"/>
        <v>55993.991594411818</v>
      </c>
      <c r="E791" s="1">
        <v>33.596395749999999</v>
      </c>
      <c r="F791" s="1">
        <v>-112.1010843</v>
      </c>
      <c r="G791" s="1" t="s">
        <v>46</v>
      </c>
      <c r="H791" s="1" t="str">
        <f t="shared" si="37"/>
        <v>AZ</v>
      </c>
      <c r="I791" s="1">
        <f t="shared" si="38"/>
        <v>0</v>
      </c>
    </row>
    <row r="792" spans="1:9" x14ac:dyDescent="0.2">
      <c r="A792" s="1" t="s">
        <v>857</v>
      </c>
      <c r="B792" s="1">
        <v>37554.559999999998</v>
      </c>
      <c r="C792" s="1" t="s">
        <v>27</v>
      </c>
      <c r="D792" s="1">
        <f t="shared" si="36"/>
        <v>55993.991594411818</v>
      </c>
      <c r="E792" s="1">
        <v>33.640172870000001</v>
      </c>
      <c r="F792" s="1">
        <v>-112.0481193</v>
      </c>
      <c r="G792" s="1" t="s">
        <v>46</v>
      </c>
      <c r="H792" s="1" t="str">
        <f t="shared" si="37"/>
        <v>AZ</v>
      </c>
      <c r="I792" s="1">
        <f t="shared" si="38"/>
        <v>0</v>
      </c>
    </row>
    <row r="793" spans="1:9" x14ac:dyDescent="0.2">
      <c r="A793" s="1" t="s">
        <v>858</v>
      </c>
      <c r="B793" s="1">
        <v>46779.79</v>
      </c>
      <c r="C793" s="1" t="s">
        <v>27</v>
      </c>
      <c r="D793" s="1">
        <f t="shared" si="36"/>
        <v>55993.991594411818</v>
      </c>
      <c r="E793" s="1">
        <v>33.691009999999999</v>
      </c>
      <c r="F793" s="1">
        <v>-111.99737</v>
      </c>
      <c r="G793" s="1" t="s">
        <v>46</v>
      </c>
      <c r="H793" s="1" t="str">
        <f t="shared" si="37"/>
        <v>AZ</v>
      </c>
      <c r="I793" s="1">
        <f t="shared" si="38"/>
        <v>0</v>
      </c>
    </row>
    <row r="794" spans="1:9" x14ac:dyDescent="0.2">
      <c r="A794" s="1" t="s">
        <v>859</v>
      </c>
      <c r="B794" s="1">
        <v>55820.85</v>
      </c>
      <c r="C794" s="1" t="s">
        <v>27</v>
      </c>
      <c r="D794" s="1">
        <f t="shared" si="36"/>
        <v>55993.991594411818</v>
      </c>
      <c r="E794" s="1">
        <v>33.683967129999999</v>
      </c>
      <c r="F794" s="1">
        <v>-112.11809</v>
      </c>
      <c r="G794" s="1" t="s">
        <v>46</v>
      </c>
      <c r="H794" s="1" t="str">
        <f t="shared" si="37"/>
        <v>AZ</v>
      </c>
      <c r="I794" s="1">
        <f t="shared" si="38"/>
        <v>0</v>
      </c>
    </row>
    <row r="795" spans="1:9" x14ac:dyDescent="0.2">
      <c r="A795" s="1" t="s">
        <v>860</v>
      </c>
      <c r="B795" s="1">
        <v>41266.47</v>
      </c>
      <c r="C795" s="1" t="s">
        <v>27</v>
      </c>
      <c r="D795" s="1">
        <f t="shared" si="36"/>
        <v>55993.991594411818</v>
      </c>
      <c r="E795" s="1">
        <v>33.44849713</v>
      </c>
      <c r="F795" s="1">
        <v>-112.04756</v>
      </c>
      <c r="G795" s="1" t="s">
        <v>46</v>
      </c>
      <c r="H795" s="1" t="str">
        <f t="shared" si="37"/>
        <v>AZ</v>
      </c>
      <c r="I795" s="1">
        <f t="shared" si="38"/>
        <v>0</v>
      </c>
    </row>
    <row r="796" spans="1:9" x14ac:dyDescent="0.2">
      <c r="A796" s="1" t="s">
        <v>861</v>
      </c>
      <c r="B796" s="1">
        <v>54050.27</v>
      </c>
      <c r="C796" s="1" t="s">
        <v>27</v>
      </c>
      <c r="D796" s="1">
        <f t="shared" si="36"/>
        <v>55993.991594411818</v>
      </c>
      <c r="E796" s="1">
        <v>33.508330000000001</v>
      </c>
      <c r="F796" s="1">
        <v>-112.2375255</v>
      </c>
      <c r="G796" s="1" t="s">
        <v>46</v>
      </c>
      <c r="H796" s="1" t="str">
        <f t="shared" si="37"/>
        <v>AZ</v>
      </c>
      <c r="I796" s="1">
        <f t="shared" si="38"/>
        <v>0</v>
      </c>
    </row>
    <row r="797" spans="1:9" x14ac:dyDescent="0.2">
      <c r="A797" s="1" t="s">
        <v>862</v>
      </c>
      <c r="B797" s="1">
        <v>31711.46</v>
      </c>
      <c r="C797" s="1" t="s">
        <v>27</v>
      </c>
      <c r="D797" s="1">
        <f t="shared" si="36"/>
        <v>55993.991594411818</v>
      </c>
      <c r="E797" s="1">
        <v>33.62659489</v>
      </c>
      <c r="F797" s="1">
        <v>-111.996196</v>
      </c>
      <c r="G797" s="1" t="s">
        <v>46</v>
      </c>
      <c r="H797" s="1" t="str">
        <f t="shared" si="37"/>
        <v>AZ</v>
      </c>
      <c r="I797" s="1">
        <f t="shared" si="38"/>
        <v>0</v>
      </c>
    </row>
    <row r="798" spans="1:9" x14ac:dyDescent="0.2">
      <c r="A798" s="1" t="s">
        <v>863</v>
      </c>
      <c r="B798" s="1">
        <v>31425.47</v>
      </c>
      <c r="C798" s="1" t="s">
        <v>27</v>
      </c>
      <c r="D798" s="1">
        <f t="shared" si="36"/>
        <v>55993.991594411818</v>
      </c>
      <c r="E798" s="1">
        <v>33.465850000000003</v>
      </c>
      <c r="F798" s="1">
        <v>-112.20312560000001</v>
      </c>
      <c r="G798" s="1" t="s">
        <v>46</v>
      </c>
      <c r="H798" s="1" t="str">
        <f t="shared" si="37"/>
        <v>AZ</v>
      </c>
      <c r="I798" s="1">
        <f t="shared" si="38"/>
        <v>0</v>
      </c>
    </row>
    <row r="799" spans="1:9" x14ac:dyDescent="0.2">
      <c r="A799" s="1" t="s">
        <v>864</v>
      </c>
      <c r="B799" s="1">
        <v>64946.94</v>
      </c>
      <c r="C799" s="1" t="s">
        <v>27</v>
      </c>
      <c r="D799" s="1">
        <f t="shared" si="36"/>
        <v>55993.991594411818</v>
      </c>
      <c r="E799" s="1">
        <v>33.611939999999997</v>
      </c>
      <c r="F799" s="1">
        <v>-111.9960847</v>
      </c>
      <c r="G799" s="1" t="s">
        <v>46</v>
      </c>
      <c r="H799" s="1" t="str">
        <f t="shared" si="37"/>
        <v>AZ</v>
      </c>
      <c r="I799" s="1">
        <f t="shared" si="38"/>
        <v>1</v>
      </c>
    </row>
    <row r="800" spans="1:9" x14ac:dyDescent="0.2">
      <c r="A800" s="1" t="s">
        <v>865</v>
      </c>
      <c r="B800" s="1">
        <v>37859.160000000003</v>
      </c>
      <c r="C800" s="1" t="s">
        <v>27</v>
      </c>
      <c r="D800" s="1">
        <f t="shared" si="36"/>
        <v>55993.991594411818</v>
      </c>
      <c r="E800" s="1">
        <v>33.523221829999997</v>
      </c>
      <c r="F800" s="1">
        <v>-112.13408509999999</v>
      </c>
      <c r="G800" s="1" t="s">
        <v>46</v>
      </c>
      <c r="H800" s="1" t="str">
        <f t="shared" si="37"/>
        <v>AZ</v>
      </c>
      <c r="I800" s="1">
        <f t="shared" si="38"/>
        <v>0</v>
      </c>
    </row>
    <row r="801" spans="1:9" x14ac:dyDescent="0.2">
      <c r="A801" s="1" t="s">
        <v>866</v>
      </c>
      <c r="B801" s="1">
        <v>28797.34</v>
      </c>
      <c r="C801" s="1" t="s">
        <v>27</v>
      </c>
      <c r="D801" s="1">
        <f t="shared" si="36"/>
        <v>55993.991594411818</v>
      </c>
      <c r="E801" s="1">
        <v>33.495087130000002</v>
      </c>
      <c r="F801" s="1">
        <v>-112.09139860000001</v>
      </c>
      <c r="G801" s="1" t="s">
        <v>46</v>
      </c>
      <c r="H801" s="1" t="str">
        <f t="shared" si="37"/>
        <v>AZ</v>
      </c>
      <c r="I801" s="1">
        <f t="shared" si="38"/>
        <v>0</v>
      </c>
    </row>
    <row r="802" spans="1:9" x14ac:dyDescent="0.2">
      <c r="A802" s="1" t="s">
        <v>867</v>
      </c>
      <c r="B802" s="1">
        <v>45385.26</v>
      </c>
      <c r="C802" s="1" t="s">
        <v>27</v>
      </c>
      <c r="D802" s="1">
        <f t="shared" si="36"/>
        <v>55993.991594411818</v>
      </c>
      <c r="E802" s="1">
        <v>33.436946120000002</v>
      </c>
      <c r="F802" s="1">
        <v>-112.1178444</v>
      </c>
      <c r="G802" s="1" t="s">
        <v>46</v>
      </c>
      <c r="H802" s="1" t="str">
        <f t="shared" si="37"/>
        <v>AZ</v>
      </c>
      <c r="I802" s="1">
        <f t="shared" si="38"/>
        <v>0</v>
      </c>
    </row>
    <row r="803" spans="1:9" x14ac:dyDescent="0.2">
      <c r="A803" s="1" t="s">
        <v>868</v>
      </c>
      <c r="B803" s="1">
        <v>58928.33</v>
      </c>
      <c r="C803" s="1" t="s">
        <v>27</v>
      </c>
      <c r="D803" s="1">
        <f t="shared" si="36"/>
        <v>55993.991594411818</v>
      </c>
      <c r="E803" s="1">
        <v>33.611091649999999</v>
      </c>
      <c r="F803" s="1">
        <v>-112.1103214</v>
      </c>
      <c r="G803" s="1" t="s">
        <v>46</v>
      </c>
      <c r="H803" s="1" t="str">
        <f t="shared" si="37"/>
        <v>AZ</v>
      </c>
      <c r="I803" s="1">
        <f t="shared" si="38"/>
        <v>1</v>
      </c>
    </row>
    <row r="804" spans="1:9" x14ac:dyDescent="0.2">
      <c r="A804" s="1" t="s">
        <v>869</v>
      </c>
      <c r="B804" s="1">
        <v>28437.37</v>
      </c>
      <c r="C804" s="1" t="s">
        <v>27</v>
      </c>
      <c r="D804" s="1">
        <f t="shared" si="36"/>
        <v>55993.991594411818</v>
      </c>
      <c r="E804" s="1">
        <v>33.465887129999999</v>
      </c>
      <c r="F804" s="1">
        <v>-112.22004219999999</v>
      </c>
      <c r="G804" s="1" t="s">
        <v>46</v>
      </c>
      <c r="H804" s="1" t="str">
        <f t="shared" si="37"/>
        <v>AZ</v>
      </c>
      <c r="I804" s="1">
        <f t="shared" si="38"/>
        <v>0</v>
      </c>
    </row>
    <row r="805" spans="1:9" x14ac:dyDescent="0.2">
      <c r="A805" s="1" t="s">
        <v>870</v>
      </c>
      <c r="B805" s="1">
        <v>58194.73</v>
      </c>
      <c r="C805" s="1" t="s">
        <v>27</v>
      </c>
      <c r="D805" s="1">
        <f t="shared" si="36"/>
        <v>55993.991594411818</v>
      </c>
      <c r="E805" s="1">
        <v>33.655246570000003</v>
      </c>
      <c r="F805" s="1">
        <v>-112.01365149999999</v>
      </c>
      <c r="G805" s="1" t="s">
        <v>46</v>
      </c>
      <c r="H805" s="1" t="str">
        <f t="shared" si="37"/>
        <v>AZ</v>
      </c>
      <c r="I805" s="1">
        <f t="shared" si="38"/>
        <v>1</v>
      </c>
    </row>
    <row r="806" spans="1:9" x14ac:dyDescent="0.2">
      <c r="A806" s="1" t="s">
        <v>871</v>
      </c>
      <c r="B806" s="1">
        <v>36349.279999999999</v>
      </c>
      <c r="C806" s="1" t="s">
        <v>27</v>
      </c>
      <c r="D806" s="1">
        <f t="shared" si="36"/>
        <v>55993.991594411818</v>
      </c>
      <c r="E806" s="1">
        <v>33.494512880000002</v>
      </c>
      <c r="F806" s="1">
        <v>-112.0476025</v>
      </c>
      <c r="G806" s="1" t="s">
        <v>46</v>
      </c>
      <c r="H806" s="1" t="str">
        <f t="shared" si="37"/>
        <v>AZ</v>
      </c>
      <c r="I806" s="1">
        <f t="shared" si="38"/>
        <v>0</v>
      </c>
    </row>
    <row r="807" spans="1:9" x14ac:dyDescent="0.2">
      <c r="A807" s="1" t="s">
        <v>872</v>
      </c>
      <c r="B807" s="1">
        <v>60723.07</v>
      </c>
      <c r="C807" s="1" t="s">
        <v>27</v>
      </c>
      <c r="D807" s="1">
        <f t="shared" si="36"/>
        <v>55993.991594411818</v>
      </c>
      <c r="E807" s="1">
        <v>33.392857720000002</v>
      </c>
      <c r="F807" s="1">
        <v>-112.0480855</v>
      </c>
      <c r="G807" s="1" t="s">
        <v>46</v>
      </c>
      <c r="H807" s="1" t="str">
        <f t="shared" si="37"/>
        <v>AZ</v>
      </c>
      <c r="I807" s="1">
        <f t="shared" si="38"/>
        <v>1</v>
      </c>
    </row>
    <row r="808" spans="1:9" x14ac:dyDescent="0.2">
      <c r="A808" s="1" t="s">
        <v>873</v>
      </c>
      <c r="B808" s="1">
        <v>32053.54</v>
      </c>
      <c r="C808" s="1" t="s">
        <v>27</v>
      </c>
      <c r="D808" s="1">
        <f t="shared" si="36"/>
        <v>55993.991594411818</v>
      </c>
      <c r="E808" s="1">
        <v>33.495167129999999</v>
      </c>
      <c r="F808" s="1">
        <v>-112.18423</v>
      </c>
      <c r="G808" s="1" t="s">
        <v>46</v>
      </c>
      <c r="H808" s="1" t="str">
        <f t="shared" si="37"/>
        <v>AZ</v>
      </c>
      <c r="I808" s="1">
        <f t="shared" si="38"/>
        <v>0</v>
      </c>
    </row>
    <row r="809" spans="1:9" x14ac:dyDescent="0.2">
      <c r="A809" s="1" t="s">
        <v>874</v>
      </c>
      <c r="B809" s="1">
        <v>31333.31</v>
      </c>
      <c r="C809" s="1" t="s">
        <v>27</v>
      </c>
      <c r="D809" s="1">
        <f t="shared" si="36"/>
        <v>55993.991594411818</v>
      </c>
      <c r="E809" s="1">
        <v>33.451092869999997</v>
      </c>
      <c r="F809" s="1">
        <v>-112.103585</v>
      </c>
      <c r="G809" s="1" t="s">
        <v>46</v>
      </c>
      <c r="H809" s="1" t="str">
        <f t="shared" si="37"/>
        <v>AZ</v>
      </c>
      <c r="I809" s="1">
        <f t="shared" si="38"/>
        <v>0</v>
      </c>
    </row>
    <row r="810" spans="1:9" x14ac:dyDescent="0.2">
      <c r="A810" s="1" t="s">
        <v>875</v>
      </c>
      <c r="B810" s="1">
        <v>31445.77</v>
      </c>
      <c r="C810" s="1" t="s">
        <v>27</v>
      </c>
      <c r="D810" s="1">
        <f t="shared" si="36"/>
        <v>55993.991594411818</v>
      </c>
      <c r="E810" s="1">
        <v>33.480122870000002</v>
      </c>
      <c r="F810" s="1">
        <v>-112.20227</v>
      </c>
      <c r="G810" s="1" t="s">
        <v>46</v>
      </c>
      <c r="H810" s="1" t="str">
        <f t="shared" si="37"/>
        <v>AZ</v>
      </c>
      <c r="I810" s="1">
        <f t="shared" si="38"/>
        <v>0</v>
      </c>
    </row>
    <row r="811" spans="1:9" x14ac:dyDescent="0.2">
      <c r="A811" s="1" t="s">
        <v>876</v>
      </c>
      <c r="B811" s="1">
        <v>45146.31</v>
      </c>
      <c r="C811" s="1" t="s">
        <v>27</v>
      </c>
      <c r="D811" s="1">
        <f t="shared" si="36"/>
        <v>55993.991594411818</v>
      </c>
      <c r="E811" s="1">
        <v>33.451487110000002</v>
      </c>
      <c r="F811" s="1">
        <v>-112.0595727</v>
      </c>
      <c r="G811" s="1" t="s">
        <v>46</v>
      </c>
      <c r="H811" s="1" t="str">
        <f t="shared" si="37"/>
        <v>AZ</v>
      </c>
      <c r="I811" s="1">
        <f t="shared" si="38"/>
        <v>0</v>
      </c>
    </row>
    <row r="812" spans="1:9" x14ac:dyDescent="0.2">
      <c r="A812" s="1" t="s">
        <v>877</v>
      </c>
      <c r="B812" s="1">
        <v>53321.8</v>
      </c>
      <c r="C812" s="1" t="s">
        <v>27</v>
      </c>
      <c r="D812" s="1">
        <f t="shared" si="36"/>
        <v>55993.991594411818</v>
      </c>
      <c r="E812" s="1">
        <v>33.422332879999999</v>
      </c>
      <c r="F812" s="1">
        <v>-112.13514259999999</v>
      </c>
      <c r="G812" s="1" t="s">
        <v>46</v>
      </c>
      <c r="H812" s="1" t="str">
        <f t="shared" si="37"/>
        <v>AZ</v>
      </c>
      <c r="I812" s="1">
        <f t="shared" si="38"/>
        <v>0</v>
      </c>
    </row>
    <row r="813" spans="1:9" x14ac:dyDescent="0.2">
      <c r="A813" s="1" t="s">
        <v>878</v>
      </c>
      <c r="B813" s="1">
        <v>40738.839999999997</v>
      </c>
      <c r="C813" s="1" t="s">
        <v>27</v>
      </c>
      <c r="D813" s="1">
        <f t="shared" si="36"/>
        <v>55993.991594411818</v>
      </c>
      <c r="E813" s="1">
        <v>33.487535000000001</v>
      </c>
      <c r="F813" s="1">
        <v>-112.04781439999999</v>
      </c>
      <c r="G813" s="1" t="s">
        <v>46</v>
      </c>
      <c r="H813" s="1" t="str">
        <f t="shared" si="37"/>
        <v>AZ</v>
      </c>
      <c r="I813" s="1">
        <f t="shared" si="38"/>
        <v>0</v>
      </c>
    </row>
    <row r="814" spans="1:9" x14ac:dyDescent="0.2">
      <c r="A814" s="1" t="s">
        <v>879</v>
      </c>
      <c r="B814" s="1">
        <v>33519.19</v>
      </c>
      <c r="C814" s="1" t="s">
        <v>27</v>
      </c>
      <c r="D814" s="1">
        <f t="shared" si="36"/>
        <v>55993.991594411818</v>
      </c>
      <c r="E814" s="1">
        <v>33.611530000000002</v>
      </c>
      <c r="F814" s="1">
        <v>-111.9776253</v>
      </c>
      <c r="G814" s="1" t="s">
        <v>46</v>
      </c>
      <c r="H814" s="1" t="str">
        <f t="shared" si="37"/>
        <v>AZ</v>
      </c>
      <c r="I814" s="1">
        <f t="shared" si="38"/>
        <v>0</v>
      </c>
    </row>
    <row r="815" spans="1:9" x14ac:dyDescent="0.2">
      <c r="A815" s="1" t="s">
        <v>880</v>
      </c>
      <c r="B815" s="1">
        <v>43771.33</v>
      </c>
      <c r="C815" s="1" t="s">
        <v>27</v>
      </c>
      <c r="D815" s="1">
        <f t="shared" si="36"/>
        <v>55993.991594411818</v>
      </c>
      <c r="E815" s="1">
        <v>33.348789799999999</v>
      </c>
      <c r="F815" s="1">
        <v>-111.9755279</v>
      </c>
      <c r="G815" s="1" t="s">
        <v>46</v>
      </c>
      <c r="H815" s="1" t="str">
        <f t="shared" si="37"/>
        <v>AZ</v>
      </c>
      <c r="I815" s="1">
        <f t="shared" si="38"/>
        <v>0</v>
      </c>
    </row>
    <row r="816" spans="1:9" x14ac:dyDescent="0.2">
      <c r="A816" s="1" t="s">
        <v>881</v>
      </c>
      <c r="B816" s="1">
        <v>53565.85</v>
      </c>
      <c r="C816" s="1" t="s">
        <v>27</v>
      </c>
      <c r="D816" s="1">
        <f t="shared" si="36"/>
        <v>55993.991594411818</v>
      </c>
      <c r="E816" s="1">
        <v>33.493757090000003</v>
      </c>
      <c r="F816" s="1">
        <v>-112.2902239</v>
      </c>
      <c r="G816" s="1" t="s">
        <v>46</v>
      </c>
      <c r="H816" s="1" t="str">
        <f t="shared" si="37"/>
        <v>AZ</v>
      </c>
      <c r="I816" s="1">
        <f t="shared" si="38"/>
        <v>0</v>
      </c>
    </row>
    <row r="817" spans="1:9" x14ac:dyDescent="0.2">
      <c r="A817" s="1" t="s">
        <v>882</v>
      </c>
      <c r="B817" s="1">
        <v>22813.23</v>
      </c>
      <c r="C817" s="1" t="s">
        <v>27</v>
      </c>
      <c r="D817" s="1">
        <f t="shared" si="36"/>
        <v>55993.991594411818</v>
      </c>
      <c r="E817" s="1">
        <v>33.30497287</v>
      </c>
      <c r="F817" s="1">
        <v>-111.99718</v>
      </c>
      <c r="G817" s="1" t="s">
        <v>46</v>
      </c>
      <c r="H817" s="1" t="str">
        <f t="shared" si="37"/>
        <v>AZ</v>
      </c>
      <c r="I817" s="1">
        <f t="shared" si="38"/>
        <v>0</v>
      </c>
    </row>
    <row r="818" spans="1:9" x14ac:dyDescent="0.2">
      <c r="A818" s="1" t="s">
        <v>883</v>
      </c>
      <c r="B818" s="1">
        <v>41731.519999999997</v>
      </c>
      <c r="C818" s="1" t="s">
        <v>27</v>
      </c>
      <c r="D818" s="1">
        <f t="shared" si="36"/>
        <v>55993.991594411818</v>
      </c>
      <c r="E818" s="1">
        <v>33.654523820000001</v>
      </c>
      <c r="F818" s="1">
        <v>-112.1338489</v>
      </c>
      <c r="G818" s="1" t="s">
        <v>46</v>
      </c>
      <c r="H818" s="1" t="str">
        <f t="shared" si="37"/>
        <v>AZ</v>
      </c>
      <c r="I818" s="1">
        <f t="shared" si="38"/>
        <v>0</v>
      </c>
    </row>
    <row r="819" spans="1:9" x14ac:dyDescent="0.2">
      <c r="A819" s="1" t="s">
        <v>884</v>
      </c>
      <c r="B819" s="1">
        <v>32316.36</v>
      </c>
      <c r="C819" s="1" t="s">
        <v>27</v>
      </c>
      <c r="D819" s="1">
        <f t="shared" si="36"/>
        <v>55993.991594411818</v>
      </c>
      <c r="E819" s="1">
        <v>33.479952879999999</v>
      </c>
      <c r="F819" s="1">
        <v>-111.9780623</v>
      </c>
      <c r="G819" s="1" t="s">
        <v>46</v>
      </c>
      <c r="H819" s="1" t="str">
        <f t="shared" si="37"/>
        <v>AZ</v>
      </c>
      <c r="I819" s="1">
        <f t="shared" si="38"/>
        <v>0</v>
      </c>
    </row>
    <row r="820" spans="1:9" x14ac:dyDescent="0.2">
      <c r="A820" s="1" t="s">
        <v>885</v>
      </c>
      <c r="B820" s="1">
        <v>64659.05</v>
      </c>
      <c r="C820" s="1" t="s">
        <v>27</v>
      </c>
      <c r="D820" s="1">
        <f t="shared" si="36"/>
        <v>55993.991594411818</v>
      </c>
      <c r="E820" s="1">
        <v>33.625639999999997</v>
      </c>
      <c r="F820" s="1">
        <v>-111.9780547</v>
      </c>
      <c r="G820" s="1" t="s">
        <v>46</v>
      </c>
      <c r="H820" s="1" t="str">
        <f t="shared" si="37"/>
        <v>AZ</v>
      </c>
      <c r="I820" s="1">
        <f t="shared" si="38"/>
        <v>1</v>
      </c>
    </row>
    <row r="821" spans="1:9" x14ac:dyDescent="0.2">
      <c r="A821" s="1" t="s">
        <v>886</v>
      </c>
      <c r="B821" s="1">
        <v>70798.48</v>
      </c>
      <c r="C821" s="1" t="s">
        <v>27</v>
      </c>
      <c r="D821" s="1">
        <f t="shared" si="36"/>
        <v>55993.991594411818</v>
      </c>
      <c r="E821" s="1">
        <v>33.507723480000003</v>
      </c>
      <c r="F821" s="1">
        <v>-112.2551643</v>
      </c>
      <c r="G821" s="1" t="s">
        <v>46</v>
      </c>
      <c r="H821" s="1" t="str">
        <f t="shared" si="37"/>
        <v>AZ</v>
      </c>
      <c r="I821" s="1">
        <f t="shared" si="38"/>
        <v>1</v>
      </c>
    </row>
    <row r="822" spans="1:9" x14ac:dyDescent="0.2">
      <c r="A822" s="1" t="s">
        <v>887</v>
      </c>
      <c r="B822" s="1">
        <v>64077.03</v>
      </c>
      <c r="C822" s="1" t="s">
        <v>27</v>
      </c>
      <c r="D822" s="1">
        <f t="shared" si="36"/>
        <v>55993.991594411818</v>
      </c>
      <c r="E822" s="1">
        <v>33.407167129999998</v>
      </c>
      <c r="F822" s="1">
        <v>-112.01308</v>
      </c>
      <c r="G822" s="1" t="s">
        <v>46</v>
      </c>
      <c r="H822" s="1" t="str">
        <f t="shared" si="37"/>
        <v>AZ</v>
      </c>
      <c r="I822" s="1">
        <f t="shared" si="38"/>
        <v>1</v>
      </c>
    </row>
    <row r="823" spans="1:9" x14ac:dyDescent="0.2">
      <c r="A823" s="1" t="s">
        <v>888</v>
      </c>
      <c r="B823" s="1">
        <v>71898.59</v>
      </c>
      <c r="C823" s="1" t="s">
        <v>27</v>
      </c>
      <c r="D823" s="1">
        <f t="shared" si="36"/>
        <v>55993.991594411818</v>
      </c>
      <c r="E823" s="1">
        <v>33.571936669999999</v>
      </c>
      <c r="F823" s="1">
        <v>-112.0653446</v>
      </c>
      <c r="G823" s="1" t="s">
        <v>46</v>
      </c>
      <c r="H823" s="1" t="str">
        <f t="shared" si="37"/>
        <v>AZ</v>
      </c>
      <c r="I823" s="1">
        <f t="shared" si="38"/>
        <v>1</v>
      </c>
    </row>
    <row r="824" spans="1:9" x14ac:dyDescent="0.2">
      <c r="A824" s="1" t="s">
        <v>889</v>
      </c>
      <c r="B824" s="1">
        <v>101298.8</v>
      </c>
      <c r="C824" s="1" t="s">
        <v>27</v>
      </c>
      <c r="D824" s="1">
        <f t="shared" si="36"/>
        <v>55993.991594411818</v>
      </c>
      <c r="E824" s="1">
        <v>33.422398479999998</v>
      </c>
      <c r="F824" s="1">
        <v>-112.1691537</v>
      </c>
      <c r="G824" s="1" t="s">
        <v>46</v>
      </c>
      <c r="H824" s="1" t="str">
        <f t="shared" si="37"/>
        <v>AZ</v>
      </c>
      <c r="I824" s="1">
        <f t="shared" si="38"/>
        <v>1</v>
      </c>
    </row>
    <row r="825" spans="1:9" x14ac:dyDescent="0.2">
      <c r="A825" s="1" t="s">
        <v>890</v>
      </c>
      <c r="B825" s="1">
        <v>98118.59</v>
      </c>
      <c r="C825" s="1" t="s">
        <v>27</v>
      </c>
      <c r="D825" s="1">
        <f t="shared" si="36"/>
        <v>55993.991594411818</v>
      </c>
      <c r="E825" s="1" t="s">
        <v>11</v>
      </c>
      <c r="F825" s="1" t="s">
        <v>11</v>
      </c>
      <c r="G825" s="1" t="s">
        <v>46</v>
      </c>
      <c r="H825" s="1" t="str">
        <f t="shared" si="37"/>
        <v>AZ</v>
      </c>
      <c r="I825" s="1">
        <f t="shared" si="38"/>
        <v>1</v>
      </c>
    </row>
    <row r="826" spans="1:9" x14ac:dyDescent="0.2">
      <c r="A826" s="1" t="s">
        <v>891</v>
      </c>
      <c r="B826" s="1">
        <v>65812.509999999995</v>
      </c>
      <c r="C826" s="1" t="s">
        <v>27</v>
      </c>
      <c r="D826" s="1">
        <f t="shared" si="36"/>
        <v>55993.991594411818</v>
      </c>
      <c r="E826" s="1">
        <v>33.52431713</v>
      </c>
      <c r="F826" s="1">
        <v>-112.1107959</v>
      </c>
      <c r="G826" s="1" t="s">
        <v>46</v>
      </c>
      <c r="H826" s="1" t="str">
        <f t="shared" si="37"/>
        <v>AZ</v>
      </c>
      <c r="I826" s="1">
        <f t="shared" si="38"/>
        <v>1</v>
      </c>
    </row>
    <row r="827" spans="1:9" x14ac:dyDescent="0.2">
      <c r="A827" s="1" t="s">
        <v>892</v>
      </c>
      <c r="B827" s="1">
        <v>57652.54</v>
      </c>
      <c r="C827" s="1" t="s">
        <v>27</v>
      </c>
      <c r="D827" s="1">
        <f t="shared" si="36"/>
        <v>55993.991594411818</v>
      </c>
      <c r="E827" s="1">
        <v>33.466100699999998</v>
      </c>
      <c r="F827" s="1">
        <v>-112.18481319999999</v>
      </c>
      <c r="G827" s="1" t="s">
        <v>46</v>
      </c>
      <c r="H827" s="1" t="str">
        <f t="shared" si="37"/>
        <v>AZ</v>
      </c>
      <c r="I827" s="1">
        <f t="shared" si="38"/>
        <v>1</v>
      </c>
    </row>
    <row r="828" spans="1:9" x14ac:dyDescent="0.2">
      <c r="A828" s="1" t="s">
        <v>893</v>
      </c>
      <c r="B828" s="1">
        <v>30829.59</v>
      </c>
      <c r="C828" s="1" t="s">
        <v>27</v>
      </c>
      <c r="D828" s="1">
        <f t="shared" si="36"/>
        <v>55993.991594411818</v>
      </c>
      <c r="E828" s="1">
        <v>33.377987130000001</v>
      </c>
      <c r="F828" s="1">
        <v>-112.03066440000001</v>
      </c>
      <c r="G828" s="1" t="s">
        <v>46</v>
      </c>
      <c r="H828" s="1" t="str">
        <f t="shared" si="37"/>
        <v>AZ</v>
      </c>
      <c r="I828" s="1">
        <f t="shared" si="38"/>
        <v>0</v>
      </c>
    </row>
    <row r="829" spans="1:9" x14ac:dyDescent="0.2">
      <c r="A829" s="1" t="s">
        <v>894</v>
      </c>
      <c r="B829" s="1">
        <v>56507.64</v>
      </c>
      <c r="C829" s="1" t="s">
        <v>27</v>
      </c>
      <c r="D829" s="1">
        <f t="shared" si="36"/>
        <v>55993.991594411818</v>
      </c>
      <c r="E829" s="1">
        <v>33.459496000000001</v>
      </c>
      <c r="F829" s="1">
        <v>-112.2032256</v>
      </c>
      <c r="G829" s="1" t="s">
        <v>46</v>
      </c>
      <c r="H829" s="1" t="str">
        <f t="shared" si="37"/>
        <v>AZ</v>
      </c>
      <c r="I829" s="1">
        <f t="shared" si="38"/>
        <v>1</v>
      </c>
    </row>
    <row r="830" spans="1:9" x14ac:dyDescent="0.2">
      <c r="A830" s="1" t="s">
        <v>895</v>
      </c>
      <c r="B830" s="1">
        <v>57353.18</v>
      </c>
      <c r="C830" s="1" t="s">
        <v>27</v>
      </c>
      <c r="D830" s="1">
        <f t="shared" si="36"/>
        <v>55993.991594411818</v>
      </c>
      <c r="E830" s="1">
        <v>33.465827130000001</v>
      </c>
      <c r="F830" s="1">
        <v>-111.9959322</v>
      </c>
      <c r="G830" s="1" t="s">
        <v>46</v>
      </c>
      <c r="H830" s="1" t="str">
        <f t="shared" si="37"/>
        <v>AZ</v>
      </c>
      <c r="I830" s="1">
        <f t="shared" si="38"/>
        <v>1</v>
      </c>
    </row>
    <row r="831" spans="1:9" x14ac:dyDescent="0.2">
      <c r="A831" s="1" t="s">
        <v>896</v>
      </c>
      <c r="B831" s="1">
        <v>122707.81</v>
      </c>
      <c r="C831" s="1" t="s">
        <v>27</v>
      </c>
      <c r="D831" s="1">
        <f t="shared" si="36"/>
        <v>55993.991594411818</v>
      </c>
      <c r="E831" s="1">
        <v>33.769507130000001</v>
      </c>
      <c r="F831" s="1">
        <v>-112.11166900000001</v>
      </c>
      <c r="G831" s="1" t="s">
        <v>46</v>
      </c>
      <c r="H831" s="1" t="str">
        <f t="shared" si="37"/>
        <v>AZ</v>
      </c>
      <c r="I831" s="1">
        <f t="shared" si="38"/>
        <v>1</v>
      </c>
    </row>
    <row r="832" spans="1:9" x14ac:dyDescent="0.2">
      <c r="A832" s="1" t="s">
        <v>897</v>
      </c>
      <c r="B832" s="1">
        <v>36156.660000000003</v>
      </c>
      <c r="C832" s="1" t="s">
        <v>27</v>
      </c>
      <c r="D832" s="1">
        <f t="shared" si="36"/>
        <v>55993.991594411818</v>
      </c>
      <c r="E832" s="1">
        <v>33.436632869999997</v>
      </c>
      <c r="F832" s="1">
        <v>-112.16886100000001</v>
      </c>
      <c r="G832" s="1" t="s">
        <v>46</v>
      </c>
      <c r="H832" s="1" t="str">
        <f t="shared" si="37"/>
        <v>AZ</v>
      </c>
      <c r="I832" s="1">
        <f t="shared" si="38"/>
        <v>0</v>
      </c>
    </row>
    <row r="833" spans="1:9" x14ac:dyDescent="0.2">
      <c r="A833" s="1" t="s">
        <v>898</v>
      </c>
      <c r="B833" s="1">
        <v>20805.78</v>
      </c>
      <c r="C833" s="1" t="s">
        <v>27</v>
      </c>
      <c r="D833" s="1">
        <f t="shared" si="36"/>
        <v>55993.991594411818</v>
      </c>
      <c r="E833" s="1">
        <v>33.406437279999999</v>
      </c>
      <c r="F833" s="1">
        <v>-111.9784343</v>
      </c>
      <c r="G833" s="1" t="s">
        <v>46</v>
      </c>
      <c r="H833" s="1" t="str">
        <f t="shared" si="37"/>
        <v>AZ</v>
      </c>
      <c r="I833" s="1">
        <f t="shared" si="38"/>
        <v>0</v>
      </c>
    </row>
    <row r="834" spans="1:9" x14ac:dyDescent="0.2">
      <c r="A834" s="1" t="s">
        <v>899</v>
      </c>
      <c r="B834" s="1">
        <v>136849.03</v>
      </c>
      <c r="C834" s="1" t="s">
        <v>27</v>
      </c>
      <c r="D834" s="1">
        <f t="shared" si="36"/>
        <v>55993.991594411818</v>
      </c>
      <c r="E834" s="1">
        <v>33.653891860000002</v>
      </c>
      <c r="F834" s="1">
        <v>-112.0998957</v>
      </c>
      <c r="G834" s="1" t="s">
        <v>46</v>
      </c>
      <c r="H834" s="1" t="str">
        <f t="shared" si="37"/>
        <v>AZ</v>
      </c>
      <c r="I834" s="1">
        <f t="shared" si="38"/>
        <v>1</v>
      </c>
    </row>
    <row r="835" spans="1:9" x14ac:dyDescent="0.2">
      <c r="A835" s="1" t="s">
        <v>900</v>
      </c>
      <c r="B835" s="1">
        <v>101302.72</v>
      </c>
      <c r="C835" s="1" t="s">
        <v>27</v>
      </c>
      <c r="D835" s="1">
        <f t="shared" ref="D835:D898" si="39">AVERAGEIFS($B:$B,$C:$C,$C835)</f>
        <v>55993.991594411818</v>
      </c>
      <c r="E835" s="1">
        <v>33.611712869999998</v>
      </c>
      <c r="F835" s="1">
        <v>-111.995328</v>
      </c>
      <c r="G835" s="1" t="s">
        <v>46</v>
      </c>
      <c r="H835" s="1" t="str">
        <f t="shared" ref="H835:H898" si="40">TRIM(_xlfn.TEXTAFTER(A835, ",", -1))</f>
        <v>AZ</v>
      </c>
      <c r="I835" s="1">
        <f t="shared" ref="I835:I898" si="41">IF(B835&gt;D835,1,0)</f>
        <v>1</v>
      </c>
    </row>
    <row r="836" spans="1:9" x14ac:dyDescent="0.2">
      <c r="A836" s="1" t="s">
        <v>901</v>
      </c>
      <c r="B836" s="1">
        <v>107461.1</v>
      </c>
      <c r="C836" s="1" t="s">
        <v>27</v>
      </c>
      <c r="D836" s="1">
        <f t="shared" si="39"/>
        <v>55993.991594411818</v>
      </c>
      <c r="E836" s="1">
        <v>33.494692870000002</v>
      </c>
      <c r="F836" s="1">
        <v>-112.20114289999999</v>
      </c>
      <c r="G836" s="1" t="s">
        <v>46</v>
      </c>
      <c r="H836" s="1" t="str">
        <f t="shared" si="40"/>
        <v>AZ</v>
      </c>
      <c r="I836" s="1">
        <f t="shared" si="41"/>
        <v>1</v>
      </c>
    </row>
    <row r="837" spans="1:9" x14ac:dyDescent="0.2">
      <c r="A837" s="1" t="s">
        <v>902</v>
      </c>
      <c r="B837" s="1">
        <v>149788.79</v>
      </c>
      <c r="C837" s="1" t="s">
        <v>27</v>
      </c>
      <c r="D837" s="1">
        <f t="shared" si="39"/>
        <v>55993.991594411818</v>
      </c>
      <c r="E837" s="1">
        <v>33.59648713</v>
      </c>
      <c r="F837" s="1">
        <v>-112.149794</v>
      </c>
      <c r="G837" s="1" t="s">
        <v>46</v>
      </c>
      <c r="H837" s="1" t="str">
        <f t="shared" si="40"/>
        <v>AZ</v>
      </c>
      <c r="I837" s="1">
        <f t="shared" si="41"/>
        <v>1</v>
      </c>
    </row>
    <row r="838" spans="1:9" x14ac:dyDescent="0.2">
      <c r="A838" s="1" t="s">
        <v>903</v>
      </c>
      <c r="B838" s="1">
        <v>87411.94</v>
      </c>
      <c r="C838" s="1" t="s">
        <v>27</v>
      </c>
      <c r="D838" s="1">
        <f t="shared" si="39"/>
        <v>55993.991594411818</v>
      </c>
      <c r="E838" s="1">
        <v>33.509576799999998</v>
      </c>
      <c r="F838" s="1">
        <v>-112.08418519999999</v>
      </c>
      <c r="G838" s="1" t="s">
        <v>46</v>
      </c>
      <c r="H838" s="1" t="str">
        <f t="shared" si="40"/>
        <v>AZ</v>
      </c>
      <c r="I838" s="1">
        <f t="shared" si="41"/>
        <v>1</v>
      </c>
    </row>
    <row r="839" spans="1:9" x14ac:dyDescent="0.2">
      <c r="A839" s="1" t="s">
        <v>904</v>
      </c>
      <c r="B839" s="1">
        <v>156539.92000000001</v>
      </c>
      <c r="C839" s="1" t="s">
        <v>27</v>
      </c>
      <c r="D839" s="1">
        <f t="shared" si="39"/>
        <v>55993.991594411818</v>
      </c>
      <c r="E839" s="1">
        <v>33.506529999999998</v>
      </c>
      <c r="F839" s="1">
        <v>-112.0390345</v>
      </c>
      <c r="G839" s="1" t="s">
        <v>46</v>
      </c>
      <c r="H839" s="1" t="str">
        <f t="shared" si="40"/>
        <v>AZ</v>
      </c>
      <c r="I839" s="1">
        <f t="shared" si="41"/>
        <v>1</v>
      </c>
    </row>
    <row r="840" spans="1:9" x14ac:dyDescent="0.2">
      <c r="A840" s="1" t="s">
        <v>905</v>
      </c>
      <c r="B840" s="1">
        <v>119996.73</v>
      </c>
      <c r="C840" s="1" t="s">
        <v>27</v>
      </c>
      <c r="D840" s="1">
        <f t="shared" si="39"/>
        <v>55993.991594411818</v>
      </c>
      <c r="E840" s="1">
        <v>33.47999986</v>
      </c>
      <c r="F840" s="1">
        <v>-111.9851927</v>
      </c>
      <c r="G840" s="1" t="s">
        <v>46</v>
      </c>
      <c r="H840" s="1" t="str">
        <f t="shared" si="40"/>
        <v>AZ</v>
      </c>
      <c r="I840" s="1">
        <f t="shared" si="41"/>
        <v>1</v>
      </c>
    </row>
    <row r="841" spans="1:9" x14ac:dyDescent="0.2">
      <c r="A841" s="1" t="s">
        <v>906</v>
      </c>
      <c r="B841" s="1">
        <v>78898.570000000007</v>
      </c>
      <c r="C841" s="1" t="s">
        <v>27</v>
      </c>
      <c r="D841" s="1">
        <f t="shared" si="39"/>
        <v>55993.991594411818</v>
      </c>
      <c r="E841" s="1">
        <v>33.480587130000004</v>
      </c>
      <c r="F841" s="1">
        <v>-112.0161615</v>
      </c>
      <c r="G841" s="1" t="s">
        <v>46</v>
      </c>
      <c r="H841" s="1" t="str">
        <f t="shared" si="40"/>
        <v>AZ</v>
      </c>
      <c r="I841" s="1">
        <f t="shared" si="41"/>
        <v>1</v>
      </c>
    </row>
    <row r="842" spans="1:9" x14ac:dyDescent="0.2">
      <c r="A842" s="1" t="s">
        <v>907</v>
      </c>
      <c r="B842" s="1">
        <v>69580.899999999994</v>
      </c>
      <c r="C842" s="1" t="s">
        <v>27</v>
      </c>
      <c r="D842" s="1">
        <f t="shared" si="39"/>
        <v>55993.991594411818</v>
      </c>
      <c r="E842" s="1">
        <v>33.315625750000002</v>
      </c>
      <c r="F842" s="1">
        <v>-112.0056132</v>
      </c>
      <c r="G842" s="1" t="s">
        <v>46</v>
      </c>
      <c r="H842" s="1" t="str">
        <f t="shared" si="40"/>
        <v>AZ</v>
      </c>
      <c r="I842" s="1">
        <f t="shared" si="41"/>
        <v>1</v>
      </c>
    </row>
    <row r="843" spans="1:9" x14ac:dyDescent="0.2">
      <c r="A843" s="1" t="s">
        <v>908</v>
      </c>
      <c r="B843" s="1">
        <v>90146.26</v>
      </c>
      <c r="C843" s="1" t="s">
        <v>27</v>
      </c>
      <c r="D843" s="1">
        <f t="shared" si="39"/>
        <v>55993.991594411818</v>
      </c>
      <c r="E843" s="1">
        <v>33.61062287</v>
      </c>
      <c r="F843" s="1">
        <v>-112.13151000000001</v>
      </c>
      <c r="G843" s="1" t="s">
        <v>46</v>
      </c>
      <c r="H843" s="1" t="str">
        <f t="shared" si="40"/>
        <v>AZ</v>
      </c>
      <c r="I843" s="1">
        <f t="shared" si="41"/>
        <v>1</v>
      </c>
    </row>
    <row r="844" spans="1:9" x14ac:dyDescent="0.2">
      <c r="A844" s="1" t="s">
        <v>909</v>
      </c>
      <c r="B844" s="1">
        <v>100917.57</v>
      </c>
      <c r="C844" s="1" t="s">
        <v>27</v>
      </c>
      <c r="D844" s="1">
        <f t="shared" si="39"/>
        <v>55993.991594411818</v>
      </c>
      <c r="E844" s="1">
        <v>33.377877130000002</v>
      </c>
      <c r="F844" s="1">
        <v>-112.0667389</v>
      </c>
      <c r="G844" s="1" t="s">
        <v>46</v>
      </c>
      <c r="H844" s="1" t="str">
        <f t="shared" si="40"/>
        <v>AZ</v>
      </c>
      <c r="I844" s="1">
        <f t="shared" si="41"/>
        <v>1</v>
      </c>
    </row>
    <row r="845" spans="1:9" x14ac:dyDescent="0.2">
      <c r="A845" s="1" t="s">
        <v>910</v>
      </c>
      <c r="B845" s="1">
        <v>71259.759999999995</v>
      </c>
      <c r="C845" s="1" t="s">
        <v>27</v>
      </c>
      <c r="D845" s="1">
        <f t="shared" si="39"/>
        <v>55993.991594411818</v>
      </c>
      <c r="E845" s="1">
        <v>33.571508979999997</v>
      </c>
      <c r="F845" s="1">
        <v>-112.0611542</v>
      </c>
      <c r="G845" s="1" t="s">
        <v>46</v>
      </c>
      <c r="H845" s="1" t="str">
        <f t="shared" si="40"/>
        <v>AZ</v>
      </c>
      <c r="I845" s="1">
        <f t="shared" si="41"/>
        <v>1</v>
      </c>
    </row>
    <row r="846" spans="1:9" x14ac:dyDescent="0.2">
      <c r="A846" s="1" t="s">
        <v>911</v>
      </c>
      <c r="B846" s="1">
        <v>84468.88</v>
      </c>
      <c r="C846" s="1" t="s">
        <v>27</v>
      </c>
      <c r="D846" s="1">
        <f t="shared" si="39"/>
        <v>55993.991594411818</v>
      </c>
      <c r="E846" s="1">
        <v>33.582472869999997</v>
      </c>
      <c r="F846" s="1">
        <v>-111.97978000000001</v>
      </c>
      <c r="G846" s="1" t="s">
        <v>46</v>
      </c>
      <c r="H846" s="1" t="str">
        <f t="shared" si="40"/>
        <v>AZ</v>
      </c>
      <c r="I846" s="1">
        <f t="shared" si="41"/>
        <v>1</v>
      </c>
    </row>
    <row r="847" spans="1:9" x14ac:dyDescent="0.2">
      <c r="A847" s="1" t="s">
        <v>912</v>
      </c>
      <c r="B847" s="1">
        <v>143036.41</v>
      </c>
      <c r="C847" s="1" t="s">
        <v>27</v>
      </c>
      <c r="D847" s="1">
        <f t="shared" si="39"/>
        <v>55993.991594411818</v>
      </c>
      <c r="E847" s="1">
        <v>33.639619830000001</v>
      </c>
      <c r="F847" s="1">
        <v>-112.1195616</v>
      </c>
      <c r="G847" s="1" t="s">
        <v>46</v>
      </c>
      <c r="H847" s="1" t="str">
        <f t="shared" si="40"/>
        <v>AZ</v>
      </c>
      <c r="I847" s="1">
        <f t="shared" si="41"/>
        <v>1</v>
      </c>
    </row>
    <row r="848" spans="1:9" x14ac:dyDescent="0.2">
      <c r="A848" s="1" t="s">
        <v>913</v>
      </c>
      <c r="B848" s="1">
        <v>118622.29</v>
      </c>
      <c r="C848" s="1" t="s">
        <v>27</v>
      </c>
      <c r="D848" s="1">
        <f t="shared" si="39"/>
        <v>55993.991594411818</v>
      </c>
      <c r="E848" s="1">
        <v>33.640817130000002</v>
      </c>
      <c r="F848" s="1">
        <v>-112.012731</v>
      </c>
      <c r="G848" s="1" t="s">
        <v>46</v>
      </c>
      <c r="H848" s="1" t="str">
        <f t="shared" si="40"/>
        <v>AZ</v>
      </c>
      <c r="I848" s="1">
        <f t="shared" si="41"/>
        <v>1</v>
      </c>
    </row>
    <row r="849" spans="1:9" x14ac:dyDescent="0.2">
      <c r="A849" s="1" t="s">
        <v>914</v>
      </c>
      <c r="B849" s="1">
        <v>127763.82</v>
      </c>
      <c r="C849" s="1" t="s">
        <v>27</v>
      </c>
      <c r="D849" s="1">
        <f t="shared" si="39"/>
        <v>55993.991594411818</v>
      </c>
      <c r="E849" s="1">
        <v>33.494132870000001</v>
      </c>
      <c r="F849" s="1">
        <v>-112.2382327</v>
      </c>
      <c r="G849" s="1" t="s">
        <v>46</v>
      </c>
      <c r="H849" s="1" t="str">
        <f t="shared" si="40"/>
        <v>AZ</v>
      </c>
      <c r="I849" s="1">
        <f t="shared" si="41"/>
        <v>1</v>
      </c>
    </row>
    <row r="850" spans="1:9" x14ac:dyDescent="0.2">
      <c r="A850" s="1" t="s">
        <v>915</v>
      </c>
      <c r="B850" s="1">
        <v>104362.97</v>
      </c>
      <c r="C850" s="1" t="s">
        <v>27</v>
      </c>
      <c r="D850" s="1">
        <f t="shared" si="39"/>
        <v>55993.991594411818</v>
      </c>
      <c r="E850" s="1">
        <v>33.538480020000002</v>
      </c>
      <c r="F850" s="1">
        <v>-112.0977772</v>
      </c>
      <c r="G850" s="1" t="s">
        <v>46</v>
      </c>
      <c r="H850" s="1" t="str">
        <f t="shared" si="40"/>
        <v>AZ</v>
      </c>
      <c r="I850" s="1">
        <f t="shared" si="41"/>
        <v>1</v>
      </c>
    </row>
    <row r="851" spans="1:9" x14ac:dyDescent="0.2">
      <c r="A851" s="1" t="s">
        <v>916</v>
      </c>
      <c r="B851" s="1">
        <v>119354.52</v>
      </c>
      <c r="C851" s="1" t="s">
        <v>27</v>
      </c>
      <c r="D851" s="1">
        <f t="shared" si="39"/>
        <v>55993.991594411818</v>
      </c>
      <c r="E851" s="1">
        <v>33.30499287</v>
      </c>
      <c r="F851" s="1">
        <v>-111.999368</v>
      </c>
      <c r="G851" s="1" t="s">
        <v>46</v>
      </c>
      <c r="H851" s="1" t="str">
        <f t="shared" si="40"/>
        <v>AZ</v>
      </c>
      <c r="I851" s="1">
        <f t="shared" si="41"/>
        <v>1</v>
      </c>
    </row>
    <row r="852" spans="1:9" x14ac:dyDescent="0.2">
      <c r="A852" s="1" t="s">
        <v>917</v>
      </c>
      <c r="B852" s="1">
        <v>85785.07</v>
      </c>
      <c r="C852" s="1" t="s">
        <v>27</v>
      </c>
      <c r="D852" s="1">
        <f t="shared" si="39"/>
        <v>55993.991594411818</v>
      </c>
      <c r="E852" s="1">
        <v>33.581742869999999</v>
      </c>
      <c r="F852" s="1">
        <v>-112.13543</v>
      </c>
      <c r="G852" s="1" t="s">
        <v>46</v>
      </c>
      <c r="H852" s="1" t="str">
        <f t="shared" si="40"/>
        <v>AZ</v>
      </c>
      <c r="I852" s="1">
        <f t="shared" si="41"/>
        <v>1</v>
      </c>
    </row>
    <row r="853" spans="1:9" x14ac:dyDescent="0.2">
      <c r="A853" s="1" t="s">
        <v>918</v>
      </c>
      <c r="B853" s="1">
        <v>184809.66</v>
      </c>
      <c r="C853" s="1" t="s">
        <v>27</v>
      </c>
      <c r="D853" s="1">
        <f t="shared" si="39"/>
        <v>55993.991594411818</v>
      </c>
      <c r="E853" s="1">
        <v>33.761740000000003</v>
      </c>
      <c r="F853" s="1">
        <v>-112.11083000000001</v>
      </c>
      <c r="G853" s="1" t="s">
        <v>46</v>
      </c>
      <c r="H853" s="1" t="str">
        <f t="shared" si="40"/>
        <v>AZ</v>
      </c>
      <c r="I853" s="1">
        <f t="shared" si="41"/>
        <v>1</v>
      </c>
    </row>
    <row r="854" spans="1:9" x14ac:dyDescent="0.2">
      <c r="A854" s="1" t="s">
        <v>919</v>
      </c>
      <c r="B854" s="1">
        <v>161568.15</v>
      </c>
      <c r="C854" s="1" t="s">
        <v>27</v>
      </c>
      <c r="D854" s="1">
        <f t="shared" si="39"/>
        <v>55993.991594411818</v>
      </c>
      <c r="E854" s="1">
        <v>33.640142869999998</v>
      </c>
      <c r="F854" s="1">
        <v>-112.05425</v>
      </c>
      <c r="G854" s="1" t="s">
        <v>46</v>
      </c>
      <c r="H854" s="1" t="str">
        <f t="shared" si="40"/>
        <v>AZ</v>
      </c>
      <c r="I854" s="1">
        <f t="shared" si="41"/>
        <v>1</v>
      </c>
    </row>
    <row r="855" spans="1:9" x14ac:dyDescent="0.2">
      <c r="A855" s="1" t="s">
        <v>920</v>
      </c>
      <c r="B855" s="1">
        <v>78806.16</v>
      </c>
      <c r="C855" s="1" t="s">
        <v>27</v>
      </c>
      <c r="D855" s="1">
        <f t="shared" si="39"/>
        <v>55993.991594411818</v>
      </c>
      <c r="E855" s="1">
        <v>33.843196839999997</v>
      </c>
      <c r="F855" s="1">
        <v>-112.1348041</v>
      </c>
      <c r="G855" s="1" t="s">
        <v>46</v>
      </c>
      <c r="H855" s="1" t="str">
        <f t="shared" si="40"/>
        <v>AZ</v>
      </c>
      <c r="I855" s="1">
        <f t="shared" si="41"/>
        <v>1</v>
      </c>
    </row>
    <row r="856" spans="1:9" x14ac:dyDescent="0.2">
      <c r="A856" s="1" t="s">
        <v>921</v>
      </c>
      <c r="B856" s="1">
        <v>167403.79</v>
      </c>
      <c r="C856" s="1" t="s">
        <v>27</v>
      </c>
      <c r="D856" s="1">
        <f t="shared" si="39"/>
        <v>55993.991594411818</v>
      </c>
      <c r="E856" s="1">
        <v>33.424076229999997</v>
      </c>
      <c r="F856" s="1">
        <v>-112.23875409999999</v>
      </c>
      <c r="G856" s="1" t="s">
        <v>46</v>
      </c>
      <c r="H856" s="1" t="str">
        <f t="shared" si="40"/>
        <v>AZ</v>
      </c>
      <c r="I856" s="1">
        <f t="shared" si="41"/>
        <v>1</v>
      </c>
    </row>
    <row r="857" spans="1:9" x14ac:dyDescent="0.2">
      <c r="A857" s="1" t="s">
        <v>922</v>
      </c>
      <c r="B857" s="1">
        <v>105682.85</v>
      </c>
      <c r="C857" s="1" t="s">
        <v>27</v>
      </c>
      <c r="D857" s="1">
        <f t="shared" si="39"/>
        <v>55993.991594411818</v>
      </c>
      <c r="E857" s="1">
        <v>33.377977129999998</v>
      </c>
      <c r="F857" s="1">
        <v>-112.03161</v>
      </c>
      <c r="G857" s="1" t="s">
        <v>46</v>
      </c>
      <c r="H857" s="1" t="str">
        <f t="shared" si="40"/>
        <v>AZ</v>
      </c>
      <c r="I857" s="1">
        <f t="shared" si="41"/>
        <v>1</v>
      </c>
    </row>
    <row r="858" spans="1:9" x14ac:dyDescent="0.2">
      <c r="A858" s="1" t="s">
        <v>923</v>
      </c>
      <c r="B858" s="1">
        <v>139741.94</v>
      </c>
      <c r="C858" s="1" t="s">
        <v>27</v>
      </c>
      <c r="D858" s="1">
        <f t="shared" si="39"/>
        <v>55993.991594411818</v>
      </c>
      <c r="E858" s="1">
        <v>33.44727657</v>
      </c>
      <c r="F858" s="1">
        <v>-112.0725351</v>
      </c>
      <c r="G858" s="1" t="s">
        <v>46</v>
      </c>
      <c r="H858" s="1" t="str">
        <f t="shared" si="40"/>
        <v>AZ</v>
      </c>
      <c r="I858" s="1">
        <f t="shared" si="41"/>
        <v>1</v>
      </c>
    </row>
    <row r="859" spans="1:9" x14ac:dyDescent="0.2">
      <c r="A859" s="1" t="s">
        <v>924</v>
      </c>
      <c r="B859" s="1">
        <v>178546.65</v>
      </c>
      <c r="C859" s="1" t="s">
        <v>27</v>
      </c>
      <c r="D859" s="1">
        <f t="shared" si="39"/>
        <v>55993.991594411818</v>
      </c>
      <c r="E859" s="1">
        <v>33.723233270000001</v>
      </c>
      <c r="F859" s="1">
        <v>-112.1146026</v>
      </c>
      <c r="G859" s="1" t="s">
        <v>46</v>
      </c>
      <c r="H859" s="1" t="str">
        <f t="shared" si="40"/>
        <v>AZ</v>
      </c>
      <c r="I859" s="1">
        <f t="shared" si="41"/>
        <v>1</v>
      </c>
    </row>
    <row r="860" spans="1:9" x14ac:dyDescent="0.2">
      <c r="A860" s="1" t="s">
        <v>925</v>
      </c>
      <c r="B860" s="1">
        <v>130892.12</v>
      </c>
      <c r="C860" s="1" t="s">
        <v>27</v>
      </c>
      <c r="D860" s="1">
        <f t="shared" si="39"/>
        <v>55993.991594411818</v>
      </c>
      <c r="E860" s="1">
        <v>33.46609213</v>
      </c>
      <c r="F860" s="1">
        <v>-112.15005619999999</v>
      </c>
      <c r="G860" s="1" t="s">
        <v>46</v>
      </c>
      <c r="H860" s="1" t="str">
        <f t="shared" si="40"/>
        <v>AZ</v>
      </c>
      <c r="I860" s="1">
        <f t="shared" si="41"/>
        <v>1</v>
      </c>
    </row>
    <row r="861" spans="1:9" x14ac:dyDescent="0.2">
      <c r="A861" s="1" t="s">
        <v>926</v>
      </c>
      <c r="B861" s="1">
        <v>67790.100000000006</v>
      </c>
      <c r="C861" s="1" t="s">
        <v>27</v>
      </c>
      <c r="D861" s="1">
        <f t="shared" si="39"/>
        <v>55993.991594411818</v>
      </c>
      <c r="E861" s="1">
        <v>33.712682870000002</v>
      </c>
      <c r="F861" s="1">
        <v>-112.111695</v>
      </c>
      <c r="G861" s="1" t="s">
        <v>46</v>
      </c>
      <c r="H861" s="1" t="str">
        <f t="shared" si="40"/>
        <v>AZ</v>
      </c>
      <c r="I861" s="1">
        <f t="shared" si="41"/>
        <v>1</v>
      </c>
    </row>
    <row r="862" spans="1:9" x14ac:dyDescent="0.2">
      <c r="A862" s="1" t="s">
        <v>927</v>
      </c>
      <c r="B862" s="1">
        <v>120532.21</v>
      </c>
      <c r="C862" s="1" t="s">
        <v>27</v>
      </c>
      <c r="D862" s="1">
        <f t="shared" si="39"/>
        <v>55993.991594411818</v>
      </c>
      <c r="E862" s="1">
        <v>33.677403120000001</v>
      </c>
      <c r="F862" s="1">
        <v>-111.97711889999999</v>
      </c>
      <c r="G862" s="1" t="s">
        <v>46</v>
      </c>
      <c r="H862" s="1" t="str">
        <f t="shared" si="40"/>
        <v>AZ</v>
      </c>
      <c r="I862" s="1">
        <f t="shared" si="41"/>
        <v>1</v>
      </c>
    </row>
    <row r="863" spans="1:9" x14ac:dyDescent="0.2">
      <c r="A863" s="1" t="s">
        <v>928</v>
      </c>
      <c r="B863" s="1">
        <v>62896.66</v>
      </c>
      <c r="C863" s="1" t="s">
        <v>27</v>
      </c>
      <c r="D863" s="1">
        <f t="shared" si="39"/>
        <v>55993.991594411818</v>
      </c>
      <c r="E863" s="1">
        <v>33.595567459999998</v>
      </c>
      <c r="F863" s="1">
        <v>-111.9811924</v>
      </c>
      <c r="G863" s="1" t="s">
        <v>46</v>
      </c>
      <c r="H863" s="1" t="str">
        <f t="shared" si="40"/>
        <v>AZ</v>
      </c>
      <c r="I863" s="1">
        <f t="shared" si="41"/>
        <v>1</v>
      </c>
    </row>
    <row r="864" spans="1:9" x14ac:dyDescent="0.2">
      <c r="A864" s="1" t="s">
        <v>929</v>
      </c>
      <c r="B864" s="1">
        <v>38388.050000000003</v>
      </c>
      <c r="C864" s="1" t="s">
        <v>27</v>
      </c>
      <c r="D864" s="1">
        <f t="shared" si="39"/>
        <v>55993.991594411818</v>
      </c>
      <c r="E864" s="1">
        <v>33.505814190000002</v>
      </c>
      <c r="F864" s="1">
        <v>-112.0396063</v>
      </c>
      <c r="G864" s="1" t="s">
        <v>46</v>
      </c>
      <c r="H864" s="1" t="str">
        <f t="shared" si="40"/>
        <v>AZ</v>
      </c>
      <c r="I864" s="1">
        <f t="shared" si="41"/>
        <v>0</v>
      </c>
    </row>
    <row r="865" spans="1:9" x14ac:dyDescent="0.2">
      <c r="A865" s="1" t="s">
        <v>930</v>
      </c>
      <c r="B865" s="1">
        <v>52727.701979999998</v>
      </c>
      <c r="C865" s="1" t="s">
        <v>27</v>
      </c>
      <c r="D865" s="1">
        <f t="shared" si="39"/>
        <v>55993.991594411818</v>
      </c>
      <c r="E865" s="1">
        <v>33.460247129999999</v>
      </c>
      <c r="F865" s="1">
        <v>-112.20350000000001</v>
      </c>
      <c r="G865" s="1" t="s">
        <v>46</v>
      </c>
      <c r="H865" s="1" t="str">
        <f t="shared" si="40"/>
        <v>AZ</v>
      </c>
      <c r="I865" s="1">
        <f t="shared" si="41"/>
        <v>0</v>
      </c>
    </row>
    <row r="866" spans="1:9" x14ac:dyDescent="0.2">
      <c r="A866" s="1" t="s">
        <v>931</v>
      </c>
      <c r="B866" s="1">
        <v>38564.81</v>
      </c>
      <c r="C866" s="1" t="s">
        <v>27</v>
      </c>
      <c r="D866" s="1">
        <f t="shared" si="39"/>
        <v>55993.991594411818</v>
      </c>
      <c r="E866" s="1">
        <v>33.30497287</v>
      </c>
      <c r="F866" s="1">
        <v>-111.9967</v>
      </c>
      <c r="G866" s="1" t="s">
        <v>46</v>
      </c>
      <c r="H866" s="1" t="str">
        <f t="shared" si="40"/>
        <v>AZ</v>
      </c>
      <c r="I866" s="1">
        <f t="shared" si="41"/>
        <v>0</v>
      </c>
    </row>
    <row r="867" spans="1:9" x14ac:dyDescent="0.2">
      <c r="A867" s="1" t="s">
        <v>932</v>
      </c>
      <c r="B867" s="1">
        <v>62887.11</v>
      </c>
      <c r="C867" s="1" t="s">
        <v>27</v>
      </c>
      <c r="D867" s="1">
        <f t="shared" si="39"/>
        <v>55993.991594411818</v>
      </c>
      <c r="E867" s="1">
        <v>33.538407130000003</v>
      </c>
      <c r="F867" s="1">
        <v>-112.06263250000001</v>
      </c>
      <c r="G867" s="1" t="s">
        <v>46</v>
      </c>
      <c r="H867" s="1" t="str">
        <f t="shared" si="40"/>
        <v>AZ</v>
      </c>
      <c r="I867" s="1">
        <f t="shared" si="41"/>
        <v>1</v>
      </c>
    </row>
    <row r="868" spans="1:9" x14ac:dyDescent="0.2">
      <c r="A868" s="1" t="s">
        <v>933</v>
      </c>
      <c r="B868" s="1">
        <v>67470.509999999995</v>
      </c>
      <c r="C868" s="1" t="s">
        <v>27</v>
      </c>
      <c r="D868" s="1">
        <f t="shared" si="39"/>
        <v>55993.991594411818</v>
      </c>
      <c r="E868" s="1">
        <v>33.389626100000001</v>
      </c>
      <c r="F868" s="1">
        <v>-112.04746919999999</v>
      </c>
      <c r="G868" s="1" t="s">
        <v>46</v>
      </c>
      <c r="H868" s="1" t="str">
        <f t="shared" si="40"/>
        <v>AZ</v>
      </c>
      <c r="I868" s="1">
        <f t="shared" si="41"/>
        <v>1</v>
      </c>
    </row>
    <row r="869" spans="1:9" x14ac:dyDescent="0.2">
      <c r="A869" s="1" t="s">
        <v>934</v>
      </c>
      <c r="B869" s="1">
        <v>70783.78</v>
      </c>
      <c r="C869" s="1" t="s">
        <v>27</v>
      </c>
      <c r="D869" s="1">
        <f t="shared" si="39"/>
        <v>55993.991594411818</v>
      </c>
      <c r="E869" s="1">
        <v>33.507719999999999</v>
      </c>
      <c r="F869" s="1">
        <v>-112.2375255</v>
      </c>
      <c r="G869" s="1" t="s">
        <v>46</v>
      </c>
      <c r="H869" s="1" t="str">
        <f t="shared" si="40"/>
        <v>AZ</v>
      </c>
      <c r="I869" s="1">
        <f t="shared" si="41"/>
        <v>1</v>
      </c>
    </row>
    <row r="870" spans="1:9" x14ac:dyDescent="0.2">
      <c r="A870" s="1" t="s">
        <v>935</v>
      </c>
      <c r="B870" s="1">
        <v>114282.38</v>
      </c>
      <c r="C870" s="1" t="s">
        <v>27</v>
      </c>
      <c r="D870" s="1">
        <f t="shared" si="39"/>
        <v>55993.991594411818</v>
      </c>
      <c r="E870" s="1">
        <v>33.487727100000001</v>
      </c>
      <c r="F870" s="1">
        <v>-112.0816334</v>
      </c>
      <c r="G870" s="1" t="s">
        <v>46</v>
      </c>
      <c r="H870" s="1" t="str">
        <f t="shared" si="40"/>
        <v>AZ</v>
      </c>
      <c r="I870" s="1">
        <f t="shared" si="41"/>
        <v>1</v>
      </c>
    </row>
    <row r="871" spans="1:9" x14ac:dyDescent="0.2">
      <c r="A871" s="1" t="s">
        <v>936</v>
      </c>
      <c r="B871" s="1">
        <v>54637.55</v>
      </c>
      <c r="C871" s="1" t="s">
        <v>27</v>
      </c>
      <c r="D871" s="1">
        <f t="shared" si="39"/>
        <v>55993.991594411818</v>
      </c>
      <c r="E871" s="1">
        <v>33.609888980000001</v>
      </c>
      <c r="F871" s="1">
        <v>-112.0655491</v>
      </c>
      <c r="G871" s="1" t="s">
        <v>46</v>
      </c>
      <c r="H871" s="1" t="str">
        <f t="shared" si="40"/>
        <v>AZ</v>
      </c>
      <c r="I871" s="1">
        <f t="shared" si="41"/>
        <v>0</v>
      </c>
    </row>
    <row r="872" spans="1:9" x14ac:dyDescent="0.2">
      <c r="A872" s="1" t="s">
        <v>937</v>
      </c>
      <c r="B872" s="1">
        <v>43545.27</v>
      </c>
      <c r="C872" s="1" t="s">
        <v>27</v>
      </c>
      <c r="D872" s="1">
        <f t="shared" si="39"/>
        <v>55993.991594411818</v>
      </c>
      <c r="E872" s="1">
        <v>33.306009520000003</v>
      </c>
      <c r="F872" s="1">
        <v>-112.05466610000001</v>
      </c>
      <c r="G872" s="1" t="s">
        <v>46</v>
      </c>
      <c r="H872" s="1" t="str">
        <f t="shared" si="40"/>
        <v>AZ</v>
      </c>
      <c r="I872" s="1">
        <f t="shared" si="41"/>
        <v>0</v>
      </c>
    </row>
    <row r="873" spans="1:9" x14ac:dyDescent="0.2">
      <c r="A873" s="1" t="s">
        <v>938</v>
      </c>
      <c r="B873" s="1">
        <v>70476.61</v>
      </c>
      <c r="C873" s="1" t="s">
        <v>27</v>
      </c>
      <c r="D873" s="1">
        <f t="shared" si="39"/>
        <v>55993.991594411818</v>
      </c>
      <c r="E873" s="1">
        <v>33.510177050000003</v>
      </c>
      <c r="F873" s="1">
        <v>-112.0145156</v>
      </c>
      <c r="G873" s="1" t="s">
        <v>46</v>
      </c>
      <c r="H873" s="1" t="str">
        <f t="shared" si="40"/>
        <v>AZ</v>
      </c>
      <c r="I873" s="1">
        <f t="shared" si="41"/>
        <v>1</v>
      </c>
    </row>
    <row r="874" spans="1:9" x14ac:dyDescent="0.2">
      <c r="A874" s="1" t="s">
        <v>939</v>
      </c>
      <c r="B874" s="1">
        <v>49554.83</v>
      </c>
      <c r="C874" s="1" t="s">
        <v>27</v>
      </c>
      <c r="D874" s="1">
        <f t="shared" si="39"/>
        <v>55993.991594411818</v>
      </c>
      <c r="E874" s="1">
        <v>33.625902869999997</v>
      </c>
      <c r="F874" s="1">
        <v>-111.97902999999999</v>
      </c>
      <c r="G874" s="1" t="s">
        <v>46</v>
      </c>
      <c r="H874" s="1" t="str">
        <f t="shared" si="40"/>
        <v>AZ</v>
      </c>
      <c r="I874" s="1">
        <f t="shared" si="41"/>
        <v>0</v>
      </c>
    </row>
    <row r="875" spans="1:9" x14ac:dyDescent="0.2">
      <c r="A875" s="1" t="s">
        <v>940</v>
      </c>
      <c r="B875" s="1">
        <v>47250.41</v>
      </c>
      <c r="C875" s="1" t="s">
        <v>27</v>
      </c>
      <c r="D875" s="1">
        <f t="shared" si="39"/>
        <v>55993.991594411818</v>
      </c>
      <c r="E875" s="1">
        <v>33.639817129999997</v>
      </c>
      <c r="F875" s="1">
        <v>-112.1336143</v>
      </c>
      <c r="G875" s="1" t="s">
        <v>46</v>
      </c>
      <c r="H875" s="1" t="str">
        <f t="shared" si="40"/>
        <v>AZ</v>
      </c>
      <c r="I875" s="1">
        <f t="shared" si="41"/>
        <v>0</v>
      </c>
    </row>
    <row r="876" spans="1:9" x14ac:dyDescent="0.2">
      <c r="A876" s="1" t="s">
        <v>941</v>
      </c>
      <c r="B876" s="1">
        <v>93466.71</v>
      </c>
      <c r="C876" s="1" t="s">
        <v>27</v>
      </c>
      <c r="D876" s="1">
        <f t="shared" si="39"/>
        <v>55993.991594411818</v>
      </c>
      <c r="E876" s="1">
        <v>33.465867129999999</v>
      </c>
      <c r="F876" s="1">
        <v>-112.0673864</v>
      </c>
      <c r="G876" s="1" t="s">
        <v>46</v>
      </c>
      <c r="H876" s="1" t="str">
        <f t="shared" si="40"/>
        <v>AZ</v>
      </c>
      <c r="I876" s="1">
        <f t="shared" si="41"/>
        <v>1</v>
      </c>
    </row>
    <row r="877" spans="1:9" x14ac:dyDescent="0.2">
      <c r="A877" s="1" t="s">
        <v>942</v>
      </c>
      <c r="B877" s="1">
        <v>68217.86</v>
      </c>
      <c r="C877" s="1" t="s">
        <v>27</v>
      </c>
      <c r="D877" s="1">
        <f t="shared" si="39"/>
        <v>55993.991594411818</v>
      </c>
      <c r="E877" s="1">
        <v>33.49476713</v>
      </c>
      <c r="F877" s="1">
        <v>-111.9794409</v>
      </c>
      <c r="G877" s="1" t="s">
        <v>46</v>
      </c>
      <c r="H877" s="1" t="str">
        <f t="shared" si="40"/>
        <v>AZ</v>
      </c>
      <c r="I877" s="1">
        <f t="shared" si="41"/>
        <v>1</v>
      </c>
    </row>
    <row r="878" spans="1:9" x14ac:dyDescent="0.2">
      <c r="A878" s="1" t="s">
        <v>943</v>
      </c>
      <c r="B878" s="1">
        <v>48529.54</v>
      </c>
      <c r="C878" s="1" t="s">
        <v>27</v>
      </c>
      <c r="D878" s="1">
        <f t="shared" si="39"/>
        <v>55993.991594411818</v>
      </c>
      <c r="E878" s="1">
        <v>33.640507130000003</v>
      </c>
      <c r="F878" s="1">
        <v>-112.06717</v>
      </c>
      <c r="G878" s="1" t="s">
        <v>46</v>
      </c>
      <c r="H878" s="1" t="str">
        <f t="shared" si="40"/>
        <v>AZ</v>
      </c>
      <c r="I878" s="1">
        <f t="shared" si="41"/>
        <v>0</v>
      </c>
    </row>
    <row r="879" spans="1:9" x14ac:dyDescent="0.2">
      <c r="A879" s="1" t="s">
        <v>944</v>
      </c>
      <c r="B879" s="1">
        <v>46203.91</v>
      </c>
      <c r="C879" s="1" t="s">
        <v>27</v>
      </c>
      <c r="D879" s="1">
        <f t="shared" si="39"/>
        <v>55993.991594411818</v>
      </c>
      <c r="E879" s="1">
        <v>33.348746069999997</v>
      </c>
      <c r="F879" s="1">
        <v>-111.9799543</v>
      </c>
      <c r="G879" s="1" t="s">
        <v>46</v>
      </c>
      <c r="H879" s="1" t="str">
        <f t="shared" si="40"/>
        <v>AZ</v>
      </c>
      <c r="I879" s="1">
        <f t="shared" si="41"/>
        <v>0</v>
      </c>
    </row>
    <row r="880" spans="1:9" x14ac:dyDescent="0.2">
      <c r="A880" s="1" t="s">
        <v>945</v>
      </c>
      <c r="B880" s="1">
        <v>87358.35</v>
      </c>
      <c r="C880" s="1" t="s">
        <v>27</v>
      </c>
      <c r="D880" s="1">
        <f t="shared" si="39"/>
        <v>55993.991594411818</v>
      </c>
      <c r="E880" s="1">
        <v>33.637824000000002</v>
      </c>
      <c r="F880" s="1">
        <v>-112.0657547</v>
      </c>
      <c r="G880" s="1" t="s">
        <v>46</v>
      </c>
      <c r="H880" s="1" t="str">
        <f t="shared" si="40"/>
        <v>AZ</v>
      </c>
      <c r="I880" s="1">
        <f t="shared" si="41"/>
        <v>1</v>
      </c>
    </row>
    <row r="881" spans="1:9" x14ac:dyDescent="0.2">
      <c r="A881" s="1" t="s">
        <v>946</v>
      </c>
      <c r="B881" s="1">
        <v>134926.96</v>
      </c>
      <c r="C881" s="1" t="s">
        <v>27</v>
      </c>
      <c r="D881" s="1">
        <f t="shared" si="39"/>
        <v>55993.991594411818</v>
      </c>
      <c r="E881" s="1">
        <v>33.520878609999997</v>
      </c>
      <c r="F881" s="1">
        <v>-112.0994311</v>
      </c>
      <c r="G881" s="1" t="s">
        <v>46</v>
      </c>
      <c r="H881" s="1" t="str">
        <f t="shared" si="40"/>
        <v>AZ</v>
      </c>
      <c r="I881" s="1">
        <f t="shared" si="41"/>
        <v>1</v>
      </c>
    </row>
    <row r="882" spans="1:9" x14ac:dyDescent="0.2">
      <c r="A882" s="1" t="s">
        <v>947</v>
      </c>
      <c r="B882" s="1">
        <v>76174.67</v>
      </c>
      <c r="C882" s="1" t="s">
        <v>27</v>
      </c>
      <c r="D882" s="1">
        <f t="shared" si="39"/>
        <v>55993.991594411818</v>
      </c>
      <c r="E882" s="1">
        <v>33.509092870000003</v>
      </c>
      <c r="F882" s="1">
        <v>-112.04627000000001</v>
      </c>
      <c r="G882" s="1" t="s">
        <v>46</v>
      </c>
      <c r="H882" s="1" t="str">
        <f t="shared" si="40"/>
        <v>AZ</v>
      </c>
      <c r="I882" s="1">
        <f t="shared" si="41"/>
        <v>1</v>
      </c>
    </row>
    <row r="883" spans="1:9" x14ac:dyDescent="0.2">
      <c r="A883" s="1" t="s">
        <v>948</v>
      </c>
      <c r="B883" s="1">
        <v>58430.74</v>
      </c>
      <c r="C883" s="1" t="s">
        <v>27</v>
      </c>
      <c r="D883" s="1">
        <f t="shared" si="39"/>
        <v>55993.991594411818</v>
      </c>
      <c r="E883" s="1">
        <v>33.476407930000001</v>
      </c>
      <c r="F883" s="1">
        <v>-112.21852509999999</v>
      </c>
      <c r="G883" s="1" t="s">
        <v>46</v>
      </c>
      <c r="H883" s="1" t="str">
        <f t="shared" si="40"/>
        <v>AZ</v>
      </c>
      <c r="I883" s="1">
        <f t="shared" si="41"/>
        <v>1</v>
      </c>
    </row>
    <row r="884" spans="1:9" x14ac:dyDescent="0.2">
      <c r="A884" s="1" t="s">
        <v>949</v>
      </c>
      <c r="B884" s="1">
        <v>63211.71</v>
      </c>
      <c r="C884" s="1" t="s">
        <v>27</v>
      </c>
      <c r="D884" s="1">
        <f t="shared" si="39"/>
        <v>55993.991594411818</v>
      </c>
      <c r="E884" s="1">
        <v>33.667840069999997</v>
      </c>
      <c r="F884" s="1">
        <v>-112.1197931</v>
      </c>
      <c r="G884" s="1" t="s">
        <v>46</v>
      </c>
      <c r="H884" s="1" t="str">
        <f t="shared" si="40"/>
        <v>AZ</v>
      </c>
      <c r="I884" s="1">
        <f t="shared" si="41"/>
        <v>1</v>
      </c>
    </row>
    <row r="885" spans="1:9" x14ac:dyDescent="0.2">
      <c r="A885" s="1" t="s">
        <v>950</v>
      </c>
      <c r="B885" s="1">
        <v>70889.09</v>
      </c>
      <c r="C885" s="1" t="s">
        <v>27</v>
      </c>
      <c r="D885" s="1">
        <f t="shared" si="39"/>
        <v>55993.991594411818</v>
      </c>
      <c r="E885" s="1">
        <v>33.677403120000001</v>
      </c>
      <c r="F885" s="1">
        <v>-111.97711889999999</v>
      </c>
      <c r="G885" s="1" t="s">
        <v>46</v>
      </c>
      <c r="H885" s="1" t="str">
        <f t="shared" si="40"/>
        <v>AZ</v>
      </c>
      <c r="I885" s="1">
        <f t="shared" si="41"/>
        <v>1</v>
      </c>
    </row>
    <row r="886" spans="1:9" x14ac:dyDescent="0.2">
      <c r="A886" s="1" t="s">
        <v>951</v>
      </c>
      <c r="B886" s="1">
        <v>61799.09</v>
      </c>
      <c r="C886" s="1" t="s">
        <v>27</v>
      </c>
      <c r="D886" s="1">
        <f t="shared" si="39"/>
        <v>55993.991594411818</v>
      </c>
      <c r="E886" s="1">
        <v>33.377977129999998</v>
      </c>
      <c r="F886" s="1">
        <v>-112.0338733</v>
      </c>
      <c r="G886" s="1" t="s">
        <v>46</v>
      </c>
      <c r="H886" s="1" t="str">
        <f t="shared" si="40"/>
        <v>AZ</v>
      </c>
      <c r="I886" s="1">
        <f t="shared" si="41"/>
        <v>1</v>
      </c>
    </row>
    <row r="887" spans="1:9" x14ac:dyDescent="0.2">
      <c r="A887" s="1" t="s">
        <v>952</v>
      </c>
      <c r="B887" s="1">
        <v>64165.78</v>
      </c>
      <c r="C887" s="1" t="s">
        <v>27</v>
      </c>
      <c r="D887" s="1">
        <f t="shared" si="39"/>
        <v>55993.991594411818</v>
      </c>
      <c r="E887" s="1">
        <v>33.625790000000002</v>
      </c>
      <c r="F887" s="1">
        <v>-112.00458</v>
      </c>
      <c r="G887" s="1" t="s">
        <v>46</v>
      </c>
      <c r="H887" s="1" t="str">
        <f t="shared" si="40"/>
        <v>AZ</v>
      </c>
      <c r="I887" s="1">
        <f t="shared" si="41"/>
        <v>1</v>
      </c>
    </row>
    <row r="888" spans="1:9" x14ac:dyDescent="0.2">
      <c r="A888" s="1" t="s">
        <v>953</v>
      </c>
      <c r="B888" s="1">
        <v>82243.17</v>
      </c>
      <c r="C888" s="1" t="s">
        <v>27</v>
      </c>
      <c r="D888" s="1">
        <f t="shared" si="39"/>
        <v>55993.991594411818</v>
      </c>
      <c r="E888" s="1">
        <v>33.320057130000002</v>
      </c>
      <c r="F888" s="1">
        <v>-111.9812625</v>
      </c>
      <c r="G888" s="1" t="s">
        <v>46</v>
      </c>
      <c r="H888" s="1" t="str">
        <f t="shared" si="40"/>
        <v>AZ</v>
      </c>
      <c r="I888" s="1">
        <f t="shared" si="41"/>
        <v>1</v>
      </c>
    </row>
    <row r="889" spans="1:9" x14ac:dyDescent="0.2">
      <c r="A889" s="1" t="s">
        <v>954</v>
      </c>
      <c r="B889" s="1">
        <v>74941.350000000006</v>
      </c>
      <c r="C889" s="1" t="s">
        <v>27</v>
      </c>
      <c r="D889" s="1">
        <f t="shared" si="39"/>
        <v>55993.991594411818</v>
      </c>
      <c r="E889" s="1">
        <v>33.479995520000003</v>
      </c>
      <c r="F889" s="1">
        <v>-111.9850122</v>
      </c>
      <c r="G889" s="1" t="s">
        <v>46</v>
      </c>
      <c r="H889" s="1" t="str">
        <f t="shared" si="40"/>
        <v>AZ</v>
      </c>
      <c r="I889" s="1">
        <f t="shared" si="41"/>
        <v>1</v>
      </c>
    </row>
    <row r="890" spans="1:9" x14ac:dyDescent="0.2">
      <c r="A890" s="1" t="s">
        <v>955</v>
      </c>
      <c r="B890" s="1">
        <v>23728.98</v>
      </c>
      <c r="C890" s="1" t="s">
        <v>27</v>
      </c>
      <c r="D890" s="1">
        <f t="shared" si="39"/>
        <v>55993.991594411818</v>
      </c>
      <c r="E890" s="1">
        <v>33.39228713</v>
      </c>
      <c r="F890" s="1">
        <v>-112.1323388</v>
      </c>
      <c r="G890" s="1" t="s">
        <v>46</v>
      </c>
      <c r="H890" s="1" t="str">
        <f t="shared" si="40"/>
        <v>AZ</v>
      </c>
      <c r="I890" s="1">
        <f t="shared" si="41"/>
        <v>0</v>
      </c>
    </row>
    <row r="891" spans="1:9" x14ac:dyDescent="0.2">
      <c r="A891" s="1" t="s">
        <v>956</v>
      </c>
      <c r="B891" s="1">
        <v>14218.21</v>
      </c>
      <c r="C891" s="1" t="s">
        <v>27</v>
      </c>
      <c r="D891" s="1">
        <f t="shared" si="39"/>
        <v>55993.991594411818</v>
      </c>
      <c r="E891" s="1">
        <v>33.494732880000001</v>
      </c>
      <c r="F891" s="1">
        <v>-112.1689418</v>
      </c>
      <c r="G891" s="1" t="s">
        <v>46</v>
      </c>
      <c r="H891" s="1" t="str">
        <f t="shared" si="40"/>
        <v>AZ</v>
      </c>
      <c r="I891" s="1">
        <f t="shared" si="41"/>
        <v>0</v>
      </c>
    </row>
    <row r="892" spans="1:9" x14ac:dyDescent="0.2">
      <c r="A892" s="1" t="s">
        <v>957</v>
      </c>
      <c r="B892" s="1">
        <v>10073.52</v>
      </c>
      <c r="C892" s="1" t="s">
        <v>27</v>
      </c>
      <c r="D892" s="1">
        <f t="shared" si="39"/>
        <v>55993.991594411818</v>
      </c>
      <c r="E892" s="1">
        <v>33.626706839999997</v>
      </c>
      <c r="F892" s="1">
        <v>-111.97805959999999</v>
      </c>
      <c r="G892" s="1" t="s">
        <v>46</v>
      </c>
      <c r="H892" s="1" t="str">
        <f t="shared" si="40"/>
        <v>AZ</v>
      </c>
      <c r="I892" s="1">
        <f t="shared" si="41"/>
        <v>0</v>
      </c>
    </row>
    <row r="893" spans="1:9" x14ac:dyDescent="0.2">
      <c r="A893" s="1" t="s">
        <v>958</v>
      </c>
      <c r="B893" s="1">
        <v>10846.19</v>
      </c>
      <c r="C893" s="1" t="s">
        <v>27</v>
      </c>
      <c r="D893" s="1">
        <f t="shared" si="39"/>
        <v>55993.991594411818</v>
      </c>
      <c r="E893" s="1">
        <v>33.348759680000001</v>
      </c>
      <c r="F893" s="1">
        <v>-111.97876359999999</v>
      </c>
      <c r="G893" s="1" t="s">
        <v>46</v>
      </c>
      <c r="H893" s="1" t="str">
        <f t="shared" si="40"/>
        <v>AZ</v>
      </c>
      <c r="I893" s="1">
        <f t="shared" si="41"/>
        <v>0</v>
      </c>
    </row>
    <row r="894" spans="1:9" x14ac:dyDescent="0.2">
      <c r="A894" s="1" t="s">
        <v>959</v>
      </c>
      <c r="B894" s="1">
        <v>17132.080000000002</v>
      </c>
      <c r="C894" s="1" t="s">
        <v>27</v>
      </c>
      <c r="D894" s="1">
        <f t="shared" si="39"/>
        <v>55993.991594411818</v>
      </c>
      <c r="E894" s="1">
        <v>33.582532819999997</v>
      </c>
      <c r="F894" s="1">
        <v>-112.0132462</v>
      </c>
      <c r="G894" s="1" t="s">
        <v>46</v>
      </c>
      <c r="H894" s="1" t="str">
        <f t="shared" si="40"/>
        <v>AZ</v>
      </c>
      <c r="I894" s="1">
        <f t="shared" si="41"/>
        <v>0</v>
      </c>
    </row>
    <row r="895" spans="1:9" x14ac:dyDescent="0.2">
      <c r="A895" s="1" t="s">
        <v>960</v>
      </c>
      <c r="C895" s="1" t="s">
        <v>27</v>
      </c>
      <c r="D895" s="1">
        <f t="shared" si="39"/>
        <v>55993.991594411818</v>
      </c>
      <c r="E895" s="1">
        <v>33.611395379999998</v>
      </c>
      <c r="F895" s="1">
        <v>-112.0147444</v>
      </c>
      <c r="G895" s="1" t="s">
        <v>46</v>
      </c>
      <c r="H895" s="1" t="str">
        <f t="shared" si="40"/>
        <v>AZ</v>
      </c>
      <c r="I895" s="1">
        <f t="shared" si="41"/>
        <v>0</v>
      </c>
    </row>
    <row r="896" spans="1:9" x14ac:dyDescent="0.2">
      <c r="A896" s="1" t="s">
        <v>961</v>
      </c>
      <c r="B896" s="1">
        <v>35328.86</v>
      </c>
      <c r="C896" s="1" t="s">
        <v>27</v>
      </c>
      <c r="D896" s="1">
        <f t="shared" si="39"/>
        <v>55993.991594411818</v>
      </c>
      <c r="E896" s="1">
        <v>33.538924049999999</v>
      </c>
      <c r="F896" s="1">
        <v>-112.0476338</v>
      </c>
      <c r="G896" s="1" t="s">
        <v>46</v>
      </c>
      <c r="H896" s="1" t="str">
        <f t="shared" si="40"/>
        <v>AZ</v>
      </c>
      <c r="I896" s="1">
        <f t="shared" si="41"/>
        <v>0</v>
      </c>
    </row>
    <row r="897" spans="1:9" x14ac:dyDescent="0.2">
      <c r="A897" s="1" t="s">
        <v>962</v>
      </c>
      <c r="B897" s="1">
        <v>21876</v>
      </c>
      <c r="C897" s="1" t="s">
        <v>27</v>
      </c>
      <c r="D897" s="1">
        <f t="shared" si="39"/>
        <v>55993.991594411818</v>
      </c>
      <c r="E897" s="1">
        <v>33.479884830000003</v>
      </c>
      <c r="F897" s="1">
        <v>-111.9601153</v>
      </c>
      <c r="G897" s="1" t="s">
        <v>46</v>
      </c>
      <c r="H897" s="1" t="str">
        <f t="shared" si="40"/>
        <v>AZ</v>
      </c>
      <c r="I897" s="1">
        <f t="shared" si="41"/>
        <v>0</v>
      </c>
    </row>
    <row r="898" spans="1:9" x14ac:dyDescent="0.2">
      <c r="A898" s="1" t="s">
        <v>963</v>
      </c>
      <c r="B898" s="1">
        <v>15010.77</v>
      </c>
      <c r="C898" s="1" t="s">
        <v>27</v>
      </c>
      <c r="D898" s="1">
        <f t="shared" si="39"/>
        <v>55993.991594411818</v>
      </c>
      <c r="E898" s="1">
        <v>33.654912879999998</v>
      </c>
      <c r="F898" s="1">
        <v>-112.0301875</v>
      </c>
      <c r="G898" s="1" t="s">
        <v>46</v>
      </c>
      <c r="H898" s="1" t="str">
        <f t="shared" si="40"/>
        <v>AZ</v>
      </c>
      <c r="I898" s="1">
        <f t="shared" si="41"/>
        <v>0</v>
      </c>
    </row>
    <row r="899" spans="1:9" x14ac:dyDescent="0.2">
      <c r="A899" s="1" t="s">
        <v>964</v>
      </c>
      <c r="B899" s="1">
        <v>12888.38</v>
      </c>
      <c r="C899" s="1" t="s">
        <v>27</v>
      </c>
      <c r="D899" s="1">
        <f t="shared" ref="D899:D962" si="42">AVERAGEIFS($B:$B,$C:$C,$C899)</f>
        <v>55993.991594411818</v>
      </c>
      <c r="E899" s="1">
        <v>33.58466</v>
      </c>
      <c r="F899" s="1">
        <v>-111.97762539999999</v>
      </c>
      <c r="G899" s="1" t="s">
        <v>46</v>
      </c>
      <c r="H899" s="1" t="str">
        <f t="shared" ref="H899:H962" si="43">TRIM(_xlfn.TEXTAFTER(A899, ",", -1))</f>
        <v>AZ</v>
      </c>
      <c r="I899" s="1">
        <f t="shared" ref="I899:I962" si="44">IF(B899&gt;D899,1,0)</f>
        <v>0</v>
      </c>
    </row>
    <row r="900" spans="1:9" x14ac:dyDescent="0.2">
      <c r="A900" s="1" t="s">
        <v>965</v>
      </c>
      <c r="B900" s="1">
        <v>25191.01</v>
      </c>
      <c r="C900" s="1" t="s">
        <v>27</v>
      </c>
      <c r="D900" s="1">
        <f t="shared" si="42"/>
        <v>55993.991594411818</v>
      </c>
      <c r="E900" s="1">
        <v>33.487523770000003</v>
      </c>
      <c r="F900" s="1">
        <v>-112.07407430000001</v>
      </c>
      <c r="G900" s="1" t="s">
        <v>46</v>
      </c>
      <c r="H900" s="1" t="str">
        <f t="shared" si="43"/>
        <v>AZ</v>
      </c>
      <c r="I900" s="1">
        <f t="shared" si="44"/>
        <v>0</v>
      </c>
    </row>
    <row r="901" spans="1:9" x14ac:dyDescent="0.2">
      <c r="A901" s="1" t="s">
        <v>966</v>
      </c>
      <c r="B901" s="1">
        <v>28873.599999999999</v>
      </c>
      <c r="C901" s="1" t="s">
        <v>27</v>
      </c>
      <c r="D901" s="1">
        <f t="shared" si="42"/>
        <v>55993.991594411818</v>
      </c>
      <c r="E901" s="1">
        <v>33.640487129999997</v>
      </c>
      <c r="F901" s="1">
        <v>-112.0714414</v>
      </c>
      <c r="G901" s="1" t="s">
        <v>46</v>
      </c>
      <c r="H901" s="1" t="str">
        <f t="shared" si="43"/>
        <v>AZ</v>
      </c>
      <c r="I901" s="1">
        <f t="shared" si="44"/>
        <v>0</v>
      </c>
    </row>
    <row r="902" spans="1:9" x14ac:dyDescent="0.2">
      <c r="A902" s="1" t="s">
        <v>967</v>
      </c>
      <c r="B902" s="1">
        <v>18476.46</v>
      </c>
      <c r="C902" s="1" t="s">
        <v>27</v>
      </c>
      <c r="D902" s="1">
        <f t="shared" si="42"/>
        <v>55993.991594411818</v>
      </c>
      <c r="E902" s="1">
        <v>33.611117129999997</v>
      </c>
      <c r="F902" s="1">
        <v>-112.1118</v>
      </c>
      <c r="G902" s="1" t="s">
        <v>46</v>
      </c>
      <c r="H902" s="1" t="str">
        <f t="shared" si="43"/>
        <v>AZ</v>
      </c>
      <c r="I902" s="1">
        <f t="shared" si="44"/>
        <v>0</v>
      </c>
    </row>
    <row r="903" spans="1:9" x14ac:dyDescent="0.2">
      <c r="A903" s="1" t="s">
        <v>968</v>
      </c>
      <c r="B903" s="1">
        <v>12452.28</v>
      </c>
      <c r="C903" s="1" t="s">
        <v>27</v>
      </c>
      <c r="D903" s="1">
        <f t="shared" si="42"/>
        <v>55993.991594411818</v>
      </c>
      <c r="E903" s="1">
        <v>33.480347129999998</v>
      </c>
      <c r="F903" s="1">
        <v>-112.0473296</v>
      </c>
      <c r="G903" s="1" t="s">
        <v>46</v>
      </c>
      <c r="H903" s="1" t="str">
        <f t="shared" si="43"/>
        <v>AZ</v>
      </c>
      <c r="I903" s="1">
        <f t="shared" si="44"/>
        <v>0</v>
      </c>
    </row>
    <row r="904" spans="1:9" x14ac:dyDescent="0.2">
      <c r="A904" s="1" t="s">
        <v>969</v>
      </c>
      <c r="B904" s="1">
        <v>24599</v>
      </c>
      <c r="C904" s="1" t="s">
        <v>27</v>
      </c>
      <c r="D904" s="1">
        <f t="shared" si="42"/>
        <v>55993.991594411818</v>
      </c>
      <c r="E904" s="1">
        <v>33.480312869999999</v>
      </c>
      <c r="F904" s="1">
        <v>-112.0041071</v>
      </c>
      <c r="G904" s="1" t="s">
        <v>46</v>
      </c>
      <c r="H904" s="1" t="str">
        <f t="shared" si="43"/>
        <v>AZ</v>
      </c>
      <c r="I904" s="1">
        <f t="shared" si="44"/>
        <v>0</v>
      </c>
    </row>
    <row r="905" spans="1:9" x14ac:dyDescent="0.2">
      <c r="A905" s="1" t="s">
        <v>970</v>
      </c>
      <c r="B905" s="1">
        <v>13354.78</v>
      </c>
      <c r="C905" s="1" t="s">
        <v>27</v>
      </c>
      <c r="D905" s="1">
        <f t="shared" si="42"/>
        <v>55993.991594411818</v>
      </c>
      <c r="E905" s="1">
        <v>33.305427080000001</v>
      </c>
      <c r="F905" s="1">
        <v>-111.99803540000001</v>
      </c>
      <c r="G905" s="1" t="s">
        <v>46</v>
      </c>
      <c r="H905" s="1" t="str">
        <f t="shared" si="43"/>
        <v>AZ</v>
      </c>
      <c r="I905" s="1">
        <f t="shared" si="44"/>
        <v>0</v>
      </c>
    </row>
    <row r="906" spans="1:9" x14ac:dyDescent="0.2">
      <c r="A906" s="1" t="s">
        <v>971</v>
      </c>
      <c r="B906" s="1">
        <v>11796.67</v>
      </c>
      <c r="C906" s="1" t="s">
        <v>27</v>
      </c>
      <c r="D906" s="1">
        <f t="shared" si="42"/>
        <v>55993.991594411818</v>
      </c>
      <c r="E906" s="1">
        <v>33.567687890000002</v>
      </c>
      <c r="F906" s="1">
        <v>-112.1334011</v>
      </c>
      <c r="G906" s="1" t="s">
        <v>46</v>
      </c>
      <c r="H906" s="1" t="str">
        <f t="shared" si="43"/>
        <v>AZ</v>
      </c>
      <c r="I906" s="1">
        <f t="shared" si="44"/>
        <v>0</v>
      </c>
    </row>
    <row r="907" spans="1:9" x14ac:dyDescent="0.2">
      <c r="A907" s="1" t="s">
        <v>972</v>
      </c>
      <c r="B907" s="1">
        <v>15648.65</v>
      </c>
      <c r="C907" s="1" t="s">
        <v>27</v>
      </c>
      <c r="D907" s="1">
        <f t="shared" si="42"/>
        <v>55993.991594411818</v>
      </c>
      <c r="E907" s="1">
        <v>33.392482870000002</v>
      </c>
      <c r="F907" s="1">
        <v>-111.9967408</v>
      </c>
      <c r="G907" s="1" t="s">
        <v>46</v>
      </c>
      <c r="H907" s="1" t="str">
        <f t="shared" si="43"/>
        <v>AZ</v>
      </c>
      <c r="I907" s="1">
        <f t="shared" si="44"/>
        <v>0</v>
      </c>
    </row>
    <row r="908" spans="1:9" x14ac:dyDescent="0.2">
      <c r="A908" s="1" t="s">
        <v>973</v>
      </c>
      <c r="B908" s="1">
        <v>14245.06</v>
      </c>
      <c r="C908" s="1" t="s">
        <v>27</v>
      </c>
      <c r="D908" s="1">
        <f t="shared" si="42"/>
        <v>55993.991594411818</v>
      </c>
      <c r="E908" s="1">
        <v>33.654522870000001</v>
      </c>
      <c r="F908" s="1">
        <v>-112.13342</v>
      </c>
      <c r="G908" s="1" t="s">
        <v>46</v>
      </c>
      <c r="H908" s="1" t="str">
        <f t="shared" si="43"/>
        <v>AZ</v>
      </c>
      <c r="I908" s="1">
        <f t="shared" si="44"/>
        <v>0</v>
      </c>
    </row>
    <row r="909" spans="1:9" x14ac:dyDescent="0.2">
      <c r="A909" s="1" t="s">
        <v>974</v>
      </c>
      <c r="B909" s="1">
        <v>14729.88</v>
      </c>
      <c r="C909" s="1" t="s">
        <v>27</v>
      </c>
      <c r="D909" s="1">
        <f t="shared" si="42"/>
        <v>55993.991594411818</v>
      </c>
      <c r="E909" s="1">
        <v>33.49524985</v>
      </c>
      <c r="F909" s="1">
        <v>-112.0300323</v>
      </c>
      <c r="G909" s="1" t="s">
        <v>46</v>
      </c>
      <c r="H909" s="1" t="str">
        <f t="shared" si="43"/>
        <v>AZ</v>
      </c>
      <c r="I909" s="1">
        <f t="shared" si="44"/>
        <v>0</v>
      </c>
    </row>
    <row r="910" spans="1:9" x14ac:dyDescent="0.2">
      <c r="A910" s="1" t="s">
        <v>975</v>
      </c>
      <c r="C910" s="1" t="s">
        <v>27</v>
      </c>
      <c r="D910" s="1">
        <f t="shared" si="42"/>
        <v>55993.991594411818</v>
      </c>
      <c r="E910" s="1">
        <v>33.631326090000002</v>
      </c>
      <c r="F910" s="1">
        <v>-112.0292415</v>
      </c>
      <c r="G910" s="1" t="s">
        <v>46</v>
      </c>
      <c r="H910" s="1" t="str">
        <f t="shared" si="43"/>
        <v>AZ</v>
      </c>
      <c r="I910" s="1">
        <f t="shared" si="44"/>
        <v>0</v>
      </c>
    </row>
    <row r="911" spans="1:9" x14ac:dyDescent="0.2">
      <c r="A911" s="1" t="s">
        <v>976</v>
      </c>
      <c r="B911" s="1">
        <v>12209.62</v>
      </c>
      <c r="C911" s="1" t="s">
        <v>27</v>
      </c>
      <c r="D911" s="1">
        <f t="shared" si="42"/>
        <v>55993.991594411818</v>
      </c>
      <c r="E911" s="1">
        <v>33.480717210000002</v>
      </c>
      <c r="F911" s="1">
        <v>-112.2375658</v>
      </c>
      <c r="G911" s="1" t="s">
        <v>46</v>
      </c>
      <c r="H911" s="1" t="str">
        <f t="shared" si="43"/>
        <v>AZ</v>
      </c>
      <c r="I911" s="1">
        <f t="shared" si="44"/>
        <v>0</v>
      </c>
    </row>
    <row r="912" spans="1:9" x14ac:dyDescent="0.2">
      <c r="A912" s="1" t="s">
        <v>977</v>
      </c>
      <c r="B912" s="1">
        <v>11691.07</v>
      </c>
      <c r="C912" s="1" t="s">
        <v>27</v>
      </c>
      <c r="D912" s="1">
        <f t="shared" si="42"/>
        <v>55993.991594411818</v>
      </c>
      <c r="E912" s="1">
        <v>33.64091337</v>
      </c>
      <c r="F912" s="1">
        <v>-111.9958889</v>
      </c>
      <c r="G912" s="1" t="s">
        <v>46</v>
      </c>
      <c r="H912" s="1" t="str">
        <f t="shared" si="43"/>
        <v>AZ</v>
      </c>
      <c r="I912" s="1">
        <f t="shared" si="44"/>
        <v>0</v>
      </c>
    </row>
    <row r="913" spans="1:9" x14ac:dyDescent="0.2">
      <c r="A913" s="1" t="s">
        <v>978</v>
      </c>
      <c r="B913" s="1">
        <v>24919.45</v>
      </c>
      <c r="C913" s="1" t="s">
        <v>27</v>
      </c>
      <c r="D913" s="1">
        <f t="shared" si="42"/>
        <v>55993.991594411818</v>
      </c>
      <c r="E913" s="1">
        <v>33.538255820000003</v>
      </c>
      <c r="F913" s="1">
        <v>-112.15063069999999</v>
      </c>
      <c r="G913" s="1" t="s">
        <v>46</v>
      </c>
      <c r="H913" s="1" t="str">
        <f t="shared" si="43"/>
        <v>AZ</v>
      </c>
      <c r="I913" s="1">
        <f t="shared" si="44"/>
        <v>0</v>
      </c>
    </row>
    <row r="914" spans="1:9" x14ac:dyDescent="0.2">
      <c r="A914" s="1" t="s">
        <v>979</v>
      </c>
      <c r="C914" s="1" t="s">
        <v>27</v>
      </c>
      <c r="D914" s="1">
        <f t="shared" si="42"/>
        <v>55993.991594411818</v>
      </c>
      <c r="E914" s="1">
        <v>33.50958713</v>
      </c>
      <c r="F914" s="1">
        <v>-112.1342083</v>
      </c>
      <c r="G914" s="1" t="s">
        <v>46</v>
      </c>
      <c r="H914" s="1" t="str">
        <f t="shared" si="43"/>
        <v>AZ</v>
      </c>
      <c r="I914" s="1">
        <f t="shared" si="44"/>
        <v>0</v>
      </c>
    </row>
    <row r="915" spans="1:9" x14ac:dyDescent="0.2">
      <c r="A915" s="1" t="s">
        <v>980</v>
      </c>
      <c r="B915" s="1">
        <v>9939.2199999999993</v>
      </c>
      <c r="C915" s="1" t="s">
        <v>27</v>
      </c>
      <c r="D915" s="1">
        <f t="shared" si="42"/>
        <v>55993.991594411818</v>
      </c>
      <c r="E915" s="1">
        <v>33.305541499999997</v>
      </c>
      <c r="F915" s="1">
        <v>-112.0546173</v>
      </c>
      <c r="G915" s="1" t="s">
        <v>46</v>
      </c>
      <c r="H915" s="1" t="str">
        <f t="shared" si="43"/>
        <v>AZ</v>
      </c>
      <c r="I915" s="1">
        <f t="shared" si="44"/>
        <v>0</v>
      </c>
    </row>
    <row r="916" spans="1:9" x14ac:dyDescent="0.2">
      <c r="A916" s="1" t="s">
        <v>981</v>
      </c>
      <c r="B916" s="1">
        <v>18113.91</v>
      </c>
      <c r="C916" s="1" t="s">
        <v>27</v>
      </c>
      <c r="D916" s="1">
        <f t="shared" si="42"/>
        <v>55993.991594411818</v>
      </c>
      <c r="E916" s="1">
        <v>33.508642870000003</v>
      </c>
      <c r="F916" s="1">
        <v>-112.23806</v>
      </c>
      <c r="G916" s="1" t="s">
        <v>46</v>
      </c>
      <c r="H916" s="1" t="str">
        <f t="shared" si="43"/>
        <v>AZ</v>
      </c>
      <c r="I916" s="1">
        <f t="shared" si="44"/>
        <v>0</v>
      </c>
    </row>
    <row r="917" spans="1:9" x14ac:dyDescent="0.2">
      <c r="A917" s="1" t="s">
        <v>982</v>
      </c>
      <c r="B917" s="1">
        <v>25269.49</v>
      </c>
      <c r="C917" s="1" t="s">
        <v>27</v>
      </c>
      <c r="D917" s="1">
        <f t="shared" si="42"/>
        <v>55993.991594411818</v>
      </c>
      <c r="E917" s="1">
        <v>33.465586340000002</v>
      </c>
      <c r="F917" s="1">
        <v>-112.0633509</v>
      </c>
      <c r="G917" s="1" t="s">
        <v>46</v>
      </c>
      <c r="H917" s="1" t="str">
        <f t="shared" si="43"/>
        <v>AZ</v>
      </c>
      <c r="I917" s="1">
        <f t="shared" si="44"/>
        <v>0</v>
      </c>
    </row>
    <row r="918" spans="1:9" x14ac:dyDescent="0.2">
      <c r="A918" s="1" t="s">
        <v>983</v>
      </c>
      <c r="B918" s="1">
        <v>13654.69</v>
      </c>
      <c r="C918" s="1" t="s">
        <v>27</v>
      </c>
      <c r="D918" s="1">
        <f t="shared" si="42"/>
        <v>55993.991594411818</v>
      </c>
      <c r="E918" s="1">
        <v>33.465812870000001</v>
      </c>
      <c r="F918" s="1">
        <v>-112.15292239999999</v>
      </c>
      <c r="G918" s="1" t="s">
        <v>46</v>
      </c>
      <c r="H918" s="1" t="str">
        <f t="shared" si="43"/>
        <v>AZ</v>
      </c>
      <c r="I918" s="1">
        <f t="shared" si="44"/>
        <v>0</v>
      </c>
    </row>
    <row r="919" spans="1:9" x14ac:dyDescent="0.2">
      <c r="A919" s="1" t="s">
        <v>984</v>
      </c>
      <c r="B919" s="1">
        <v>12729.9</v>
      </c>
      <c r="C919" s="1" t="s">
        <v>27</v>
      </c>
      <c r="D919" s="1">
        <f t="shared" si="42"/>
        <v>55993.991594411818</v>
      </c>
      <c r="E919" s="1">
        <v>33.496124350000002</v>
      </c>
      <c r="F919" s="1">
        <v>-111.98710440000001</v>
      </c>
      <c r="G919" s="1" t="s">
        <v>46</v>
      </c>
      <c r="H919" s="1" t="str">
        <f t="shared" si="43"/>
        <v>AZ</v>
      </c>
      <c r="I919" s="1">
        <f t="shared" si="44"/>
        <v>0</v>
      </c>
    </row>
    <row r="920" spans="1:9" x14ac:dyDescent="0.2">
      <c r="A920" s="1" t="s">
        <v>985</v>
      </c>
      <c r="B920" s="1">
        <v>16701.990000000002</v>
      </c>
      <c r="C920" s="1" t="s">
        <v>27</v>
      </c>
      <c r="D920" s="1">
        <f t="shared" si="42"/>
        <v>55993.991594411818</v>
      </c>
      <c r="E920" s="1">
        <v>33.466155710000002</v>
      </c>
      <c r="F920" s="1">
        <v>-112.18667670000001</v>
      </c>
      <c r="G920" s="1" t="s">
        <v>46</v>
      </c>
      <c r="H920" s="1" t="str">
        <f t="shared" si="43"/>
        <v>AZ</v>
      </c>
      <c r="I920" s="1">
        <f t="shared" si="44"/>
        <v>0</v>
      </c>
    </row>
    <row r="921" spans="1:9" x14ac:dyDescent="0.2">
      <c r="A921" s="1" t="s">
        <v>986</v>
      </c>
      <c r="B921" s="1">
        <v>13673.42</v>
      </c>
      <c r="C921" s="1" t="s">
        <v>27</v>
      </c>
      <c r="D921" s="1">
        <f t="shared" si="42"/>
        <v>55993.991594411818</v>
      </c>
      <c r="E921" s="1">
        <v>33.523959990000002</v>
      </c>
      <c r="F921" s="1">
        <v>-112.0984579</v>
      </c>
      <c r="G921" s="1" t="s">
        <v>46</v>
      </c>
      <c r="H921" s="1" t="str">
        <f t="shared" si="43"/>
        <v>AZ</v>
      </c>
      <c r="I921" s="1">
        <f t="shared" si="44"/>
        <v>0</v>
      </c>
    </row>
    <row r="922" spans="1:9" x14ac:dyDescent="0.2">
      <c r="A922" s="1" t="s">
        <v>987</v>
      </c>
      <c r="C922" s="1" t="s">
        <v>27</v>
      </c>
      <c r="D922" s="1">
        <f t="shared" si="42"/>
        <v>55993.991594411818</v>
      </c>
      <c r="E922" s="1">
        <v>33.494102869999999</v>
      </c>
      <c r="F922" s="1">
        <v>-112.25356650000001</v>
      </c>
      <c r="G922" s="1" t="s">
        <v>46</v>
      </c>
      <c r="H922" s="1" t="str">
        <f t="shared" si="43"/>
        <v>AZ</v>
      </c>
      <c r="I922" s="1">
        <f t="shared" si="44"/>
        <v>0</v>
      </c>
    </row>
    <row r="923" spans="1:9" x14ac:dyDescent="0.2">
      <c r="A923" s="1" t="s">
        <v>988</v>
      </c>
      <c r="B923" s="1">
        <v>12834.97</v>
      </c>
      <c r="C923" s="1" t="s">
        <v>27</v>
      </c>
      <c r="D923" s="1">
        <f t="shared" si="42"/>
        <v>55993.991594411818</v>
      </c>
      <c r="E923" s="1">
        <v>33.554631430000001</v>
      </c>
      <c r="F923" s="1">
        <v>-112.09982460000001</v>
      </c>
      <c r="G923" s="1" t="s">
        <v>46</v>
      </c>
      <c r="H923" s="1" t="str">
        <f t="shared" si="43"/>
        <v>AZ</v>
      </c>
      <c r="I923" s="1">
        <f t="shared" si="44"/>
        <v>0</v>
      </c>
    </row>
    <row r="924" spans="1:9" x14ac:dyDescent="0.2">
      <c r="A924" s="1" t="s">
        <v>989</v>
      </c>
      <c r="B924" s="1">
        <v>14254.58</v>
      </c>
      <c r="C924" s="1" t="s">
        <v>27</v>
      </c>
      <c r="D924" s="1">
        <f t="shared" si="42"/>
        <v>55993.991594411818</v>
      </c>
      <c r="E924" s="1">
        <v>33.509367130000001</v>
      </c>
      <c r="F924" s="1">
        <v>-112.0646917</v>
      </c>
      <c r="G924" s="1" t="s">
        <v>46</v>
      </c>
      <c r="H924" s="1" t="str">
        <f t="shared" si="43"/>
        <v>AZ</v>
      </c>
      <c r="I924" s="1">
        <f t="shared" si="44"/>
        <v>0</v>
      </c>
    </row>
    <row r="925" spans="1:9" x14ac:dyDescent="0.2">
      <c r="A925" s="1" t="s">
        <v>990</v>
      </c>
      <c r="B925" s="1">
        <v>12150.84</v>
      </c>
      <c r="C925" s="1" t="s">
        <v>27</v>
      </c>
      <c r="D925" s="1">
        <f t="shared" si="42"/>
        <v>55993.991594411818</v>
      </c>
      <c r="E925" s="1">
        <v>33.378003370000002</v>
      </c>
      <c r="F925" s="1">
        <v>-112.0295689</v>
      </c>
      <c r="G925" s="1" t="s">
        <v>46</v>
      </c>
      <c r="H925" s="1" t="str">
        <f t="shared" si="43"/>
        <v>AZ</v>
      </c>
      <c r="I925" s="1">
        <f t="shared" si="44"/>
        <v>0</v>
      </c>
    </row>
    <row r="926" spans="1:9" x14ac:dyDescent="0.2">
      <c r="A926" s="1" t="s">
        <v>991</v>
      </c>
      <c r="B926" s="1">
        <v>9887.4599999999991</v>
      </c>
      <c r="C926" s="1" t="s">
        <v>27</v>
      </c>
      <c r="D926" s="1">
        <f t="shared" si="42"/>
        <v>55993.991594411818</v>
      </c>
      <c r="E926" s="1">
        <v>33.605893430000002</v>
      </c>
      <c r="F926" s="1">
        <v>-112.0648544</v>
      </c>
      <c r="G926" s="1" t="s">
        <v>46</v>
      </c>
      <c r="H926" s="1" t="str">
        <f t="shared" si="43"/>
        <v>AZ</v>
      </c>
      <c r="I926" s="1">
        <f t="shared" si="44"/>
        <v>0</v>
      </c>
    </row>
    <row r="927" spans="1:9" x14ac:dyDescent="0.2">
      <c r="A927" s="1" t="s">
        <v>992</v>
      </c>
      <c r="B927" s="1">
        <v>17882.650000000001</v>
      </c>
      <c r="C927" s="1" t="s">
        <v>27</v>
      </c>
      <c r="D927" s="1">
        <f t="shared" si="42"/>
        <v>55993.991594411818</v>
      </c>
      <c r="E927" s="1">
        <v>33.376860540000003</v>
      </c>
      <c r="F927" s="1">
        <v>-112.06479469999999</v>
      </c>
      <c r="G927" s="1" t="s">
        <v>46</v>
      </c>
      <c r="H927" s="1" t="str">
        <f t="shared" si="43"/>
        <v>AZ</v>
      </c>
      <c r="I927" s="1">
        <f t="shared" si="44"/>
        <v>0</v>
      </c>
    </row>
    <row r="928" spans="1:9" x14ac:dyDescent="0.2">
      <c r="A928" s="1" t="s">
        <v>993</v>
      </c>
      <c r="B928" s="1">
        <v>11428.15</v>
      </c>
      <c r="C928" s="1" t="s">
        <v>27</v>
      </c>
      <c r="D928" s="1">
        <f t="shared" si="42"/>
        <v>55993.991594411818</v>
      </c>
      <c r="E928" s="1">
        <v>33.481180000000002</v>
      </c>
      <c r="F928" s="1">
        <v>-112.20343440000001</v>
      </c>
      <c r="G928" s="1" t="s">
        <v>46</v>
      </c>
      <c r="H928" s="1" t="str">
        <f t="shared" si="43"/>
        <v>AZ</v>
      </c>
      <c r="I928" s="1">
        <f t="shared" si="44"/>
        <v>0</v>
      </c>
    </row>
    <row r="929" spans="1:9" x14ac:dyDescent="0.2">
      <c r="A929" s="1" t="s">
        <v>994</v>
      </c>
      <c r="B929" s="1">
        <v>11972.77</v>
      </c>
      <c r="C929" s="1" t="s">
        <v>27</v>
      </c>
      <c r="D929" s="1">
        <f t="shared" si="42"/>
        <v>55993.991594411818</v>
      </c>
      <c r="E929" s="1">
        <v>33.537443070000002</v>
      </c>
      <c r="F929" s="1">
        <v>-112.0652154</v>
      </c>
      <c r="G929" s="1" t="s">
        <v>46</v>
      </c>
      <c r="H929" s="1" t="str">
        <f t="shared" si="43"/>
        <v>AZ</v>
      </c>
      <c r="I929" s="1">
        <f t="shared" si="44"/>
        <v>0</v>
      </c>
    </row>
    <row r="930" spans="1:9" x14ac:dyDescent="0.2">
      <c r="A930" s="1" t="s">
        <v>995</v>
      </c>
      <c r="C930" s="1" t="s">
        <v>27</v>
      </c>
      <c r="D930" s="1">
        <f t="shared" si="42"/>
        <v>55993.991594411818</v>
      </c>
      <c r="E930" s="1">
        <v>33.392397129999999</v>
      </c>
      <c r="F930" s="1">
        <v>-112.0967491</v>
      </c>
      <c r="G930" s="1" t="s">
        <v>46</v>
      </c>
      <c r="H930" s="1" t="str">
        <f t="shared" si="43"/>
        <v>AZ</v>
      </c>
      <c r="I930" s="1">
        <f t="shared" si="44"/>
        <v>0</v>
      </c>
    </row>
    <row r="931" spans="1:9" x14ac:dyDescent="0.2">
      <c r="A931" s="1" t="s">
        <v>996</v>
      </c>
      <c r="B931" s="1">
        <v>18560.419999999998</v>
      </c>
      <c r="C931" s="1" t="s">
        <v>27</v>
      </c>
      <c r="D931" s="1">
        <f t="shared" si="42"/>
        <v>55993.991594411818</v>
      </c>
      <c r="E931" s="1">
        <v>33.423127129999997</v>
      </c>
      <c r="F931" s="1">
        <v>-112.237936</v>
      </c>
      <c r="G931" s="1" t="s">
        <v>46</v>
      </c>
      <c r="H931" s="1" t="str">
        <f t="shared" si="43"/>
        <v>AZ</v>
      </c>
      <c r="I931" s="1">
        <f t="shared" si="44"/>
        <v>0</v>
      </c>
    </row>
    <row r="932" spans="1:9" x14ac:dyDescent="0.2">
      <c r="A932" s="1" t="s">
        <v>997</v>
      </c>
      <c r="C932" s="1" t="s">
        <v>27</v>
      </c>
      <c r="D932" s="1">
        <f t="shared" si="42"/>
        <v>55993.991594411818</v>
      </c>
      <c r="E932" s="1">
        <v>33.566877140000003</v>
      </c>
      <c r="F932" s="1">
        <v>-112.0650555</v>
      </c>
      <c r="G932" s="1" t="s">
        <v>46</v>
      </c>
      <c r="H932" s="1" t="str">
        <f t="shared" si="43"/>
        <v>AZ</v>
      </c>
      <c r="I932" s="1">
        <f t="shared" si="44"/>
        <v>0</v>
      </c>
    </row>
    <row r="933" spans="1:9" x14ac:dyDescent="0.2">
      <c r="A933" s="1" t="s">
        <v>998</v>
      </c>
      <c r="B933" s="1">
        <v>6513.27</v>
      </c>
      <c r="C933" s="1" t="s">
        <v>27</v>
      </c>
      <c r="D933" s="1">
        <f t="shared" si="42"/>
        <v>55993.991594411818</v>
      </c>
      <c r="E933" s="1">
        <v>33.653111520000003</v>
      </c>
      <c r="F933" s="1">
        <v>-112.0995588</v>
      </c>
      <c r="G933" s="1" t="s">
        <v>46</v>
      </c>
      <c r="H933" s="1" t="str">
        <f t="shared" si="43"/>
        <v>AZ</v>
      </c>
      <c r="I933" s="1">
        <f t="shared" si="44"/>
        <v>0</v>
      </c>
    </row>
    <row r="934" spans="1:9" x14ac:dyDescent="0.2">
      <c r="A934" s="1" t="s">
        <v>999</v>
      </c>
      <c r="B934" s="1">
        <v>15653.87</v>
      </c>
      <c r="C934" s="1" t="s">
        <v>27</v>
      </c>
      <c r="D934" s="1">
        <f t="shared" si="42"/>
        <v>55993.991594411818</v>
      </c>
      <c r="E934" s="1">
        <v>33.676937129999999</v>
      </c>
      <c r="F934" s="1">
        <v>-111.97951449999999</v>
      </c>
      <c r="G934" s="1" t="s">
        <v>46</v>
      </c>
      <c r="H934" s="1" t="str">
        <f t="shared" si="43"/>
        <v>AZ</v>
      </c>
      <c r="I934" s="1">
        <f t="shared" si="44"/>
        <v>0</v>
      </c>
    </row>
    <row r="935" spans="1:9" x14ac:dyDescent="0.2">
      <c r="A935" s="1" t="s">
        <v>1000</v>
      </c>
      <c r="B935" s="1">
        <v>21845.43</v>
      </c>
      <c r="C935" s="1" t="s">
        <v>27</v>
      </c>
      <c r="D935" s="1">
        <f t="shared" si="42"/>
        <v>55993.991594411818</v>
      </c>
      <c r="E935" s="1">
        <v>33.798202869999997</v>
      </c>
      <c r="F935" s="1">
        <v>-112.11866759999999</v>
      </c>
      <c r="G935" s="1" t="s">
        <v>46</v>
      </c>
      <c r="H935" s="1" t="str">
        <f t="shared" si="43"/>
        <v>AZ</v>
      </c>
      <c r="I935" s="1">
        <f t="shared" si="44"/>
        <v>0</v>
      </c>
    </row>
    <row r="936" spans="1:9" x14ac:dyDescent="0.2">
      <c r="A936" s="1" t="s">
        <v>1001</v>
      </c>
      <c r="B936" s="1">
        <v>27824.58</v>
      </c>
      <c r="C936" s="1" t="s">
        <v>27</v>
      </c>
      <c r="D936" s="1">
        <f t="shared" si="42"/>
        <v>55993.991594411818</v>
      </c>
      <c r="E936" s="1">
        <v>33.232881380000002</v>
      </c>
      <c r="F936" s="1">
        <v>-111.685682</v>
      </c>
      <c r="G936" s="1" t="s">
        <v>47</v>
      </c>
      <c r="H936" s="1" t="str">
        <f t="shared" si="43"/>
        <v>AZ</v>
      </c>
      <c r="I936" s="1">
        <f t="shared" si="44"/>
        <v>0</v>
      </c>
    </row>
    <row r="937" spans="1:9" x14ac:dyDescent="0.2">
      <c r="A937" s="1" t="s">
        <v>1002</v>
      </c>
      <c r="B937" s="1">
        <v>47994.33</v>
      </c>
      <c r="C937" s="1" t="s">
        <v>27</v>
      </c>
      <c r="D937" s="1">
        <f t="shared" si="42"/>
        <v>55993.991594411818</v>
      </c>
      <c r="E937" s="1">
        <v>33.235921040000001</v>
      </c>
      <c r="F937" s="1">
        <v>-111.68564600000001</v>
      </c>
      <c r="G937" s="1" t="s">
        <v>47</v>
      </c>
      <c r="H937" s="1" t="str">
        <f t="shared" si="43"/>
        <v>AZ</v>
      </c>
      <c r="I937" s="1">
        <f t="shared" si="44"/>
        <v>0</v>
      </c>
    </row>
    <row r="938" spans="1:9" x14ac:dyDescent="0.2">
      <c r="A938" s="1" t="s">
        <v>1003</v>
      </c>
      <c r="B938" s="1">
        <v>138533.69</v>
      </c>
      <c r="C938" s="1" t="s">
        <v>27</v>
      </c>
      <c r="D938" s="1">
        <f t="shared" si="42"/>
        <v>55993.991594411818</v>
      </c>
      <c r="E938" s="1">
        <v>33.161616109999997</v>
      </c>
      <c r="F938" s="1">
        <v>-111.5631776</v>
      </c>
      <c r="G938" s="1" t="s">
        <v>47</v>
      </c>
      <c r="H938" s="1" t="str">
        <f t="shared" si="43"/>
        <v>AZ</v>
      </c>
      <c r="I938" s="1">
        <f t="shared" si="44"/>
        <v>1</v>
      </c>
    </row>
    <row r="939" spans="1:9" x14ac:dyDescent="0.2">
      <c r="A939" s="1" t="s">
        <v>1004</v>
      </c>
      <c r="B939" s="1">
        <v>54886.2</v>
      </c>
      <c r="C939" s="1" t="s">
        <v>27</v>
      </c>
      <c r="D939" s="1">
        <f t="shared" si="42"/>
        <v>55993.991594411818</v>
      </c>
      <c r="E939" s="1">
        <v>33.248991670000002</v>
      </c>
      <c r="F939" s="1">
        <v>-111.634336</v>
      </c>
      <c r="G939" s="1" t="s">
        <v>47</v>
      </c>
      <c r="H939" s="1" t="str">
        <f t="shared" si="43"/>
        <v>AZ</v>
      </c>
      <c r="I939" s="1">
        <f t="shared" si="44"/>
        <v>0</v>
      </c>
    </row>
    <row r="940" spans="1:9" x14ac:dyDescent="0.2">
      <c r="A940" s="1" t="s">
        <v>1005</v>
      </c>
      <c r="B940" s="1">
        <v>113720.24</v>
      </c>
      <c r="C940" s="1" t="s">
        <v>27</v>
      </c>
      <c r="D940" s="1">
        <f t="shared" si="42"/>
        <v>55993.991594411818</v>
      </c>
      <c r="E940" s="1" t="s">
        <v>11</v>
      </c>
      <c r="F940" s="1" t="s">
        <v>11</v>
      </c>
      <c r="G940" s="1" t="s">
        <v>47</v>
      </c>
      <c r="H940" s="1" t="str">
        <f t="shared" si="43"/>
        <v>AZ</v>
      </c>
      <c r="I940" s="1">
        <f t="shared" si="44"/>
        <v>1</v>
      </c>
    </row>
    <row r="941" spans="1:9" x14ac:dyDescent="0.2">
      <c r="A941" s="1" t="s">
        <v>1006</v>
      </c>
      <c r="B941" s="1">
        <v>117654.24</v>
      </c>
      <c r="C941" s="1" t="s">
        <v>27</v>
      </c>
      <c r="D941" s="1">
        <f t="shared" si="42"/>
        <v>55993.991594411818</v>
      </c>
      <c r="E941" s="1">
        <v>33.219862849999998</v>
      </c>
      <c r="F941" s="1">
        <v>-111.5942005</v>
      </c>
      <c r="G941" s="1" t="s">
        <v>47</v>
      </c>
      <c r="H941" s="1" t="str">
        <f t="shared" si="43"/>
        <v>AZ</v>
      </c>
      <c r="I941" s="1">
        <f t="shared" si="44"/>
        <v>1</v>
      </c>
    </row>
    <row r="942" spans="1:9" x14ac:dyDescent="0.2">
      <c r="A942" s="1" t="s">
        <v>1007</v>
      </c>
      <c r="B942" s="1">
        <v>157529.51</v>
      </c>
      <c r="C942" s="1" t="s">
        <v>27</v>
      </c>
      <c r="D942" s="1">
        <f t="shared" si="42"/>
        <v>55993.991594411818</v>
      </c>
      <c r="E942" s="1">
        <v>33.170279999999998</v>
      </c>
      <c r="F942" s="1">
        <v>-111.65497000000001</v>
      </c>
      <c r="G942" s="1" t="s">
        <v>47</v>
      </c>
      <c r="H942" s="1" t="str">
        <f t="shared" si="43"/>
        <v>AZ</v>
      </c>
      <c r="I942" s="1">
        <f t="shared" si="44"/>
        <v>1</v>
      </c>
    </row>
    <row r="943" spans="1:9" x14ac:dyDescent="0.2">
      <c r="A943" s="1" t="s">
        <v>1008</v>
      </c>
      <c r="B943" s="1">
        <v>174638.25</v>
      </c>
      <c r="C943" s="1" t="s">
        <v>27</v>
      </c>
      <c r="D943" s="1">
        <f t="shared" si="42"/>
        <v>55993.991594411818</v>
      </c>
      <c r="E943" s="1">
        <v>33.262909270000002</v>
      </c>
      <c r="F943" s="1">
        <v>-111.6031938</v>
      </c>
      <c r="G943" s="1" t="s">
        <v>47</v>
      </c>
      <c r="H943" s="1" t="str">
        <f t="shared" si="43"/>
        <v>AZ</v>
      </c>
      <c r="I943" s="1">
        <f t="shared" si="44"/>
        <v>1</v>
      </c>
    </row>
    <row r="944" spans="1:9" x14ac:dyDescent="0.2">
      <c r="A944" s="1" t="s">
        <v>1009</v>
      </c>
      <c r="B944" s="1">
        <v>221617.57</v>
      </c>
      <c r="C944" s="1" t="s">
        <v>27</v>
      </c>
      <c r="D944" s="1">
        <f t="shared" si="42"/>
        <v>55993.991594411818</v>
      </c>
      <c r="E944" s="1">
        <v>33.220426779999997</v>
      </c>
      <c r="F944" s="1">
        <v>-111.6342061</v>
      </c>
      <c r="G944" s="1" t="s">
        <v>47</v>
      </c>
      <c r="H944" s="1" t="str">
        <f t="shared" si="43"/>
        <v>AZ</v>
      </c>
      <c r="I944" s="1">
        <f t="shared" si="44"/>
        <v>1</v>
      </c>
    </row>
    <row r="945" spans="1:9" x14ac:dyDescent="0.2">
      <c r="A945" s="1" t="s">
        <v>1010</v>
      </c>
      <c r="B945" s="1">
        <v>71793.899999999994</v>
      </c>
      <c r="C945" s="1" t="s">
        <v>27</v>
      </c>
      <c r="D945" s="1">
        <f t="shared" si="42"/>
        <v>55993.991594411818</v>
      </c>
      <c r="E945" s="1">
        <v>33.266103129999998</v>
      </c>
      <c r="F945" s="1">
        <v>-111.68402020000001</v>
      </c>
      <c r="G945" s="1" t="s">
        <v>47</v>
      </c>
      <c r="H945" s="1" t="str">
        <f t="shared" si="43"/>
        <v>AZ</v>
      </c>
      <c r="I945" s="1">
        <f t="shared" si="44"/>
        <v>1</v>
      </c>
    </row>
    <row r="946" spans="1:9" x14ac:dyDescent="0.2">
      <c r="A946" s="1" t="s">
        <v>1011</v>
      </c>
      <c r="B946" s="1">
        <v>134102.57</v>
      </c>
      <c r="C946" s="1" t="s">
        <v>27</v>
      </c>
      <c r="D946" s="1">
        <f t="shared" si="42"/>
        <v>55993.991594411818</v>
      </c>
      <c r="E946" s="1">
        <v>33.254221919999999</v>
      </c>
      <c r="F946" s="1">
        <v>-111.63824390000001</v>
      </c>
      <c r="G946" s="1" t="s">
        <v>47</v>
      </c>
      <c r="H946" s="1" t="str">
        <f t="shared" si="43"/>
        <v>AZ</v>
      </c>
      <c r="I946" s="1">
        <f t="shared" si="44"/>
        <v>1</v>
      </c>
    </row>
    <row r="947" spans="1:9" x14ac:dyDescent="0.2">
      <c r="A947" s="1" t="s">
        <v>1012</v>
      </c>
      <c r="B947" s="1">
        <v>11050.68</v>
      </c>
      <c r="C947" s="1" t="s">
        <v>27</v>
      </c>
      <c r="D947" s="1">
        <f t="shared" si="42"/>
        <v>55993.991594411818</v>
      </c>
      <c r="E947" s="1">
        <v>33.248837109999997</v>
      </c>
      <c r="F947" s="1">
        <v>-111.62567730000001</v>
      </c>
      <c r="G947" s="1" t="s">
        <v>47</v>
      </c>
      <c r="H947" s="1" t="str">
        <f t="shared" si="43"/>
        <v>AZ</v>
      </c>
      <c r="I947" s="1">
        <f t="shared" si="44"/>
        <v>0</v>
      </c>
    </row>
    <row r="948" spans="1:9" x14ac:dyDescent="0.2">
      <c r="A948" s="1" t="s">
        <v>1013</v>
      </c>
      <c r="B948" s="1">
        <v>28794.47</v>
      </c>
      <c r="C948" s="1" t="s">
        <v>27</v>
      </c>
      <c r="D948" s="1">
        <f t="shared" si="42"/>
        <v>55993.991594411818</v>
      </c>
      <c r="E948" s="1">
        <v>33.190119879999997</v>
      </c>
      <c r="F948" s="1">
        <v>-111.59946100000001</v>
      </c>
      <c r="G948" s="1" t="s">
        <v>47</v>
      </c>
      <c r="H948" s="1" t="str">
        <f t="shared" si="43"/>
        <v>AZ</v>
      </c>
      <c r="I948" s="1">
        <f t="shared" si="44"/>
        <v>0</v>
      </c>
    </row>
    <row r="949" spans="1:9" x14ac:dyDescent="0.2">
      <c r="A949" s="1" t="s">
        <v>1014</v>
      </c>
      <c r="B949" s="1">
        <v>131451.82999999999</v>
      </c>
      <c r="C949" s="1" t="s">
        <v>27</v>
      </c>
      <c r="D949" s="1">
        <f t="shared" si="42"/>
        <v>55993.991594411818</v>
      </c>
      <c r="E949" s="1">
        <v>33.198924069999997</v>
      </c>
      <c r="F949" s="1">
        <v>-111.6153695</v>
      </c>
      <c r="G949" s="1" t="s">
        <v>48</v>
      </c>
      <c r="H949" s="1" t="str">
        <f t="shared" si="43"/>
        <v>AZ</v>
      </c>
      <c r="I949" s="1">
        <f t="shared" si="44"/>
        <v>1</v>
      </c>
    </row>
    <row r="950" spans="1:9" x14ac:dyDescent="0.2">
      <c r="A950" s="1" t="s">
        <v>1015</v>
      </c>
      <c r="B950" s="1">
        <v>32107.200000000001</v>
      </c>
      <c r="C950" s="1" t="s">
        <v>27</v>
      </c>
      <c r="D950" s="1">
        <f t="shared" si="42"/>
        <v>55993.991594411818</v>
      </c>
      <c r="E950" s="1">
        <v>33.466048729999997</v>
      </c>
      <c r="F950" s="1">
        <v>-111.9002546</v>
      </c>
      <c r="G950" s="1" t="s">
        <v>49</v>
      </c>
      <c r="H950" s="1" t="str">
        <f t="shared" si="43"/>
        <v>AZ</v>
      </c>
      <c r="I950" s="1">
        <f t="shared" si="44"/>
        <v>0</v>
      </c>
    </row>
    <row r="951" spans="1:9" x14ac:dyDescent="0.2">
      <c r="A951" s="1" t="s">
        <v>1016</v>
      </c>
      <c r="B951" s="1">
        <v>48032.38</v>
      </c>
      <c r="C951" s="1" t="s">
        <v>27</v>
      </c>
      <c r="D951" s="1">
        <f t="shared" si="42"/>
        <v>55993.991594411818</v>
      </c>
      <c r="E951" s="1">
        <v>33.524037130000004</v>
      </c>
      <c r="F951" s="1">
        <v>-111.89991000000001</v>
      </c>
      <c r="G951" s="1" t="s">
        <v>49</v>
      </c>
      <c r="H951" s="1" t="str">
        <f t="shared" si="43"/>
        <v>AZ</v>
      </c>
      <c r="I951" s="1">
        <f t="shared" si="44"/>
        <v>0</v>
      </c>
    </row>
    <row r="952" spans="1:9" x14ac:dyDescent="0.2">
      <c r="A952" s="1" t="s">
        <v>1017</v>
      </c>
      <c r="B952" s="1">
        <v>6442.5</v>
      </c>
      <c r="C952" s="1" t="s">
        <v>27</v>
      </c>
      <c r="D952" s="1">
        <f t="shared" si="42"/>
        <v>55993.991594411818</v>
      </c>
      <c r="E952" s="1">
        <v>33.62236953</v>
      </c>
      <c r="F952" s="1">
        <v>-111.8742331</v>
      </c>
      <c r="G952" s="1" t="s">
        <v>49</v>
      </c>
      <c r="H952" s="1" t="str">
        <f t="shared" si="43"/>
        <v>AZ</v>
      </c>
      <c r="I952" s="1">
        <f t="shared" si="44"/>
        <v>0</v>
      </c>
    </row>
    <row r="953" spans="1:9" x14ac:dyDescent="0.2">
      <c r="A953" s="1" t="s">
        <v>1018</v>
      </c>
      <c r="B953" s="1">
        <v>14084.93</v>
      </c>
      <c r="C953" s="1" t="s">
        <v>27</v>
      </c>
      <c r="D953" s="1">
        <f t="shared" si="42"/>
        <v>55993.991594411818</v>
      </c>
      <c r="E953" s="1">
        <v>33.650384410000001</v>
      </c>
      <c r="F953" s="1">
        <v>-111.8876478</v>
      </c>
      <c r="G953" s="1" t="s">
        <v>49</v>
      </c>
      <c r="H953" s="1" t="str">
        <f t="shared" si="43"/>
        <v>AZ</v>
      </c>
      <c r="I953" s="1">
        <f t="shared" si="44"/>
        <v>0</v>
      </c>
    </row>
    <row r="954" spans="1:9" x14ac:dyDescent="0.2">
      <c r="A954" s="1" t="s">
        <v>1019</v>
      </c>
      <c r="B954" s="1">
        <v>12692.36</v>
      </c>
      <c r="C954" s="1" t="s">
        <v>27</v>
      </c>
      <c r="D954" s="1">
        <f t="shared" si="42"/>
        <v>55993.991594411818</v>
      </c>
      <c r="E954" s="1">
        <v>33.53121402</v>
      </c>
      <c r="F954" s="1">
        <v>-111.9281124</v>
      </c>
      <c r="G954" s="1" t="s">
        <v>49</v>
      </c>
      <c r="H954" s="1" t="str">
        <f t="shared" si="43"/>
        <v>AZ</v>
      </c>
      <c r="I954" s="1">
        <f t="shared" si="44"/>
        <v>0</v>
      </c>
    </row>
    <row r="955" spans="1:9" x14ac:dyDescent="0.2">
      <c r="A955" s="1" t="s">
        <v>1020</v>
      </c>
      <c r="B955" s="1">
        <v>5085.99</v>
      </c>
      <c r="C955" s="1" t="s">
        <v>27</v>
      </c>
      <c r="D955" s="1">
        <f t="shared" si="42"/>
        <v>55993.991594411818</v>
      </c>
      <c r="E955" s="1">
        <v>33.696934980000002</v>
      </c>
      <c r="F955" s="1">
        <v>-111.8903352</v>
      </c>
      <c r="G955" s="1" t="s">
        <v>49</v>
      </c>
      <c r="H955" s="1" t="str">
        <f t="shared" si="43"/>
        <v>AZ</v>
      </c>
      <c r="I955" s="1">
        <f t="shared" si="44"/>
        <v>0</v>
      </c>
    </row>
    <row r="956" spans="1:9" x14ac:dyDescent="0.2">
      <c r="A956" s="1" t="s">
        <v>1021</v>
      </c>
      <c r="B956" s="1">
        <v>4119.8900000000003</v>
      </c>
      <c r="C956" s="1" t="s">
        <v>27</v>
      </c>
      <c r="D956" s="1">
        <f t="shared" si="42"/>
        <v>55993.991594411818</v>
      </c>
      <c r="E956" s="1">
        <v>33.768769120000002</v>
      </c>
      <c r="F956" s="1">
        <v>-111.92564539999999</v>
      </c>
      <c r="G956" s="1" t="s">
        <v>49</v>
      </c>
      <c r="H956" s="1" t="str">
        <f t="shared" si="43"/>
        <v>AZ</v>
      </c>
      <c r="I956" s="1">
        <f t="shared" si="44"/>
        <v>0</v>
      </c>
    </row>
    <row r="957" spans="1:9" x14ac:dyDescent="0.2">
      <c r="A957" s="1" t="s">
        <v>1022</v>
      </c>
      <c r="B957" s="1">
        <v>48180.1</v>
      </c>
      <c r="C957" s="1" t="s">
        <v>27</v>
      </c>
      <c r="D957" s="1">
        <f t="shared" si="42"/>
        <v>55993.991594411818</v>
      </c>
      <c r="E957" s="1">
        <v>33.589524730000001</v>
      </c>
      <c r="F957" s="1">
        <v>-111.8344329</v>
      </c>
      <c r="G957" s="1" t="s">
        <v>49</v>
      </c>
      <c r="H957" s="1" t="str">
        <f t="shared" si="43"/>
        <v>AZ</v>
      </c>
      <c r="I957" s="1">
        <f t="shared" si="44"/>
        <v>0</v>
      </c>
    </row>
    <row r="958" spans="1:9" x14ac:dyDescent="0.2">
      <c r="A958" s="1" t="s">
        <v>1023</v>
      </c>
      <c r="B958" s="1">
        <v>82966.740000000005</v>
      </c>
      <c r="C958" s="1" t="s">
        <v>27</v>
      </c>
      <c r="D958" s="1">
        <f t="shared" si="42"/>
        <v>55993.991594411818</v>
      </c>
      <c r="E958" s="1">
        <v>33.478928889999999</v>
      </c>
      <c r="F958" s="1">
        <v>-111.9259856</v>
      </c>
      <c r="G958" s="1" t="s">
        <v>49</v>
      </c>
      <c r="H958" s="1" t="str">
        <f t="shared" si="43"/>
        <v>AZ</v>
      </c>
      <c r="I958" s="1">
        <f t="shared" si="44"/>
        <v>1</v>
      </c>
    </row>
    <row r="959" spans="1:9" x14ac:dyDescent="0.2">
      <c r="A959" s="1" t="s">
        <v>1024</v>
      </c>
      <c r="B959" s="1">
        <v>38535.51</v>
      </c>
      <c r="C959" s="1" t="s">
        <v>27</v>
      </c>
      <c r="D959" s="1">
        <f t="shared" si="42"/>
        <v>55993.991594411818</v>
      </c>
      <c r="E959" s="1">
        <v>33.53779548</v>
      </c>
      <c r="F959" s="1">
        <v>-111.908357</v>
      </c>
      <c r="G959" s="1" t="s">
        <v>49</v>
      </c>
      <c r="H959" s="1" t="str">
        <f t="shared" si="43"/>
        <v>AZ</v>
      </c>
      <c r="I959" s="1">
        <f t="shared" si="44"/>
        <v>0</v>
      </c>
    </row>
    <row r="960" spans="1:9" x14ac:dyDescent="0.2">
      <c r="A960" s="1" t="s">
        <v>1025</v>
      </c>
      <c r="B960" s="1">
        <v>29314.05</v>
      </c>
      <c r="C960" s="1" t="s">
        <v>27</v>
      </c>
      <c r="D960" s="1">
        <f t="shared" si="42"/>
        <v>55993.991594411818</v>
      </c>
      <c r="E960" s="1">
        <v>33.523762869999999</v>
      </c>
      <c r="F960" s="1">
        <v>-111.89933069999999</v>
      </c>
      <c r="G960" s="1" t="s">
        <v>49</v>
      </c>
      <c r="H960" s="1" t="str">
        <f t="shared" si="43"/>
        <v>AZ</v>
      </c>
      <c r="I960" s="1">
        <f t="shared" si="44"/>
        <v>0</v>
      </c>
    </row>
    <row r="961" spans="1:9" x14ac:dyDescent="0.2">
      <c r="A961" s="1" t="s">
        <v>1026</v>
      </c>
      <c r="B961" s="1">
        <v>32795.65</v>
      </c>
      <c r="C961" s="1" t="s">
        <v>27</v>
      </c>
      <c r="D961" s="1">
        <f t="shared" si="42"/>
        <v>55993.991594411818</v>
      </c>
      <c r="E961" s="1">
        <v>33.494655479999999</v>
      </c>
      <c r="F961" s="1">
        <v>-111.90794150000001</v>
      </c>
      <c r="G961" s="1" t="s">
        <v>49</v>
      </c>
      <c r="H961" s="1" t="str">
        <f t="shared" si="43"/>
        <v>AZ</v>
      </c>
      <c r="I961" s="1">
        <f t="shared" si="44"/>
        <v>0</v>
      </c>
    </row>
    <row r="962" spans="1:9" x14ac:dyDescent="0.2">
      <c r="A962" s="1" t="s">
        <v>1027</v>
      </c>
      <c r="B962" s="1">
        <v>31083.31</v>
      </c>
      <c r="C962" s="1" t="s">
        <v>27</v>
      </c>
      <c r="D962" s="1">
        <f t="shared" si="42"/>
        <v>55993.991594411818</v>
      </c>
      <c r="E962" s="1">
        <v>33.639862870000002</v>
      </c>
      <c r="F962" s="1">
        <v>-111.8626556</v>
      </c>
      <c r="G962" s="1" t="s">
        <v>49</v>
      </c>
      <c r="H962" s="1" t="str">
        <f t="shared" si="43"/>
        <v>AZ</v>
      </c>
      <c r="I962" s="1">
        <f t="shared" si="44"/>
        <v>0</v>
      </c>
    </row>
    <row r="963" spans="1:9" x14ac:dyDescent="0.2">
      <c r="A963" s="1" t="s">
        <v>1028</v>
      </c>
      <c r="B963" s="1">
        <v>35026.639999999999</v>
      </c>
      <c r="C963" s="1" t="s">
        <v>27</v>
      </c>
      <c r="D963" s="1">
        <f t="shared" ref="D963:D1026" si="45">AVERAGEIFS($B:$B,$C:$C,$C963)</f>
        <v>55993.991594411818</v>
      </c>
      <c r="E963" s="1">
        <v>33.48290429</v>
      </c>
      <c r="F963" s="1">
        <v>-111.9349244</v>
      </c>
      <c r="G963" s="1" t="s">
        <v>49</v>
      </c>
      <c r="H963" s="1" t="str">
        <f t="shared" ref="H963:H1026" si="46">TRIM(_xlfn.TEXTAFTER(A963, ",", -1))</f>
        <v>AZ</v>
      </c>
      <c r="I963" s="1">
        <f t="shared" ref="I963:I1026" si="47">IF(B963&gt;D963,1,0)</f>
        <v>0</v>
      </c>
    </row>
    <row r="964" spans="1:9" x14ac:dyDescent="0.2">
      <c r="A964" s="1" t="s">
        <v>1029</v>
      </c>
      <c r="B964" s="1">
        <v>82602.240000000005</v>
      </c>
      <c r="C964" s="1" t="s">
        <v>27</v>
      </c>
      <c r="D964" s="1">
        <f t="shared" si="45"/>
        <v>55993.991594411818</v>
      </c>
      <c r="E964" s="1">
        <v>33.501456879999999</v>
      </c>
      <c r="F964" s="1">
        <v>-111.91768449999999</v>
      </c>
      <c r="G964" s="1" t="s">
        <v>49</v>
      </c>
      <c r="H964" s="1" t="str">
        <f t="shared" si="46"/>
        <v>AZ</v>
      </c>
      <c r="I964" s="1">
        <f t="shared" si="47"/>
        <v>1</v>
      </c>
    </row>
    <row r="965" spans="1:9" x14ac:dyDescent="0.2">
      <c r="A965" s="1" t="s">
        <v>1030</v>
      </c>
      <c r="B965" s="1">
        <v>51282.42</v>
      </c>
      <c r="C965" s="1" t="s">
        <v>27</v>
      </c>
      <c r="D965" s="1">
        <f t="shared" si="45"/>
        <v>55993.991594411818</v>
      </c>
      <c r="E965" s="1">
        <v>33.494612869999997</v>
      </c>
      <c r="F965" s="1">
        <v>-111.93247</v>
      </c>
      <c r="G965" s="1" t="s">
        <v>49</v>
      </c>
      <c r="H965" s="1" t="str">
        <f t="shared" si="46"/>
        <v>AZ</v>
      </c>
      <c r="I965" s="1">
        <f t="shared" si="47"/>
        <v>0</v>
      </c>
    </row>
    <row r="966" spans="1:9" x14ac:dyDescent="0.2">
      <c r="A966" s="1" t="s">
        <v>1031</v>
      </c>
      <c r="B966" s="1">
        <v>43542.18</v>
      </c>
      <c r="C966" s="1" t="s">
        <v>27</v>
      </c>
      <c r="D966" s="1">
        <f t="shared" si="45"/>
        <v>55993.991594411818</v>
      </c>
      <c r="E966" s="1">
        <v>33.480262869999997</v>
      </c>
      <c r="F966" s="1">
        <v>-111.90894</v>
      </c>
      <c r="G966" s="1" t="s">
        <v>49</v>
      </c>
      <c r="H966" s="1" t="str">
        <f t="shared" si="46"/>
        <v>AZ</v>
      </c>
      <c r="I966" s="1">
        <f t="shared" si="47"/>
        <v>0</v>
      </c>
    </row>
    <row r="967" spans="1:9" x14ac:dyDescent="0.2">
      <c r="A967" s="1" t="s">
        <v>1032</v>
      </c>
      <c r="B967" s="1">
        <v>54637.93</v>
      </c>
      <c r="C967" s="1" t="s">
        <v>27</v>
      </c>
      <c r="D967" s="1">
        <f t="shared" si="45"/>
        <v>55993.991594411818</v>
      </c>
      <c r="E967" s="1">
        <v>33.4658236</v>
      </c>
      <c r="F967" s="1">
        <v>-111.9354647</v>
      </c>
      <c r="G967" s="1" t="s">
        <v>49</v>
      </c>
      <c r="H967" s="1" t="str">
        <f t="shared" si="46"/>
        <v>AZ</v>
      </c>
      <c r="I967" s="1">
        <f t="shared" si="47"/>
        <v>0</v>
      </c>
    </row>
    <row r="968" spans="1:9" x14ac:dyDescent="0.2">
      <c r="A968" s="1" t="s">
        <v>1033</v>
      </c>
      <c r="B968" s="1">
        <v>39087</v>
      </c>
      <c r="C968" s="1" t="s">
        <v>27</v>
      </c>
      <c r="D968" s="1">
        <f t="shared" si="45"/>
        <v>55993.991594411818</v>
      </c>
      <c r="E968" s="1">
        <v>33.451397129999997</v>
      </c>
      <c r="F968" s="1">
        <v>-111.9178567</v>
      </c>
      <c r="G968" s="1" t="s">
        <v>49</v>
      </c>
      <c r="H968" s="1" t="str">
        <f t="shared" si="46"/>
        <v>AZ</v>
      </c>
      <c r="I968" s="1">
        <f t="shared" si="47"/>
        <v>0</v>
      </c>
    </row>
    <row r="969" spans="1:9" x14ac:dyDescent="0.2">
      <c r="A969" s="1" t="s">
        <v>1034</v>
      </c>
      <c r="B969" s="1">
        <v>35266.39</v>
      </c>
      <c r="C969" s="1" t="s">
        <v>27</v>
      </c>
      <c r="D969" s="1">
        <f t="shared" si="45"/>
        <v>55993.991594411818</v>
      </c>
      <c r="E969" s="1">
        <v>33.488141329999998</v>
      </c>
      <c r="F969" s="1">
        <v>-111.90906440000001</v>
      </c>
      <c r="G969" s="1" t="s">
        <v>49</v>
      </c>
      <c r="H969" s="1" t="str">
        <f t="shared" si="46"/>
        <v>AZ</v>
      </c>
      <c r="I969" s="1">
        <f t="shared" si="47"/>
        <v>0</v>
      </c>
    </row>
    <row r="970" spans="1:9" x14ac:dyDescent="0.2">
      <c r="A970" s="1" t="s">
        <v>1035</v>
      </c>
      <c r="B970" s="1">
        <v>41744.65</v>
      </c>
      <c r="C970" s="1" t="s">
        <v>27</v>
      </c>
      <c r="D970" s="1">
        <f t="shared" si="45"/>
        <v>55993.991594411818</v>
      </c>
      <c r="E970" s="1">
        <v>33.582357129999998</v>
      </c>
      <c r="F970" s="1">
        <v>-111.9270909</v>
      </c>
      <c r="G970" s="1" t="s">
        <v>49</v>
      </c>
      <c r="H970" s="1" t="str">
        <f t="shared" si="46"/>
        <v>AZ</v>
      </c>
      <c r="I970" s="1">
        <f t="shared" si="47"/>
        <v>0</v>
      </c>
    </row>
    <row r="971" spans="1:9" x14ac:dyDescent="0.2">
      <c r="A971" s="1" t="s">
        <v>1036</v>
      </c>
      <c r="B971" s="1">
        <v>53303.02</v>
      </c>
      <c r="C971" s="1" t="s">
        <v>27</v>
      </c>
      <c r="D971" s="1">
        <f t="shared" si="45"/>
        <v>55993.991594411818</v>
      </c>
      <c r="E971" s="1">
        <v>33.612079870000002</v>
      </c>
      <c r="F971" s="1">
        <v>-111.8651531</v>
      </c>
      <c r="G971" s="1" t="s">
        <v>49</v>
      </c>
      <c r="H971" s="1" t="str">
        <f t="shared" si="46"/>
        <v>AZ</v>
      </c>
      <c r="I971" s="1">
        <f t="shared" si="47"/>
        <v>0</v>
      </c>
    </row>
    <row r="972" spans="1:9" x14ac:dyDescent="0.2">
      <c r="A972" s="1" t="s">
        <v>1037</v>
      </c>
      <c r="B972" s="1">
        <v>60676.83</v>
      </c>
      <c r="C972" s="1" t="s">
        <v>27</v>
      </c>
      <c r="D972" s="1">
        <f t="shared" si="45"/>
        <v>55993.991594411818</v>
      </c>
      <c r="E972" s="1">
        <v>33.582742400000001</v>
      </c>
      <c r="F972" s="1">
        <v>-111.88844760000001</v>
      </c>
      <c r="G972" s="1" t="s">
        <v>49</v>
      </c>
      <c r="H972" s="1" t="str">
        <f t="shared" si="46"/>
        <v>AZ</v>
      </c>
      <c r="I972" s="1">
        <f t="shared" si="47"/>
        <v>1</v>
      </c>
    </row>
    <row r="973" spans="1:9" x14ac:dyDescent="0.2">
      <c r="A973" s="1" t="s">
        <v>1038</v>
      </c>
      <c r="B973" s="1">
        <v>80078.929999999993</v>
      </c>
      <c r="C973" s="1" t="s">
        <v>27</v>
      </c>
      <c r="D973" s="1">
        <f t="shared" si="45"/>
        <v>55993.991594411818</v>
      </c>
      <c r="E973" s="1">
        <v>33.675730000000001</v>
      </c>
      <c r="F973" s="1">
        <v>-111.9251752</v>
      </c>
      <c r="G973" s="1" t="s">
        <v>49</v>
      </c>
      <c r="H973" s="1" t="str">
        <f t="shared" si="46"/>
        <v>AZ</v>
      </c>
      <c r="I973" s="1">
        <f t="shared" si="47"/>
        <v>1</v>
      </c>
    </row>
    <row r="974" spans="1:9" x14ac:dyDescent="0.2">
      <c r="A974" s="1" t="s">
        <v>1039</v>
      </c>
      <c r="B974" s="1">
        <v>27658.98</v>
      </c>
      <c r="C974" s="1" t="s">
        <v>27</v>
      </c>
      <c r="D974" s="1">
        <f t="shared" si="45"/>
        <v>55993.991594411818</v>
      </c>
      <c r="E974" s="1">
        <v>33.46604713</v>
      </c>
      <c r="F974" s="1">
        <v>-111.90317</v>
      </c>
      <c r="G974" s="1" t="s">
        <v>49</v>
      </c>
      <c r="H974" s="1" t="str">
        <f t="shared" si="46"/>
        <v>AZ</v>
      </c>
      <c r="I974" s="1">
        <f t="shared" si="47"/>
        <v>0</v>
      </c>
    </row>
    <row r="975" spans="1:9" x14ac:dyDescent="0.2">
      <c r="A975" s="1" t="s">
        <v>1040</v>
      </c>
      <c r="B975" s="1">
        <v>79819.009999999995</v>
      </c>
      <c r="C975" s="1" t="s">
        <v>27</v>
      </c>
      <c r="D975" s="1">
        <f t="shared" si="45"/>
        <v>55993.991594411818</v>
      </c>
      <c r="E975" s="1">
        <v>33.742331030000003</v>
      </c>
      <c r="F975" s="1">
        <v>-111.8432487</v>
      </c>
      <c r="G975" s="1" t="s">
        <v>49</v>
      </c>
      <c r="H975" s="1" t="str">
        <f t="shared" si="46"/>
        <v>AZ</v>
      </c>
      <c r="I975" s="1">
        <f t="shared" si="47"/>
        <v>1</v>
      </c>
    </row>
    <row r="976" spans="1:9" x14ac:dyDescent="0.2">
      <c r="A976" s="1" t="s">
        <v>1041</v>
      </c>
      <c r="B976" s="1">
        <v>48341.09</v>
      </c>
      <c r="C976" s="1" t="s">
        <v>27</v>
      </c>
      <c r="D976" s="1">
        <f t="shared" si="45"/>
        <v>55993.991594411818</v>
      </c>
      <c r="E976" s="1">
        <v>33.465572889999997</v>
      </c>
      <c r="F976" s="1">
        <v>-111.9087473</v>
      </c>
      <c r="G976" s="1" t="s">
        <v>49</v>
      </c>
      <c r="H976" s="1" t="str">
        <f t="shared" si="46"/>
        <v>AZ</v>
      </c>
      <c r="I976" s="1">
        <f t="shared" si="47"/>
        <v>0</v>
      </c>
    </row>
    <row r="977" spans="1:9" x14ac:dyDescent="0.2">
      <c r="A977" s="1" t="s">
        <v>1042</v>
      </c>
      <c r="B977" s="1">
        <v>29602.38</v>
      </c>
      <c r="C977" s="1" t="s">
        <v>27</v>
      </c>
      <c r="D977" s="1">
        <f t="shared" si="45"/>
        <v>55993.991594411818</v>
      </c>
      <c r="E977" s="1">
        <v>33.574369560000001</v>
      </c>
      <c r="F977" s="1">
        <v>-111.9055765</v>
      </c>
      <c r="G977" s="1" t="s">
        <v>49</v>
      </c>
      <c r="H977" s="1" t="str">
        <f t="shared" si="46"/>
        <v>AZ</v>
      </c>
      <c r="I977" s="1">
        <f t="shared" si="47"/>
        <v>0</v>
      </c>
    </row>
    <row r="978" spans="1:9" x14ac:dyDescent="0.2">
      <c r="A978" s="1" t="s">
        <v>1043</v>
      </c>
      <c r="B978" s="1">
        <v>100210.71</v>
      </c>
      <c r="C978" s="1" t="s">
        <v>27</v>
      </c>
      <c r="D978" s="1">
        <f t="shared" si="45"/>
        <v>55993.991594411818</v>
      </c>
      <c r="E978" s="1">
        <v>33.496131990000002</v>
      </c>
      <c r="F978" s="1">
        <v>-111.9087047</v>
      </c>
      <c r="G978" s="1" t="s">
        <v>49</v>
      </c>
      <c r="H978" s="1" t="str">
        <f t="shared" si="46"/>
        <v>AZ</v>
      </c>
      <c r="I978" s="1">
        <f t="shared" si="47"/>
        <v>1</v>
      </c>
    </row>
    <row r="979" spans="1:9" x14ac:dyDescent="0.2">
      <c r="A979" s="1" t="s">
        <v>1044</v>
      </c>
      <c r="B979" s="1">
        <v>90750.67</v>
      </c>
      <c r="C979" s="1" t="s">
        <v>27</v>
      </c>
      <c r="D979" s="1">
        <f t="shared" si="45"/>
        <v>55993.991594411818</v>
      </c>
      <c r="E979" s="1">
        <v>33.57846</v>
      </c>
      <c r="F979" s="1">
        <v>-111.92629460000001</v>
      </c>
      <c r="G979" s="1" t="s">
        <v>49</v>
      </c>
      <c r="H979" s="1" t="str">
        <f t="shared" si="46"/>
        <v>AZ</v>
      </c>
      <c r="I979" s="1">
        <f t="shared" si="47"/>
        <v>1</v>
      </c>
    </row>
    <row r="980" spans="1:9" x14ac:dyDescent="0.2">
      <c r="A980" s="1" t="s">
        <v>1045</v>
      </c>
      <c r="B980" s="1">
        <v>39506.19</v>
      </c>
      <c r="C980" s="1" t="s">
        <v>27</v>
      </c>
      <c r="D980" s="1">
        <f t="shared" si="45"/>
        <v>55993.991594411818</v>
      </c>
      <c r="E980" s="1">
        <v>33.574128639999998</v>
      </c>
      <c r="F980" s="1">
        <v>-111.8646081</v>
      </c>
      <c r="G980" s="1" t="s">
        <v>49</v>
      </c>
      <c r="H980" s="1" t="str">
        <f t="shared" si="46"/>
        <v>AZ</v>
      </c>
      <c r="I980" s="1">
        <f t="shared" si="47"/>
        <v>0</v>
      </c>
    </row>
    <row r="981" spans="1:9" x14ac:dyDescent="0.2">
      <c r="A981" s="1" t="s">
        <v>1046</v>
      </c>
      <c r="B981" s="1">
        <v>63835.9</v>
      </c>
      <c r="C981" s="1" t="s">
        <v>27</v>
      </c>
      <c r="D981" s="1">
        <f t="shared" si="45"/>
        <v>55993.991594411818</v>
      </c>
      <c r="E981" s="1">
        <v>33.640252869999998</v>
      </c>
      <c r="F981" s="1">
        <v>-111.960021</v>
      </c>
      <c r="G981" s="1" t="s">
        <v>49</v>
      </c>
      <c r="H981" s="1" t="str">
        <f t="shared" si="46"/>
        <v>AZ</v>
      </c>
      <c r="I981" s="1">
        <f t="shared" si="47"/>
        <v>1</v>
      </c>
    </row>
    <row r="982" spans="1:9" x14ac:dyDescent="0.2">
      <c r="A982" s="1" t="s">
        <v>1047</v>
      </c>
      <c r="B982" s="1">
        <v>44680.91</v>
      </c>
      <c r="C982" s="1" t="s">
        <v>27</v>
      </c>
      <c r="D982" s="1">
        <f t="shared" si="45"/>
        <v>55993.991594411818</v>
      </c>
      <c r="E982" s="1">
        <v>33.479845130000001</v>
      </c>
      <c r="F982" s="1">
        <v>-111.92588170000001</v>
      </c>
      <c r="G982" s="1" t="s">
        <v>49</v>
      </c>
      <c r="H982" s="1" t="str">
        <f t="shared" si="46"/>
        <v>AZ</v>
      </c>
      <c r="I982" s="1">
        <f t="shared" si="47"/>
        <v>0</v>
      </c>
    </row>
    <row r="983" spans="1:9" x14ac:dyDescent="0.2">
      <c r="A983" s="1" t="s">
        <v>1048</v>
      </c>
      <c r="B983" s="1">
        <v>93538.61</v>
      </c>
      <c r="C983" s="1" t="s">
        <v>27</v>
      </c>
      <c r="D983" s="1">
        <f t="shared" si="45"/>
        <v>55993.991594411818</v>
      </c>
      <c r="E983" s="1">
        <v>33.62573287</v>
      </c>
      <c r="F983" s="1">
        <v>-111.94438</v>
      </c>
      <c r="G983" s="1" t="s">
        <v>49</v>
      </c>
      <c r="H983" s="1" t="str">
        <f t="shared" si="46"/>
        <v>AZ</v>
      </c>
      <c r="I983" s="1">
        <f t="shared" si="47"/>
        <v>1</v>
      </c>
    </row>
    <row r="984" spans="1:9" x14ac:dyDescent="0.2">
      <c r="A984" s="1" t="s">
        <v>1049</v>
      </c>
      <c r="B984" s="1">
        <v>71898.03</v>
      </c>
      <c r="C984" s="1" t="s">
        <v>27</v>
      </c>
      <c r="D984" s="1">
        <f t="shared" si="45"/>
        <v>55993.991594411818</v>
      </c>
      <c r="E984" s="1">
        <v>33.58057659</v>
      </c>
      <c r="F984" s="1">
        <v>-111.8866764</v>
      </c>
      <c r="G984" s="1" t="s">
        <v>49</v>
      </c>
      <c r="H984" s="1" t="str">
        <f t="shared" si="46"/>
        <v>AZ</v>
      </c>
      <c r="I984" s="1">
        <f t="shared" si="47"/>
        <v>1</v>
      </c>
    </row>
    <row r="985" spans="1:9" x14ac:dyDescent="0.2">
      <c r="A985" s="1" t="s">
        <v>1050</v>
      </c>
      <c r="C985" s="1" t="s">
        <v>27</v>
      </c>
      <c r="D985" s="1">
        <f t="shared" si="45"/>
        <v>55993.991594411818</v>
      </c>
      <c r="E985" s="1">
        <v>33.494520000000001</v>
      </c>
      <c r="F985" s="1">
        <v>-111.92093</v>
      </c>
      <c r="G985" s="1" t="s">
        <v>49</v>
      </c>
      <c r="H985" s="1" t="str">
        <f t="shared" si="46"/>
        <v>AZ</v>
      </c>
      <c r="I985" s="1">
        <f t="shared" si="47"/>
        <v>0</v>
      </c>
    </row>
    <row r="986" spans="1:9" x14ac:dyDescent="0.2">
      <c r="A986" s="1" t="s">
        <v>1051</v>
      </c>
      <c r="B986" s="1">
        <v>149324.26</v>
      </c>
      <c r="C986" s="1" t="s">
        <v>27</v>
      </c>
      <c r="D986" s="1">
        <f t="shared" si="45"/>
        <v>55993.991594411818</v>
      </c>
      <c r="E986" s="1">
        <v>33.466005180000003</v>
      </c>
      <c r="F986" s="1">
        <v>-111.9131144</v>
      </c>
      <c r="G986" s="1" t="s">
        <v>49</v>
      </c>
      <c r="H986" s="1" t="str">
        <f t="shared" si="46"/>
        <v>AZ</v>
      </c>
      <c r="I986" s="1">
        <f t="shared" si="47"/>
        <v>1</v>
      </c>
    </row>
    <row r="987" spans="1:9" x14ac:dyDescent="0.2">
      <c r="A987" s="1" t="s">
        <v>1052</v>
      </c>
      <c r="B987" s="1">
        <v>68084.28</v>
      </c>
      <c r="C987" s="1" t="s">
        <v>27</v>
      </c>
      <c r="D987" s="1">
        <f t="shared" si="45"/>
        <v>55993.991594411818</v>
      </c>
      <c r="E987" s="1">
        <v>33.640769089999999</v>
      </c>
      <c r="F987" s="1">
        <v>-111.9760201</v>
      </c>
      <c r="G987" s="1" t="s">
        <v>49</v>
      </c>
      <c r="H987" s="1" t="str">
        <f t="shared" si="46"/>
        <v>AZ</v>
      </c>
      <c r="I987" s="1">
        <f t="shared" si="47"/>
        <v>1</v>
      </c>
    </row>
    <row r="988" spans="1:9" x14ac:dyDescent="0.2">
      <c r="A988" s="1" t="s">
        <v>1053</v>
      </c>
      <c r="B988" s="1">
        <v>85370.95</v>
      </c>
      <c r="C988" s="1" t="s">
        <v>27</v>
      </c>
      <c r="D988" s="1">
        <f t="shared" si="45"/>
        <v>55993.991594411818</v>
      </c>
      <c r="E988" s="1">
        <v>33.568957109999999</v>
      </c>
      <c r="F988" s="1">
        <v>-111.88864030000001</v>
      </c>
      <c r="G988" s="1" t="s">
        <v>49</v>
      </c>
      <c r="H988" s="1" t="str">
        <f t="shared" si="46"/>
        <v>AZ</v>
      </c>
      <c r="I988" s="1">
        <f t="shared" si="47"/>
        <v>1</v>
      </c>
    </row>
    <row r="989" spans="1:9" x14ac:dyDescent="0.2">
      <c r="A989" s="1" t="s">
        <v>1054</v>
      </c>
      <c r="B989" s="1">
        <v>86398.720000000001</v>
      </c>
      <c r="C989" s="1" t="s">
        <v>27</v>
      </c>
      <c r="D989" s="1">
        <f t="shared" si="45"/>
        <v>55993.991594411818</v>
      </c>
      <c r="E989" s="1">
        <v>33.670571520000003</v>
      </c>
      <c r="F989" s="1">
        <v>-111.90621489999999</v>
      </c>
      <c r="G989" s="1" t="s">
        <v>49</v>
      </c>
      <c r="H989" s="1" t="str">
        <f t="shared" si="46"/>
        <v>AZ</v>
      </c>
      <c r="I989" s="1">
        <f t="shared" si="47"/>
        <v>1</v>
      </c>
    </row>
    <row r="990" spans="1:9" x14ac:dyDescent="0.2">
      <c r="A990" s="1" t="s">
        <v>1055</v>
      </c>
      <c r="B990" s="1">
        <v>115614.42</v>
      </c>
      <c r="C990" s="1" t="s">
        <v>27</v>
      </c>
      <c r="D990" s="1">
        <f t="shared" si="45"/>
        <v>55993.991594411818</v>
      </c>
      <c r="E990" s="1">
        <v>33.637310550000002</v>
      </c>
      <c r="F990" s="1">
        <v>-111.92564659999999</v>
      </c>
      <c r="G990" s="1" t="s">
        <v>49</v>
      </c>
      <c r="H990" s="1" t="str">
        <f t="shared" si="46"/>
        <v>AZ</v>
      </c>
      <c r="I990" s="1">
        <f t="shared" si="47"/>
        <v>1</v>
      </c>
    </row>
    <row r="991" spans="1:9" x14ac:dyDescent="0.2">
      <c r="A991" s="1" t="s">
        <v>1056</v>
      </c>
      <c r="B991" s="1">
        <v>92717.19</v>
      </c>
      <c r="C991" s="1" t="s">
        <v>27</v>
      </c>
      <c r="D991" s="1">
        <f t="shared" si="45"/>
        <v>55993.991594411818</v>
      </c>
      <c r="E991" s="1">
        <v>33.628576700000004</v>
      </c>
      <c r="F991" s="1">
        <v>-111.92528540000001</v>
      </c>
      <c r="G991" s="1" t="s">
        <v>49</v>
      </c>
      <c r="H991" s="1" t="str">
        <f t="shared" si="46"/>
        <v>AZ</v>
      </c>
      <c r="I991" s="1">
        <f t="shared" si="47"/>
        <v>1</v>
      </c>
    </row>
    <row r="992" spans="1:9" x14ac:dyDescent="0.2">
      <c r="A992" s="1" t="s">
        <v>1057</v>
      </c>
      <c r="B992" s="1">
        <v>89169.74</v>
      </c>
      <c r="C992" s="1" t="s">
        <v>27</v>
      </c>
      <c r="D992" s="1">
        <f t="shared" si="45"/>
        <v>55993.991594411818</v>
      </c>
      <c r="E992" s="1">
        <v>33.61947</v>
      </c>
      <c r="F992" s="1">
        <v>-111.8974753</v>
      </c>
      <c r="G992" s="1" t="s">
        <v>49</v>
      </c>
      <c r="H992" s="1" t="str">
        <f t="shared" si="46"/>
        <v>AZ</v>
      </c>
      <c r="I992" s="1">
        <f t="shared" si="47"/>
        <v>1</v>
      </c>
    </row>
    <row r="993" spans="1:9" x14ac:dyDescent="0.2">
      <c r="A993" s="1" t="s">
        <v>1058</v>
      </c>
      <c r="B993" s="1">
        <v>38396.71</v>
      </c>
      <c r="C993" s="1" t="s">
        <v>27</v>
      </c>
      <c r="D993" s="1">
        <f t="shared" si="45"/>
        <v>55993.991594411818</v>
      </c>
      <c r="E993" s="1">
        <v>33.70064343</v>
      </c>
      <c r="F993" s="1">
        <v>-111.9251404</v>
      </c>
      <c r="G993" s="1" t="s">
        <v>49</v>
      </c>
      <c r="H993" s="1" t="str">
        <f t="shared" si="46"/>
        <v>AZ</v>
      </c>
      <c r="I993" s="1">
        <f t="shared" si="47"/>
        <v>0</v>
      </c>
    </row>
    <row r="994" spans="1:9" x14ac:dyDescent="0.2">
      <c r="A994" s="1" t="s">
        <v>1059</v>
      </c>
      <c r="B994" s="1">
        <v>79867.53</v>
      </c>
      <c r="C994" s="1" t="s">
        <v>27</v>
      </c>
      <c r="D994" s="1">
        <f t="shared" si="45"/>
        <v>55993.991594411818</v>
      </c>
      <c r="E994" s="1">
        <v>33.509547130000001</v>
      </c>
      <c r="F994" s="1">
        <v>-111.91065500000001</v>
      </c>
      <c r="G994" s="1" t="s">
        <v>49</v>
      </c>
      <c r="H994" s="1" t="str">
        <f t="shared" si="46"/>
        <v>AZ</v>
      </c>
      <c r="I994" s="1">
        <f t="shared" si="47"/>
        <v>1</v>
      </c>
    </row>
    <row r="995" spans="1:9" x14ac:dyDescent="0.2">
      <c r="A995" s="1" t="s">
        <v>1060</v>
      </c>
      <c r="B995" s="1">
        <v>65331.28</v>
      </c>
      <c r="C995" s="1" t="s">
        <v>27</v>
      </c>
      <c r="D995" s="1">
        <f t="shared" si="45"/>
        <v>55993.991594411818</v>
      </c>
      <c r="E995" s="1">
        <v>33.620164699999997</v>
      </c>
      <c r="F995" s="1">
        <v>-111.8743056</v>
      </c>
      <c r="G995" s="1" t="s">
        <v>49</v>
      </c>
      <c r="H995" s="1" t="str">
        <f t="shared" si="46"/>
        <v>AZ</v>
      </c>
      <c r="I995" s="1">
        <f t="shared" si="47"/>
        <v>1</v>
      </c>
    </row>
    <row r="996" spans="1:9" x14ac:dyDescent="0.2">
      <c r="A996" s="1" t="s">
        <v>1061</v>
      </c>
      <c r="B996" s="1">
        <v>42077.2</v>
      </c>
      <c r="C996" s="1" t="s">
        <v>27</v>
      </c>
      <c r="D996" s="1">
        <f t="shared" si="45"/>
        <v>55993.991594411818</v>
      </c>
      <c r="E996" s="1">
        <v>33.6742287</v>
      </c>
      <c r="F996" s="1">
        <v>-111.8902952</v>
      </c>
      <c r="G996" s="1" t="s">
        <v>49</v>
      </c>
      <c r="H996" s="1" t="str">
        <f t="shared" si="46"/>
        <v>AZ</v>
      </c>
      <c r="I996" s="1">
        <f t="shared" si="47"/>
        <v>0</v>
      </c>
    </row>
    <row r="997" spans="1:9" x14ac:dyDescent="0.2">
      <c r="A997" s="1" t="s">
        <v>1062</v>
      </c>
      <c r="B997" s="1">
        <v>59102.52</v>
      </c>
      <c r="C997" s="1" t="s">
        <v>27</v>
      </c>
      <c r="D997" s="1">
        <f t="shared" si="45"/>
        <v>55993.991594411818</v>
      </c>
      <c r="E997" s="1">
        <v>33.625666279999997</v>
      </c>
      <c r="F997" s="1">
        <v>-111.9415465</v>
      </c>
      <c r="G997" s="1" t="s">
        <v>49</v>
      </c>
      <c r="H997" s="1" t="str">
        <f t="shared" si="46"/>
        <v>AZ</v>
      </c>
      <c r="I997" s="1">
        <f t="shared" si="47"/>
        <v>1</v>
      </c>
    </row>
    <row r="998" spans="1:9" x14ac:dyDescent="0.2">
      <c r="A998" s="1" t="s">
        <v>1063</v>
      </c>
      <c r="B998" s="1">
        <v>49412.83</v>
      </c>
      <c r="C998" s="1" t="s">
        <v>27</v>
      </c>
      <c r="D998" s="1">
        <f t="shared" si="45"/>
        <v>55993.991594411818</v>
      </c>
      <c r="E998" s="1">
        <v>33.780722679999997</v>
      </c>
      <c r="F998" s="1">
        <v>-111.925625</v>
      </c>
      <c r="G998" s="1" t="s">
        <v>49</v>
      </c>
      <c r="H998" s="1" t="str">
        <f t="shared" si="46"/>
        <v>AZ</v>
      </c>
      <c r="I998" s="1">
        <f t="shared" si="47"/>
        <v>0</v>
      </c>
    </row>
    <row r="999" spans="1:9" x14ac:dyDescent="0.2">
      <c r="A999" s="1" t="s">
        <v>1064</v>
      </c>
      <c r="B999" s="1">
        <v>58600.12</v>
      </c>
      <c r="C999" s="1" t="s">
        <v>27</v>
      </c>
      <c r="D999" s="1">
        <f t="shared" si="45"/>
        <v>55993.991594411818</v>
      </c>
      <c r="E999" s="1">
        <v>33.584150000000001</v>
      </c>
      <c r="F999" s="1">
        <v>-111.9257454</v>
      </c>
      <c r="G999" s="1" t="s">
        <v>49</v>
      </c>
      <c r="H999" s="1" t="str">
        <f t="shared" si="46"/>
        <v>AZ</v>
      </c>
      <c r="I999" s="1">
        <f t="shared" si="47"/>
        <v>1</v>
      </c>
    </row>
    <row r="1000" spans="1:9" x14ac:dyDescent="0.2">
      <c r="A1000" s="1" t="s">
        <v>1065</v>
      </c>
      <c r="B1000" s="1">
        <v>27318.080000000002</v>
      </c>
      <c r="C1000" s="1" t="s">
        <v>27</v>
      </c>
      <c r="D1000" s="1">
        <f t="shared" si="45"/>
        <v>55993.991594411818</v>
      </c>
      <c r="E1000" s="1">
        <v>33.779634469999998</v>
      </c>
      <c r="F1000" s="1">
        <v>-111.925625</v>
      </c>
      <c r="G1000" s="1" t="s">
        <v>49</v>
      </c>
      <c r="H1000" s="1" t="str">
        <f t="shared" si="46"/>
        <v>AZ</v>
      </c>
      <c r="I1000" s="1">
        <f t="shared" si="47"/>
        <v>0</v>
      </c>
    </row>
    <row r="1001" spans="1:9" x14ac:dyDescent="0.2">
      <c r="A1001" s="1" t="s">
        <v>1066</v>
      </c>
      <c r="B1001" s="1">
        <v>72337.320000000007</v>
      </c>
      <c r="C1001" s="1" t="s">
        <v>27</v>
      </c>
      <c r="D1001" s="1">
        <f t="shared" si="45"/>
        <v>55993.991594411818</v>
      </c>
      <c r="E1001" s="1">
        <v>33.538626090000001</v>
      </c>
      <c r="F1001" s="1">
        <v>-111.886894</v>
      </c>
      <c r="G1001" s="1" t="s">
        <v>49</v>
      </c>
      <c r="H1001" s="1" t="str">
        <f t="shared" si="46"/>
        <v>AZ</v>
      </c>
      <c r="I1001" s="1">
        <f t="shared" si="47"/>
        <v>1</v>
      </c>
    </row>
    <row r="1002" spans="1:9" x14ac:dyDescent="0.2">
      <c r="A1002" s="1" t="s">
        <v>1067</v>
      </c>
      <c r="B1002" s="1">
        <v>73747.899999999994</v>
      </c>
      <c r="C1002" s="1" t="s">
        <v>27</v>
      </c>
      <c r="D1002" s="1">
        <f t="shared" si="45"/>
        <v>55993.991594411818</v>
      </c>
      <c r="E1002" s="1">
        <v>33.626686800000002</v>
      </c>
      <c r="F1002" s="1">
        <v>-111.8799933</v>
      </c>
      <c r="G1002" s="1" t="s">
        <v>49</v>
      </c>
      <c r="H1002" s="1" t="str">
        <f t="shared" si="46"/>
        <v>AZ</v>
      </c>
      <c r="I1002" s="1">
        <f t="shared" si="47"/>
        <v>1</v>
      </c>
    </row>
    <row r="1003" spans="1:9" x14ac:dyDescent="0.2">
      <c r="A1003" s="1" t="s">
        <v>1068</v>
      </c>
      <c r="B1003" s="1">
        <v>27020.33</v>
      </c>
      <c r="C1003" s="1" t="s">
        <v>27</v>
      </c>
      <c r="D1003" s="1">
        <f t="shared" si="45"/>
        <v>55993.991594411818</v>
      </c>
      <c r="E1003" s="1">
        <v>33.528799999999997</v>
      </c>
      <c r="F1003" s="1">
        <v>-111.9260045</v>
      </c>
      <c r="G1003" s="1" t="s">
        <v>49</v>
      </c>
      <c r="H1003" s="1" t="str">
        <f t="shared" si="46"/>
        <v>AZ</v>
      </c>
      <c r="I1003" s="1">
        <f t="shared" si="47"/>
        <v>0</v>
      </c>
    </row>
    <row r="1004" spans="1:9" x14ac:dyDescent="0.2">
      <c r="A1004" s="1" t="s">
        <v>1069</v>
      </c>
      <c r="B1004" s="1">
        <v>7933.42</v>
      </c>
      <c r="C1004" s="1" t="s">
        <v>27</v>
      </c>
      <c r="D1004" s="1">
        <f t="shared" si="45"/>
        <v>55993.991594411818</v>
      </c>
      <c r="E1004" s="1">
        <v>33.574418309999999</v>
      </c>
      <c r="F1004" s="1">
        <v>-111.86293860000001</v>
      </c>
      <c r="G1004" s="1" t="s">
        <v>49</v>
      </c>
      <c r="H1004" s="1" t="str">
        <f t="shared" si="46"/>
        <v>AZ</v>
      </c>
      <c r="I1004" s="1">
        <f t="shared" si="47"/>
        <v>0</v>
      </c>
    </row>
    <row r="1005" spans="1:9" x14ac:dyDescent="0.2">
      <c r="A1005" s="1" t="s">
        <v>1070</v>
      </c>
      <c r="B1005" s="1">
        <v>13072.73</v>
      </c>
      <c r="C1005" s="1" t="s">
        <v>27</v>
      </c>
      <c r="D1005" s="1">
        <f t="shared" si="45"/>
        <v>55993.991594411818</v>
      </c>
      <c r="E1005" s="1">
        <v>33.542743260000002</v>
      </c>
      <c r="F1005" s="1">
        <v>-111.9059204</v>
      </c>
      <c r="G1005" s="1" t="s">
        <v>49</v>
      </c>
      <c r="H1005" s="1" t="str">
        <f t="shared" si="46"/>
        <v>AZ</v>
      </c>
      <c r="I1005" s="1">
        <f t="shared" si="47"/>
        <v>0</v>
      </c>
    </row>
    <row r="1006" spans="1:9" x14ac:dyDescent="0.2">
      <c r="A1006" s="1" t="s">
        <v>1071</v>
      </c>
      <c r="B1006" s="1">
        <v>34182.78</v>
      </c>
      <c r="C1006" s="1" t="s">
        <v>27</v>
      </c>
      <c r="D1006" s="1">
        <f t="shared" si="45"/>
        <v>55993.991594411818</v>
      </c>
      <c r="E1006" s="1">
        <v>33.488180610000001</v>
      </c>
      <c r="F1006" s="1">
        <v>-111.92640280000001</v>
      </c>
      <c r="G1006" s="1" t="s">
        <v>49</v>
      </c>
      <c r="H1006" s="1" t="str">
        <f t="shared" si="46"/>
        <v>AZ</v>
      </c>
      <c r="I1006" s="1">
        <f t="shared" si="47"/>
        <v>0</v>
      </c>
    </row>
    <row r="1007" spans="1:9" x14ac:dyDescent="0.2">
      <c r="A1007" s="1" t="s">
        <v>1072</v>
      </c>
      <c r="B1007" s="1">
        <v>11991.23</v>
      </c>
      <c r="C1007" s="1" t="s">
        <v>27</v>
      </c>
      <c r="D1007" s="1">
        <f t="shared" si="45"/>
        <v>55993.991594411818</v>
      </c>
      <c r="E1007" s="1">
        <v>33.581932870000003</v>
      </c>
      <c r="F1007" s="1">
        <v>-111.9299743</v>
      </c>
      <c r="G1007" s="1" t="s">
        <v>49</v>
      </c>
      <c r="H1007" s="1" t="str">
        <f t="shared" si="46"/>
        <v>AZ</v>
      </c>
      <c r="I1007" s="1">
        <f t="shared" si="47"/>
        <v>0</v>
      </c>
    </row>
    <row r="1008" spans="1:9" x14ac:dyDescent="0.2">
      <c r="A1008" s="1" t="s">
        <v>1073</v>
      </c>
      <c r="B1008" s="1">
        <v>15002.65</v>
      </c>
      <c r="C1008" s="1" t="s">
        <v>27</v>
      </c>
      <c r="D1008" s="1">
        <f t="shared" si="45"/>
        <v>55993.991594411818</v>
      </c>
      <c r="E1008" s="1">
        <v>33.69883677</v>
      </c>
      <c r="F1008" s="1">
        <v>-111.8896779</v>
      </c>
      <c r="G1008" s="1" t="s">
        <v>49</v>
      </c>
      <c r="H1008" s="1" t="str">
        <f t="shared" si="46"/>
        <v>AZ</v>
      </c>
      <c r="I1008" s="1">
        <f t="shared" si="47"/>
        <v>0</v>
      </c>
    </row>
    <row r="1009" spans="1:9" x14ac:dyDescent="0.2">
      <c r="A1009" s="1" t="s">
        <v>1074</v>
      </c>
      <c r="B1009" s="1">
        <v>8136.34</v>
      </c>
      <c r="C1009" s="1" t="s">
        <v>27</v>
      </c>
      <c r="D1009" s="1">
        <f t="shared" si="45"/>
        <v>55993.991594411818</v>
      </c>
      <c r="E1009" s="1">
        <v>33.797506429999999</v>
      </c>
      <c r="F1009" s="1">
        <v>-111.92798019999999</v>
      </c>
      <c r="G1009" s="1" t="s">
        <v>49</v>
      </c>
      <c r="H1009" s="1" t="str">
        <f t="shared" si="46"/>
        <v>AZ</v>
      </c>
      <c r="I1009" s="1">
        <f t="shared" si="47"/>
        <v>0</v>
      </c>
    </row>
    <row r="1010" spans="1:9" x14ac:dyDescent="0.2">
      <c r="A1010" s="1" t="s">
        <v>1075</v>
      </c>
      <c r="B1010" s="1">
        <v>19041.259999999998</v>
      </c>
      <c r="C1010" s="1" t="s">
        <v>27</v>
      </c>
      <c r="D1010" s="1">
        <f t="shared" si="45"/>
        <v>55993.991594411818</v>
      </c>
      <c r="E1010" s="1">
        <v>33.46557902</v>
      </c>
      <c r="F1010" s="1">
        <v>-111.9108354</v>
      </c>
      <c r="G1010" s="1" t="s">
        <v>49</v>
      </c>
      <c r="H1010" s="1" t="str">
        <f t="shared" si="46"/>
        <v>AZ</v>
      </c>
      <c r="I1010" s="1">
        <f t="shared" si="47"/>
        <v>0</v>
      </c>
    </row>
    <row r="1011" spans="1:9" x14ac:dyDescent="0.2">
      <c r="A1011" s="1" t="s">
        <v>1076</v>
      </c>
      <c r="B1011" s="1">
        <v>9377.64</v>
      </c>
      <c r="C1011" s="1" t="s">
        <v>27</v>
      </c>
      <c r="D1011" s="1">
        <f t="shared" si="45"/>
        <v>55993.991594411818</v>
      </c>
      <c r="E1011" s="1">
        <v>33.494648069999997</v>
      </c>
      <c r="F1011" s="1">
        <v>-111.9084156</v>
      </c>
      <c r="G1011" s="1" t="s">
        <v>49</v>
      </c>
      <c r="H1011" s="1" t="str">
        <f t="shared" si="46"/>
        <v>AZ</v>
      </c>
      <c r="I1011" s="1">
        <f t="shared" si="47"/>
        <v>0</v>
      </c>
    </row>
    <row r="1012" spans="1:9" x14ac:dyDescent="0.2">
      <c r="A1012" s="1" t="s">
        <v>1077</v>
      </c>
      <c r="B1012" s="1">
        <v>11078.57</v>
      </c>
      <c r="C1012" s="1" t="s">
        <v>27</v>
      </c>
      <c r="D1012" s="1">
        <f t="shared" si="45"/>
        <v>55993.991594411818</v>
      </c>
      <c r="E1012" s="1">
        <v>33.622111160000003</v>
      </c>
      <c r="F1012" s="1">
        <v>-111.8746178</v>
      </c>
      <c r="G1012" s="1" t="s">
        <v>49</v>
      </c>
      <c r="H1012" s="1" t="str">
        <f t="shared" si="46"/>
        <v>AZ</v>
      </c>
      <c r="I1012" s="1">
        <f t="shared" si="47"/>
        <v>0</v>
      </c>
    </row>
    <row r="1013" spans="1:9" x14ac:dyDescent="0.2">
      <c r="A1013" s="1" t="s">
        <v>1078</v>
      </c>
      <c r="B1013" s="1">
        <v>8876.2999999999993</v>
      </c>
      <c r="C1013" s="1" t="s">
        <v>27</v>
      </c>
      <c r="D1013" s="1">
        <f t="shared" si="45"/>
        <v>55993.991594411818</v>
      </c>
      <c r="E1013" s="1">
        <v>33.625666279999997</v>
      </c>
      <c r="F1013" s="1">
        <v>-111.9415465</v>
      </c>
      <c r="G1013" s="1" t="s">
        <v>49</v>
      </c>
      <c r="H1013" s="1" t="str">
        <f t="shared" si="46"/>
        <v>AZ</v>
      </c>
      <c r="I1013" s="1">
        <f t="shared" si="47"/>
        <v>0</v>
      </c>
    </row>
    <row r="1014" spans="1:9" x14ac:dyDescent="0.2">
      <c r="A1014" s="1" t="s">
        <v>1079</v>
      </c>
      <c r="B1014" s="1">
        <v>7713.35</v>
      </c>
      <c r="C1014" s="1" t="s">
        <v>27</v>
      </c>
      <c r="D1014" s="1">
        <f t="shared" si="45"/>
        <v>55993.991594411818</v>
      </c>
      <c r="E1014" s="1">
        <v>33.587505370000002</v>
      </c>
      <c r="F1014" s="1">
        <v>-111.8395696</v>
      </c>
      <c r="G1014" s="1" t="s">
        <v>49</v>
      </c>
      <c r="H1014" s="1" t="str">
        <f t="shared" si="46"/>
        <v>AZ</v>
      </c>
      <c r="I1014" s="1">
        <f t="shared" si="47"/>
        <v>0</v>
      </c>
    </row>
    <row r="1015" spans="1:9" x14ac:dyDescent="0.2">
      <c r="A1015" s="1" t="s">
        <v>1080</v>
      </c>
      <c r="B1015" s="1">
        <v>15316.69</v>
      </c>
      <c r="C1015" s="1" t="s">
        <v>27</v>
      </c>
      <c r="D1015" s="1">
        <f t="shared" si="45"/>
        <v>55993.991594411818</v>
      </c>
      <c r="E1015" s="1">
        <v>33.674366880000001</v>
      </c>
      <c r="F1015" s="1">
        <v>-111.9251752</v>
      </c>
      <c r="G1015" s="1" t="s">
        <v>49</v>
      </c>
      <c r="H1015" s="1" t="str">
        <f t="shared" si="46"/>
        <v>AZ</v>
      </c>
      <c r="I1015" s="1">
        <f t="shared" si="47"/>
        <v>0</v>
      </c>
    </row>
    <row r="1016" spans="1:9" x14ac:dyDescent="0.2">
      <c r="A1016" s="1" t="s">
        <v>1081</v>
      </c>
      <c r="B1016" s="1">
        <v>20858.14</v>
      </c>
      <c r="C1016" s="1" t="s">
        <v>27</v>
      </c>
      <c r="D1016" s="1">
        <f t="shared" si="45"/>
        <v>55993.991594411818</v>
      </c>
      <c r="E1016" s="1">
        <v>33.74260752</v>
      </c>
      <c r="F1016" s="1">
        <v>-111.8440202</v>
      </c>
      <c r="G1016" s="1" t="s">
        <v>49</v>
      </c>
      <c r="H1016" s="1" t="str">
        <f t="shared" si="46"/>
        <v>AZ</v>
      </c>
      <c r="I1016" s="1">
        <f t="shared" si="47"/>
        <v>0</v>
      </c>
    </row>
    <row r="1017" spans="1:9" x14ac:dyDescent="0.2">
      <c r="A1017" s="1" t="s">
        <v>1082</v>
      </c>
      <c r="B1017" s="1">
        <v>6920.44</v>
      </c>
      <c r="C1017" s="1" t="s">
        <v>27</v>
      </c>
      <c r="D1017" s="1">
        <f t="shared" si="45"/>
        <v>55993.991594411818</v>
      </c>
      <c r="E1017" s="1">
        <v>33.523762869999999</v>
      </c>
      <c r="F1017" s="1">
        <v>-111.89776999999999</v>
      </c>
      <c r="G1017" s="1" t="s">
        <v>49</v>
      </c>
      <c r="H1017" s="1" t="str">
        <f t="shared" si="46"/>
        <v>AZ</v>
      </c>
      <c r="I1017" s="1">
        <f t="shared" si="47"/>
        <v>0</v>
      </c>
    </row>
    <row r="1018" spans="1:9" x14ac:dyDescent="0.2">
      <c r="A1018" s="1" t="s">
        <v>1083</v>
      </c>
      <c r="B1018" s="1">
        <v>38738.769999999997</v>
      </c>
      <c r="C1018" s="1" t="s">
        <v>27</v>
      </c>
      <c r="D1018" s="1">
        <f t="shared" si="45"/>
        <v>55993.991594411818</v>
      </c>
      <c r="E1018" s="1">
        <v>33.599925429999999</v>
      </c>
      <c r="F1018" s="1">
        <v>-112.28133</v>
      </c>
      <c r="G1018" s="1" t="s">
        <v>50</v>
      </c>
      <c r="H1018" s="1" t="str">
        <f t="shared" si="46"/>
        <v>AZ</v>
      </c>
      <c r="I1018" s="1">
        <f t="shared" si="47"/>
        <v>0</v>
      </c>
    </row>
    <row r="1019" spans="1:9" x14ac:dyDescent="0.2">
      <c r="A1019" s="1" t="s">
        <v>1084</v>
      </c>
      <c r="B1019" s="1">
        <v>27731.200000000001</v>
      </c>
      <c r="C1019" s="1" t="s">
        <v>27</v>
      </c>
      <c r="D1019" s="1">
        <f t="shared" si="45"/>
        <v>55993.991594411818</v>
      </c>
      <c r="E1019" s="1">
        <v>33.638261069999999</v>
      </c>
      <c r="F1019" s="1">
        <v>-112.27215339999999</v>
      </c>
      <c r="G1019" s="1" t="s">
        <v>50</v>
      </c>
      <c r="H1019" s="1" t="str">
        <f t="shared" si="46"/>
        <v>AZ</v>
      </c>
      <c r="I1019" s="1">
        <f t="shared" si="47"/>
        <v>0</v>
      </c>
    </row>
    <row r="1020" spans="1:9" x14ac:dyDescent="0.2">
      <c r="A1020" s="1" t="s">
        <v>1085</v>
      </c>
      <c r="B1020" s="1">
        <v>82987.45</v>
      </c>
      <c r="C1020" s="1" t="s">
        <v>27</v>
      </c>
      <c r="D1020" s="1">
        <f t="shared" si="45"/>
        <v>55993.991594411818</v>
      </c>
      <c r="E1020" s="1">
        <v>33.602538299999999</v>
      </c>
      <c r="F1020" s="1">
        <v>-112.2886639</v>
      </c>
      <c r="G1020" s="1" t="s">
        <v>50</v>
      </c>
      <c r="H1020" s="1" t="str">
        <f t="shared" si="46"/>
        <v>AZ</v>
      </c>
      <c r="I1020" s="1">
        <f t="shared" si="47"/>
        <v>1</v>
      </c>
    </row>
    <row r="1021" spans="1:9" x14ac:dyDescent="0.2">
      <c r="A1021" s="1" t="s">
        <v>1086</v>
      </c>
      <c r="B1021" s="1">
        <v>24423.279999999999</v>
      </c>
      <c r="C1021" s="1" t="s">
        <v>27</v>
      </c>
      <c r="D1021" s="1">
        <f t="shared" si="45"/>
        <v>55993.991594411818</v>
      </c>
      <c r="E1021" s="1">
        <v>33.638227129999997</v>
      </c>
      <c r="F1021" s="1">
        <v>-112.29187</v>
      </c>
      <c r="G1021" s="1" t="s">
        <v>50</v>
      </c>
      <c r="H1021" s="1" t="str">
        <f t="shared" si="46"/>
        <v>AZ</v>
      </c>
      <c r="I1021" s="1">
        <f t="shared" si="47"/>
        <v>0</v>
      </c>
    </row>
    <row r="1022" spans="1:9" x14ac:dyDescent="0.2">
      <c r="A1022" s="1" t="s">
        <v>1087</v>
      </c>
      <c r="B1022" s="1">
        <v>14900.71</v>
      </c>
      <c r="C1022" s="1" t="s">
        <v>27</v>
      </c>
      <c r="D1022" s="1">
        <f t="shared" si="45"/>
        <v>55993.991594411818</v>
      </c>
      <c r="E1022" s="1">
        <v>33.579903620000003</v>
      </c>
      <c r="F1022" s="1">
        <v>-112.29062279999999</v>
      </c>
      <c r="G1022" s="1" t="s">
        <v>50</v>
      </c>
      <c r="H1022" s="1" t="str">
        <f t="shared" si="46"/>
        <v>AZ</v>
      </c>
      <c r="I1022" s="1">
        <f t="shared" si="47"/>
        <v>0</v>
      </c>
    </row>
    <row r="1023" spans="1:9" x14ac:dyDescent="0.2">
      <c r="A1023" s="1" t="s">
        <v>1088</v>
      </c>
      <c r="B1023" s="1">
        <v>6902</v>
      </c>
      <c r="C1023" s="1" t="s">
        <v>27</v>
      </c>
      <c r="D1023" s="1">
        <f t="shared" si="45"/>
        <v>55993.991594411818</v>
      </c>
      <c r="E1023" s="1">
        <v>33.623302899999999</v>
      </c>
      <c r="F1023" s="1">
        <v>-112.26979059999999</v>
      </c>
      <c r="G1023" s="1" t="s">
        <v>50</v>
      </c>
      <c r="H1023" s="1" t="str">
        <f t="shared" si="46"/>
        <v>AZ</v>
      </c>
      <c r="I1023" s="1">
        <f t="shared" si="47"/>
        <v>0</v>
      </c>
    </row>
    <row r="1024" spans="1:9" x14ac:dyDescent="0.2">
      <c r="A1024" s="1" t="s">
        <v>1089</v>
      </c>
      <c r="B1024" s="1">
        <v>3987.98</v>
      </c>
      <c r="C1024" s="1" t="s">
        <v>27</v>
      </c>
      <c r="D1024" s="1">
        <f t="shared" si="45"/>
        <v>55993.991594411818</v>
      </c>
      <c r="E1024" s="1">
        <v>33.660553540000002</v>
      </c>
      <c r="F1024" s="1">
        <v>-112.3602054</v>
      </c>
      <c r="G1024" s="1" t="s">
        <v>51</v>
      </c>
      <c r="H1024" s="1" t="str">
        <f t="shared" si="46"/>
        <v>AZ</v>
      </c>
      <c r="I1024" s="1">
        <f t="shared" si="47"/>
        <v>0</v>
      </c>
    </row>
    <row r="1025" spans="1:9" x14ac:dyDescent="0.2">
      <c r="A1025" s="1" t="s">
        <v>1090</v>
      </c>
      <c r="B1025" s="1">
        <v>52111.82</v>
      </c>
      <c r="C1025" s="1" t="s">
        <v>27</v>
      </c>
      <c r="D1025" s="1">
        <f t="shared" si="45"/>
        <v>55993.991594411818</v>
      </c>
      <c r="E1025" s="1">
        <v>33.660228590000003</v>
      </c>
      <c r="F1025" s="1">
        <v>-112.3553273</v>
      </c>
      <c r="G1025" s="1" t="s">
        <v>51</v>
      </c>
      <c r="H1025" s="1" t="str">
        <f t="shared" si="46"/>
        <v>AZ</v>
      </c>
      <c r="I1025" s="1">
        <f t="shared" si="47"/>
        <v>0</v>
      </c>
    </row>
    <row r="1026" spans="1:9" x14ac:dyDescent="0.2">
      <c r="A1026" s="1" t="s">
        <v>1091</v>
      </c>
      <c r="B1026" s="1">
        <v>10159.969999999999</v>
      </c>
      <c r="C1026" s="1" t="s">
        <v>27</v>
      </c>
      <c r="D1026" s="1">
        <f t="shared" si="45"/>
        <v>55993.991594411818</v>
      </c>
      <c r="E1026" s="1">
        <v>33.674419999999998</v>
      </c>
      <c r="F1026" s="1">
        <v>-112.35491</v>
      </c>
      <c r="G1026" s="1" t="s">
        <v>51</v>
      </c>
      <c r="H1026" s="1" t="str">
        <f t="shared" si="46"/>
        <v>AZ</v>
      </c>
      <c r="I1026" s="1">
        <f t="shared" si="47"/>
        <v>0</v>
      </c>
    </row>
    <row r="1027" spans="1:9" x14ac:dyDescent="0.2">
      <c r="A1027" s="1" t="s">
        <v>1092</v>
      </c>
      <c r="B1027" s="1">
        <v>3955.3</v>
      </c>
      <c r="C1027" s="1" t="s">
        <v>27</v>
      </c>
      <c r="D1027" s="1">
        <f t="shared" ref="D1027:D1090" si="48">AVERAGEIFS($B:$B,$C:$C,$C1027)</f>
        <v>55993.991594411818</v>
      </c>
      <c r="E1027" s="1">
        <v>33.657090289999999</v>
      </c>
      <c r="F1027" s="1">
        <v>-112.3508693</v>
      </c>
      <c r="G1027" s="1" t="s">
        <v>51</v>
      </c>
      <c r="H1027" s="1" t="str">
        <f t="shared" ref="H1027:H1090" si="49">TRIM(_xlfn.TEXTAFTER(A1027, ",", -1))</f>
        <v>AZ</v>
      </c>
      <c r="I1027" s="1">
        <f t="shared" ref="I1027:I1090" si="50">IF(B1027&gt;D1027,1,0)</f>
        <v>0</v>
      </c>
    </row>
    <row r="1028" spans="1:9" x14ac:dyDescent="0.2">
      <c r="A1028" s="1" t="s">
        <v>1093</v>
      </c>
      <c r="B1028" s="1">
        <v>15225.92</v>
      </c>
      <c r="C1028" s="1" t="s">
        <v>27</v>
      </c>
      <c r="D1028" s="1">
        <f t="shared" si="48"/>
        <v>55993.991594411818</v>
      </c>
      <c r="E1028" s="1">
        <v>33.21809288</v>
      </c>
      <c r="F1028" s="1">
        <v>-111.8599081</v>
      </c>
      <c r="G1028" s="1" t="s">
        <v>52</v>
      </c>
      <c r="H1028" s="1" t="str">
        <f t="shared" si="49"/>
        <v>AZ</v>
      </c>
      <c r="I1028" s="1">
        <f t="shared" si="50"/>
        <v>0</v>
      </c>
    </row>
    <row r="1029" spans="1:9" x14ac:dyDescent="0.2">
      <c r="A1029" s="1" t="s">
        <v>1094</v>
      </c>
      <c r="B1029" s="1">
        <v>8533.89</v>
      </c>
      <c r="C1029" s="1" t="s">
        <v>27</v>
      </c>
      <c r="D1029" s="1">
        <f t="shared" si="48"/>
        <v>55993.991594411818</v>
      </c>
      <c r="E1029" s="1">
        <v>33.218439070000002</v>
      </c>
      <c r="F1029" s="1">
        <v>-111.8606145</v>
      </c>
      <c r="G1029" s="1" t="s">
        <v>52</v>
      </c>
      <c r="H1029" s="1" t="str">
        <f t="shared" si="49"/>
        <v>AZ</v>
      </c>
      <c r="I1029" s="1">
        <f t="shared" si="50"/>
        <v>0</v>
      </c>
    </row>
    <row r="1030" spans="1:9" x14ac:dyDescent="0.2">
      <c r="A1030" s="1" t="s">
        <v>1095</v>
      </c>
      <c r="B1030" s="1">
        <v>62466.69</v>
      </c>
      <c r="C1030" s="1" t="s">
        <v>27</v>
      </c>
      <c r="D1030" s="1">
        <f t="shared" si="48"/>
        <v>55993.991594411818</v>
      </c>
      <c r="E1030" s="1" t="s">
        <v>11</v>
      </c>
      <c r="F1030" s="1" t="s">
        <v>11</v>
      </c>
      <c r="G1030" s="1" t="s">
        <v>53</v>
      </c>
      <c r="H1030" s="1" t="str">
        <f t="shared" si="49"/>
        <v>AZ</v>
      </c>
      <c r="I1030" s="1">
        <f t="shared" si="50"/>
        <v>1</v>
      </c>
    </row>
    <row r="1031" spans="1:9" x14ac:dyDescent="0.2">
      <c r="A1031" s="1" t="s">
        <v>1096</v>
      </c>
      <c r="B1031" s="1">
        <v>20528.66</v>
      </c>
      <c r="C1031" s="1" t="s">
        <v>27</v>
      </c>
      <c r="D1031" s="1">
        <f t="shared" si="48"/>
        <v>55993.991594411818</v>
      </c>
      <c r="E1031" s="1">
        <v>33.656891309999999</v>
      </c>
      <c r="F1031" s="1">
        <v>-112.3740454</v>
      </c>
      <c r="G1031" s="1" t="s">
        <v>53</v>
      </c>
      <c r="H1031" s="1" t="str">
        <f t="shared" si="49"/>
        <v>AZ</v>
      </c>
      <c r="I1031" s="1">
        <f t="shared" si="50"/>
        <v>0</v>
      </c>
    </row>
    <row r="1032" spans="1:9" x14ac:dyDescent="0.2">
      <c r="A1032" s="1" t="s">
        <v>1097</v>
      </c>
      <c r="B1032" s="1">
        <v>44369.279999999999</v>
      </c>
      <c r="C1032" s="1" t="s">
        <v>27</v>
      </c>
      <c r="D1032" s="1">
        <f t="shared" si="48"/>
        <v>55993.991594411818</v>
      </c>
      <c r="E1032" s="1">
        <v>33.609439170000002</v>
      </c>
      <c r="F1032" s="1">
        <v>-112.3915918</v>
      </c>
      <c r="G1032" s="1" t="s">
        <v>53</v>
      </c>
      <c r="H1032" s="1" t="str">
        <f t="shared" si="49"/>
        <v>AZ</v>
      </c>
      <c r="I1032" s="1">
        <f t="shared" si="50"/>
        <v>0</v>
      </c>
    </row>
    <row r="1033" spans="1:9" x14ac:dyDescent="0.2">
      <c r="A1033" s="1" t="s">
        <v>1098</v>
      </c>
      <c r="B1033" s="1">
        <v>36473.26</v>
      </c>
      <c r="C1033" s="1" t="s">
        <v>27</v>
      </c>
      <c r="D1033" s="1">
        <f t="shared" si="48"/>
        <v>55993.991594411818</v>
      </c>
      <c r="E1033" s="1">
        <v>33.625068679999998</v>
      </c>
      <c r="F1033" s="1">
        <v>-112.33348959999999</v>
      </c>
      <c r="G1033" s="1" t="s">
        <v>53</v>
      </c>
      <c r="H1033" s="1" t="str">
        <f t="shared" si="49"/>
        <v>AZ</v>
      </c>
      <c r="I1033" s="1">
        <f t="shared" si="50"/>
        <v>0</v>
      </c>
    </row>
    <row r="1034" spans="1:9" x14ac:dyDescent="0.2">
      <c r="A1034" s="1" t="s">
        <v>1099</v>
      </c>
      <c r="B1034" s="1">
        <v>76595.259999999995</v>
      </c>
      <c r="C1034" s="1" t="s">
        <v>27</v>
      </c>
      <c r="D1034" s="1">
        <f t="shared" si="48"/>
        <v>55993.991594411818</v>
      </c>
      <c r="E1034" s="1">
        <v>33.638583130000001</v>
      </c>
      <c r="F1034" s="1">
        <v>-112.4087803</v>
      </c>
      <c r="G1034" s="1" t="s">
        <v>53</v>
      </c>
      <c r="H1034" s="1" t="str">
        <f t="shared" si="49"/>
        <v>AZ</v>
      </c>
      <c r="I1034" s="1">
        <f t="shared" si="50"/>
        <v>1</v>
      </c>
    </row>
    <row r="1035" spans="1:9" x14ac:dyDescent="0.2">
      <c r="A1035" s="1" t="s">
        <v>1100</v>
      </c>
      <c r="B1035" s="1">
        <v>46233.7</v>
      </c>
      <c r="C1035" s="1" t="s">
        <v>27</v>
      </c>
      <c r="D1035" s="1">
        <f t="shared" si="48"/>
        <v>55993.991594411818</v>
      </c>
      <c r="E1035" s="1">
        <v>33.638462869999998</v>
      </c>
      <c r="F1035" s="1">
        <v>-112.304615</v>
      </c>
      <c r="G1035" s="1" t="s">
        <v>53</v>
      </c>
      <c r="H1035" s="1" t="str">
        <f t="shared" si="49"/>
        <v>AZ</v>
      </c>
      <c r="I1035" s="1">
        <f t="shared" si="50"/>
        <v>0</v>
      </c>
    </row>
    <row r="1036" spans="1:9" x14ac:dyDescent="0.2">
      <c r="A1036" s="1" t="s">
        <v>1101</v>
      </c>
      <c r="B1036" s="1">
        <v>169539.74</v>
      </c>
      <c r="C1036" s="1" t="s">
        <v>27</v>
      </c>
      <c r="D1036" s="1">
        <f t="shared" si="48"/>
        <v>55993.991594411818</v>
      </c>
      <c r="E1036" s="1" t="s">
        <v>11</v>
      </c>
      <c r="F1036" s="1" t="s">
        <v>11</v>
      </c>
      <c r="G1036" s="1" t="s">
        <v>53</v>
      </c>
      <c r="H1036" s="1" t="str">
        <f t="shared" si="49"/>
        <v>AZ</v>
      </c>
      <c r="I1036" s="1">
        <f t="shared" si="50"/>
        <v>1</v>
      </c>
    </row>
    <row r="1037" spans="1:9" x14ac:dyDescent="0.2">
      <c r="A1037" s="1" t="s">
        <v>1102</v>
      </c>
      <c r="B1037" s="1">
        <v>60424.61</v>
      </c>
      <c r="C1037" s="1" t="s">
        <v>27</v>
      </c>
      <c r="D1037" s="1">
        <f t="shared" si="48"/>
        <v>55993.991594411818</v>
      </c>
      <c r="E1037" s="1">
        <v>33.638844769999999</v>
      </c>
      <c r="F1037" s="1">
        <v>-112.3596149</v>
      </c>
      <c r="G1037" s="1" t="s">
        <v>53</v>
      </c>
      <c r="H1037" s="1" t="str">
        <f t="shared" si="49"/>
        <v>AZ</v>
      </c>
      <c r="I1037" s="1">
        <f t="shared" si="50"/>
        <v>1</v>
      </c>
    </row>
    <row r="1038" spans="1:9" x14ac:dyDescent="0.2">
      <c r="A1038" s="1" t="s">
        <v>1103</v>
      </c>
      <c r="B1038" s="1">
        <v>38506.129999999997</v>
      </c>
      <c r="C1038" s="1" t="s">
        <v>27</v>
      </c>
      <c r="D1038" s="1">
        <f t="shared" si="48"/>
        <v>55993.991594411818</v>
      </c>
      <c r="E1038" s="1">
        <v>33.657081750000003</v>
      </c>
      <c r="F1038" s="1">
        <v>-112.37429109999999</v>
      </c>
      <c r="G1038" s="1" t="s">
        <v>53</v>
      </c>
      <c r="H1038" s="1" t="str">
        <f t="shared" si="49"/>
        <v>AZ</v>
      </c>
      <c r="I1038" s="1">
        <f t="shared" si="50"/>
        <v>0</v>
      </c>
    </row>
    <row r="1039" spans="1:9" x14ac:dyDescent="0.2">
      <c r="A1039" s="1" t="s">
        <v>1104</v>
      </c>
      <c r="B1039" s="1">
        <v>50375.6</v>
      </c>
      <c r="C1039" s="1" t="s">
        <v>27</v>
      </c>
      <c r="D1039" s="1">
        <f t="shared" si="48"/>
        <v>55993.991594411818</v>
      </c>
      <c r="E1039" s="1">
        <v>33.639037129999998</v>
      </c>
      <c r="F1039" s="1">
        <v>-112.42112</v>
      </c>
      <c r="G1039" s="1" t="s">
        <v>53</v>
      </c>
      <c r="H1039" s="1" t="str">
        <f t="shared" si="49"/>
        <v>AZ</v>
      </c>
      <c r="I1039" s="1">
        <f t="shared" si="50"/>
        <v>0</v>
      </c>
    </row>
    <row r="1040" spans="1:9" x14ac:dyDescent="0.2">
      <c r="A1040" s="1" t="s">
        <v>1105</v>
      </c>
      <c r="B1040" s="1">
        <v>105099.04</v>
      </c>
      <c r="C1040" s="1" t="s">
        <v>27</v>
      </c>
      <c r="D1040" s="1">
        <f t="shared" si="48"/>
        <v>55993.991594411818</v>
      </c>
      <c r="E1040" s="1">
        <v>33.638922010000002</v>
      </c>
      <c r="F1040" s="1">
        <v>-112.39517309999999</v>
      </c>
      <c r="G1040" s="1" t="s">
        <v>53</v>
      </c>
      <c r="H1040" s="1" t="str">
        <f t="shared" si="49"/>
        <v>AZ</v>
      </c>
      <c r="I1040" s="1">
        <f t="shared" si="50"/>
        <v>1</v>
      </c>
    </row>
    <row r="1041" spans="1:9" x14ac:dyDescent="0.2">
      <c r="A1041" s="1" t="s">
        <v>1106</v>
      </c>
      <c r="B1041" s="1">
        <v>267171.26</v>
      </c>
      <c r="C1041" s="1" t="s">
        <v>27</v>
      </c>
      <c r="D1041" s="1">
        <f t="shared" si="48"/>
        <v>55993.991594411818</v>
      </c>
      <c r="E1041" s="1">
        <v>33.609330730000003</v>
      </c>
      <c r="F1041" s="1">
        <v>-112.3614188</v>
      </c>
      <c r="G1041" s="1" t="s">
        <v>53</v>
      </c>
      <c r="H1041" s="1" t="str">
        <f t="shared" si="49"/>
        <v>AZ</v>
      </c>
      <c r="I1041" s="1">
        <f t="shared" si="50"/>
        <v>1</v>
      </c>
    </row>
    <row r="1042" spans="1:9" x14ac:dyDescent="0.2">
      <c r="A1042" s="1" t="s">
        <v>1107</v>
      </c>
      <c r="B1042" s="1">
        <v>327853.78999999998</v>
      </c>
      <c r="C1042" s="1" t="s">
        <v>27</v>
      </c>
      <c r="D1042" s="1">
        <f t="shared" si="48"/>
        <v>55993.991594411818</v>
      </c>
      <c r="E1042" s="1">
        <v>33.71123</v>
      </c>
      <c r="F1042" s="1">
        <v>-112.46876</v>
      </c>
      <c r="G1042" s="1" t="s">
        <v>53</v>
      </c>
      <c r="H1042" s="1" t="str">
        <f t="shared" si="49"/>
        <v>AZ</v>
      </c>
      <c r="I1042" s="1">
        <f t="shared" si="50"/>
        <v>1</v>
      </c>
    </row>
    <row r="1043" spans="1:9" x14ac:dyDescent="0.2">
      <c r="A1043" s="1" t="s">
        <v>1108</v>
      </c>
      <c r="B1043" s="1">
        <v>211411.26</v>
      </c>
      <c r="C1043" s="1" t="s">
        <v>27</v>
      </c>
      <c r="D1043" s="1">
        <f t="shared" si="48"/>
        <v>55993.991594411818</v>
      </c>
      <c r="E1043" s="1">
        <v>33.622655000000002</v>
      </c>
      <c r="F1043" s="1">
        <v>-112.4266253</v>
      </c>
      <c r="G1043" s="1" t="s">
        <v>53</v>
      </c>
      <c r="H1043" s="1" t="str">
        <f t="shared" si="49"/>
        <v>AZ</v>
      </c>
      <c r="I1043" s="1">
        <f t="shared" si="50"/>
        <v>1</v>
      </c>
    </row>
    <row r="1044" spans="1:9" x14ac:dyDescent="0.2">
      <c r="A1044" s="1" t="s">
        <v>1109</v>
      </c>
      <c r="B1044" s="1">
        <v>65709.42</v>
      </c>
      <c r="C1044" s="1" t="s">
        <v>27</v>
      </c>
      <c r="D1044" s="1">
        <f t="shared" si="48"/>
        <v>55993.991594411818</v>
      </c>
      <c r="E1044" s="1">
        <v>33.638642869999998</v>
      </c>
      <c r="F1044" s="1">
        <v>-112.4247225</v>
      </c>
      <c r="G1044" s="1" t="s">
        <v>53</v>
      </c>
      <c r="H1044" s="1" t="str">
        <f t="shared" si="49"/>
        <v>AZ</v>
      </c>
      <c r="I1044" s="1">
        <f t="shared" si="50"/>
        <v>1</v>
      </c>
    </row>
    <row r="1045" spans="1:9" x14ac:dyDescent="0.2">
      <c r="A1045" s="1" t="s">
        <v>1110</v>
      </c>
      <c r="B1045" s="1">
        <v>80329.61</v>
      </c>
      <c r="C1045" s="1" t="s">
        <v>27</v>
      </c>
      <c r="D1045" s="1">
        <f t="shared" si="48"/>
        <v>55993.991594411818</v>
      </c>
      <c r="E1045" s="1">
        <v>33.609297089999998</v>
      </c>
      <c r="F1045" s="1">
        <v>-112.35779599999999</v>
      </c>
      <c r="G1045" s="1" t="s">
        <v>53</v>
      </c>
      <c r="H1045" s="1" t="str">
        <f t="shared" si="49"/>
        <v>AZ</v>
      </c>
      <c r="I1045" s="1">
        <f t="shared" si="50"/>
        <v>1</v>
      </c>
    </row>
    <row r="1046" spans="1:9" x14ac:dyDescent="0.2">
      <c r="A1046" s="1" t="s">
        <v>1111</v>
      </c>
      <c r="B1046" s="1">
        <v>117395.37</v>
      </c>
      <c r="C1046" s="1" t="s">
        <v>27</v>
      </c>
      <c r="D1046" s="1">
        <f t="shared" si="48"/>
        <v>55993.991594411818</v>
      </c>
      <c r="E1046" s="1">
        <v>33.580831910000001</v>
      </c>
      <c r="F1046" s="1">
        <v>-112.4323715</v>
      </c>
      <c r="G1046" s="1" t="s">
        <v>53</v>
      </c>
      <c r="H1046" s="1" t="str">
        <f t="shared" si="49"/>
        <v>AZ</v>
      </c>
      <c r="I1046" s="1">
        <f t="shared" si="50"/>
        <v>1</v>
      </c>
    </row>
    <row r="1047" spans="1:9" x14ac:dyDescent="0.2">
      <c r="A1047" s="1" t="s">
        <v>1112</v>
      </c>
      <c r="B1047" s="1">
        <v>61314.84</v>
      </c>
      <c r="C1047" s="1" t="s">
        <v>27</v>
      </c>
      <c r="D1047" s="1">
        <f t="shared" si="48"/>
        <v>55993.991594411818</v>
      </c>
      <c r="E1047" s="1">
        <v>33.638432870000003</v>
      </c>
      <c r="F1047" s="1">
        <v>-112.35380499999999</v>
      </c>
      <c r="G1047" s="1" t="s">
        <v>53</v>
      </c>
      <c r="H1047" s="1" t="str">
        <f t="shared" si="49"/>
        <v>AZ</v>
      </c>
      <c r="I1047" s="1">
        <f t="shared" si="50"/>
        <v>1</v>
      </c>
    </row>
    <row r="1048" spans="1:9" x14ac:dyDescent="0.2">
      <c r="A1048" s="1" t="s">
        <v>1113</v>
      </c>
      <c r="B1048" s="1">
        <v>26149.41</v>
      </c>
      <c r="C1048" s="1" t="s">
        <v>27</v>
      </c>
      <c r="D1048" s="1">
        <f t="shared" si="48"/>
        <v>55993.991594411818</v>
      </c>
      <c r="E1048" s="1" t="s">
        <v>11</v>
      </c>
      <c r="F1048" s="1" t="s">
        <v>11</v>
      </c>
      <c r="G1048" s="1" t="s">
        <v>53</v>
      </c>
      <c r="H1048" s="1" t="str">
        <f t="shared" si="49"/>
        <v>AZ</v>
      </c>
      <c r="I1048" s="1">
        <f t="shared" si="50"/>
        <v>0</v>
      </c>
    </row>
    <row r="1049" spans="1:9" x14ac:dyDescent="0.2">
      <c r="A1049" s="1" t="s">
        <v>1114</v>
      </c>
      <c r="B1049" s="1">
        <v>16879.77</v>
      </c>
      <c r="C1049" s="1" t="s">
        <v>27</v>
      </c>
      <c r="D1049" s="1">
        <f t="shared" si="48"/>
        <v>55993.991594411818</v>
      </c>
      <c r="E1049" s="1">
        <v>33.609047109999999</v>
      </c>
      <c r="F1049" s="1">
        <v>-112.3589644</v>
      </c>
      <c r="G1049" s="1" t="s">
        <v>53</v>
      </c>
      <c r="H1049" s="1" t="str">
        <f t="shared" si="49"/>
        <v>AZ</v>
      </c>
      <c r="I1049" s="1">
        <f t="shared" si="50"/>
        <v>0</v>
      </c>
    </row>
    <row r="1050" spans="1:9" x14ac:dyDescent="0.2">
      <c r="A1050" s="1" t="s">
        <v>1115</v>
      </c>
      <c r="B1050" s="1">
        <v>11295.22</v>
      </c>
      <c r="C1050" s="1" t="s">
        <v>27</v>
      </c>
      <c r="D1050" s="1">
        <f t="shared" si="48"/>
        <v>55993.991594411818</v>
      </c>
      <c r="E1050" s="1">
        <v>33.638907119999999</v>
      </c>
      <c r="F1050" s="1">
        <v>-112.3932677</v>
      </c>
      <c r="G1050" s="1" t="s">
        <v>53</v>
      </c>
      <c r="H1050" s="1" t="str">
        <f t="shared" si="49"/>
        <v>AZ</v>
      </c>
      <c r="I1050" s="1">
        <f t="shared" si="50"/>
        <v>0</v>
      </c>
    </row>
    <row r="1051" spans="1:9" x14ac:dyDescent="0.2">
      <c r="A1051" s="1" t="s">
        <v>1116</v>
      </c>
      <c r="B1051" s="1">
        <v>12382.69</v>
      </c>
      <c r="C1051" s="1" t="s">
        <v>27</v>
      </c>
      <c r="D1051" s="1">
        <f t="shared" si="48"/>
        <v>55993.991594411818</v>
      </c>
      <c r="E1051" s="1">
        <v>33.65285883</v>
      </c>
      <c r="F1051" s="1">
        <v>-112.3688865</v>
      </c>
      <c r="G1051" s="1" t="s">
        <v>53</v>
      </c>
      <c r="H1051" s="1" t="str">
        <f t="shared" si="49"/>
        <v>AZ</v>
      </c>
      <c r="I1051" s="1">
        <f t="shared" si="50"/>
        <v>0</v>
      </c>
    </row>
    <row r="1052" spans="1:9" x14ac:dyDescent="0.2">
      <c r="A1052" s="1" t="s">
        <v>1117</v>
      </c>
      <c r="B1052" s="1">
        <v>17694.39</v>
      </c>
      <c r="C1052" s="1" t="s">
        <v>27</v>
      </c>
      <c r="D1052" s="1">
        <f t="shared" si="48"/>
        <v>55993.991594411818</v>
      </c>
      <c r="E1052" s="1">
        <v>33.639067130000001</v>
      </c>
      <c r="F1052" s="1">
        <v>-112.42609330000001</v>
      </c>
      <c r="G1052" s="1" t="s">
        <v>53</v>
      </c>
      <c r="H1052" s="1" t="str">
        <f t="shared" si="49"/>
        <v>AZ</v>
      </c>
      <c r="I1052" s="1">
        <f t="shared" si="50"/>
        <v>0</v>
      </c>
    </row>
    <row r="1053" spans="1:9" x14ac:dyDescent="0.2">
      <c r="A1053" s="1" t="s">
        <v>1118</v>
      </c>
      <c r="B1053" s="1">
        <v>26498.37</v>
      </c>
      <c r="C1053" s="1" t="s">
        <v>27</v>
      </c>
      <c r="D1053" s="1">
        <f t="shared" si="48"/>
        <v>55993.991594411818</v>
      </c>
      <c r="E1053" s="1">
        <v>33.609757129999998</v>
      </c>
      <c r="F1053" s="1">
        <v>-112.394435</v>
      </c>
      <c r="G1053" s="1" t="s">
        <v>53</v>
      </c>
      <c r="H1053" s="1" t="str">
        <f t="shared" si="49"/>
        <v>AZ</v>
      </c>
      <c r="I1053" s="1">
        <f t="shared" si="50"/>
        <v>0</v>
      </c>
    </row>
    <row r="1054" spans="1:9" x14ac:dyDescent="0.2">
      <c r="A1054" s="1" t="s">
        <v>1119</v>
      </c>
      <c r="B1054" s="1">
        <v>31697.279999999999</v>
      </c>
      <c r="C1054" s="1" t="s">
        <v>27</v>
      </c>
      <c r="D1054" s="1">
        <f t="shared" si="48"/>
        <v>55993.991594411818</v>
      </c>
      <c r="E1054" s="1">
        <v>33.417978339999998</v>
      </c>
      <c r="F1054" s="1">
        <v>-111.9092292</v>
      </c>
      <c r="G1054" s="1" t="s">
        <v>54</v>
      </c>
      <c r="H1054" s="1" t="str">
        <f t="shared" si="49"/>
        <v>AZ</v>
      </c>
      <c r="I1054" s="1">
        <f t="shared" si="50"/>
        <v>0</v>
      </c>
    </row>
    <row r="1055" spans="1:9" x14ac:dyDescent="0.2">
      <c r="A1055" s="1" t="s">
        <v>1120</v>
      </c>
      <c r="B1055" s="1">
        <v>42103.71</v>
      </c>
      <c r="C1055" s="1" t="s">
        <v>27</v>
      </c>
      <c r="D1055" s="1">
        <f t="shared" si="48"/>
        <v>55993.991594411818</v>
      </c>
      <c r="E1055" s="1">
        <v>33.378855139999999</v>
      </c>
      <c r="F1055" s="1">
        <v>-111.9391868</v>
      </c>
      <c r="G1055" s="1" t="s">
        <v>54</v>
      </c>
      <c r="H1055" s="1" t="str">
        <f t="shared" si="49"/>
        <v>AZ</v>
      </c>
      <c r="I1055" s="1">
        <f t="shared" si="50"/>
        <v>0</v>
      </c>
    </row>
    <row r="1056" spans="1:9" x14ac:dyDescent="0.2">
      <c r="A1056" s="1" t="s">
        <v>1121</v>
      </c>
      <c r="B1056" s="1">
        <v>51668.72</v>
      </c>
      <c r="C1056" s="1" t="s">
        <v>27</v>
      </c>
      <c r="D1056" s="1">
        <f t="shared" si="48"/>
        <v>55993.991594411818</v>
      </c>
      <c r="E1056" s="1">
        <v>33.334472869999999</v>
      </c>
      <c r="F1056" s="1">
        <v>-111.9448778</v>
      </c>
      <c r="G1056" s="1" t="s">
        <v>54</v>
      </c>
      <c r="H1056" s="1" t="str">
        <f t="shared" si="49"/>
        <v>AZ</v>
      </c>
      <c r="I1056" s="1">
        <f t="shared" si="50"/>
        <v>0</v>
      </c>
    </row>
    <row r="1057" spans="1:9" x14ac:dyDescent="0.2">
      <c r="A1057" s="1" t="s">
        <v>1122</v>
      </c>
      <c r="B1057" s="1">
        <v>61172.09</v>
      </c>
      <c r="C1057" s="1" t="s">
        <v>27</v>
      </c>
      <c r="D1057" s="1">
        <f t="shared" si="48"/>
        <v>55993.991594411818</v>
      </c>
      <c r="E1057" s="1">
        <v>33.422033020000001</v>
      </c>
      <c r="F1057" s="1">
        <v>-111.9518956</v>
      </c>
      <c r="G1057" s="1" t="s">
        <v>54</v>
      </c>
      <c r="H1057" s="1" t="str">
        <f t="shared" si="49"/>
        <v>AZ</v>
      </c>
      <c r="I1057" s="1">
        <f t="shared" si="50"/>
        <v>1</v>
      </c>
    </row>
    <row r="1058" spans="1:9" x14ac:dyDescent="0.2">
      <c r="A1058" s="1" t="s">
        <v>1123</v>
      </c>
      <c r="B1058" s="1">
        <v>14623.53</v>
      </c>
      <c r="C1058" s="1" t="s">
        <v>27</v>
      </c>
      <c r="D1058" s="1">
        <f t="shared" si="48"/>
        <v>55993.991594411818</v>
      </c>
      <c r="E1058" s="1">
        <v>33.334492869999998</v>
      </c>
      <c r="F1058" s="1">
        <v>-111.9117073</v>
      </c>
      <c r="G1058" s="1" t="s">
        <v>54</v>
      </c>
      <c r="H1058" s="1" t="str">
        <f t="shared" si="49"/>
        <v>AZ</v>
      </c>
      <c r="I1058" s="1">
        <f t="shared" si="50"/>
        <v>0</v>
      </c>
    </row>
    <row r="1059" spans="1:9" x14ac:dyDescent="0.2">
      <c r="A1059" s="1" t="s">
        <v>1124</v>
      </c>
      <c r="B1059" s="1">
        <v>30281.15</v>
      </c>
      <c r="C1059" s="1" t="s">
        <v>27</v>
      </c>
      <c r="D1059" s="1">
        <f t="shared" si="48"/>
        <v>55993.991594411818</v>
      </c>
      <c r="E1059" s="1">
        <v>33.378072869999997</v>
      </c>
      <c r="F1059" s="1">
        <v>-111.9501606</v>
      </c>
      <c r="G1059" s="1" t="s">
        <v>54</v>
      </c>
      <c r="H1059" s="1" t="str">
        <f t="shared" si="49"/>
        <v>AZ</v>
      </c>
      <c r="I1059" s="1">
        <f t="shared" si="50"/>
        <v>0</v>
      </c>
    </row>
    <row r="1060" spans="1:9" x14ac:dyDescent="0.2">
      <c r="A1060" s="1" t="s">
        <v>1125</v>
      </c>
      <c r="B1060" s="1">
        <v>22438.75</v>
      </c>
      <c r="C1060" s="1" t="s">
        <v>27</v>
      </c>
      <c r="D1060" s="1">
        <f t="shared" si="48"/>
        <v>55993.991594411818</v>
      </c>
      <c r="E1060" s="1">
        <v>33.449449999999999</v>
      </c>
      <c r="F1060" s="1">
        <v>-111.9262056</v>
      </c>
      <c r="G1060" s="1" t="s">
        <v>54</v>
      </c>
      <c r="H1060" s="1" t="str">
        <f t="shared" si="49"/>
        <v>AZ</v>
      </c>
      <c r="I1060" s="1">
        <f t="shared" si="50"/>
        <v>0</v>
      </c>
    </row>
    <row r="1061" spans="1:9" x14ac:dyDescent="0.2">
      <c r="A1061" s="1" t="s">
        <v>1126</v>
      </c>
      <c r="B1061" s="1">
        <v>31152.7</v>
      </c>
      <c r="C1061" s="1" t="s">
        <v>27</v>
      </c>
      <c r="D1061" s="1">
        <f t="shared" si="48"/>
        <v>55993.991594411818</v>
      </c>
      <c r="E1061" s="1">
        <v>33.378092870000003</v>
      </c>
      <c r="F1061" s="1">
        <v>-111.9546567</v>
      </c>
      <c r="G1061" s="1" t="s">
        <v>54</v>
      </c>
      <c r="H1061" s="1" t="str">
        <f t="shared" si="49"/>
        <v>AZ</v>
      </c>
      <c r="I1061" s="1">
        <f t="shared" si="50"/>
        <v>0</v>
      </c>
    </row>
    <row r="1062" spans="1:9" x14ac:dyDescent="0.2">
      <c r="A1062" s="1" t="s">
        <v>1127</v>
      </c>
      <c r="B1062" s="1">
        <v>43414.79</v>
      </c>
      <c r="C1062" s="1" t="s">
        <v>27</v>
      </c>
      <c r="D1062" s="1">
        <f t="shared" si="48"/>
        <v>55993.991594411818</v>
      </c>
      <c r="E1062" s="1">
        <v>33.422057129999999</v>
      </c>
      <c r="F1062" s="1">
        <v>-111.9592945</v>
      </c>
      <c r="G1062" s="1" t="s">
        <v>54</v>
      </c>
      <c r="H1062" s="1" t="str">
        <f t="shared" si="49"/>
        <v>AZ</v>
      </c>
      <c r="I1062" s="1">
        <f t="shared" si="50"/>
        <v>0</v>
      </c>
    </row>
    <row r="1063" spans="1:9" x14ac:dyDescent="0.2">
      <c r="A1063" s="1" t="s">
        <v>1128</v>
      </c>
      <c r="B1063" s="1">
        <v>24616.61</v>
      </c>
      <c r="C1063" s="1" t="s">
        <v>27</v>
      </c>
      <c r="D1063" s="1">
        <f t="shared" si="48"/>
        <v>55993.991594411818</v>
      </c>
      <c r="E1063" s="1">
        <v>33.39272287</v>
      </c>
      <c r="F1063" s="1">
        <v>-111.9595767</v>
      </c>
      <c r="G1063" s="1" t="s">
        <v>54</v>
      </c>
      <c r="H1063" s="1" t="str">
        <f t="shared" si="49"/>
        <v>AZ</v>
      </c>
      <c r="I1063" s="1">
        <f t="shared" si="50"/>
        <v>0</v>
      </c>
    </row>
    <row r="1064" spans="1:9" x14ac:dyDescent="0.2">
      <c r="A1064" s="1" t="s">
        <v>1129</v>
      </c>
      <c r="B1064" s="1">
        <v>48720.28</v>
      </c>
      <c r="C1064" s="1" t="s">
        <v>27</v>
      </c>
      <c r="D1064" s="1">
        <f t="shared" si="48"/>
        <v>55993.991594411818</v>
      </c>
      <c r="E1064" s="1">
        <v>33.36362287</v>
      </c>
      <c r="F1064" s="1">
        <v>-111.928235</v>
      </c>
      <c r="G1064" s="1" t="s">
        <v>54</v>
      </c>
      <c r="H1064" s="1" t="str">
        <f t="shared" si="49"/>
        <v>AZ</v>
      </c>
      <c r="I1064" s="1">
        <f t="shared" si="50"/>
        <v>0</v>
      </c>
    </row>
    <row r="1065" spans="1:9" x14ac:dyDescent="0.2">
      <c r="A1065" s="1" t="s">
        <v>1130</v>
      </c>
      <c r="B1065" s="1">
        <v>40395.32</v>
      </c>
      <c r="C1065" s="1" t="s">
        <v>27</v>
      </c>
      <c r="D1065" s="1">
        <f t="shared" si="48"/>
        <v>55993.991594411818</v>
      </c>
      <c r="E1065" s="1">
        <v>33.407525679999999</v>
      </c>
      <c r="F1065" s="1">
        <v>-111.95226289999999</v>
      </c>
      <c r="G1065" s="1" t="s">
        <v>54</v>
      </c>
      <c r="H1065" s="1" t="str">
        <f t="shared" si="49"/>
        <v>AZ</v>
      </c>
      <c r="I1065" s="1">
        <f t="shared" si="50"/>
        <v>0</v>
      </c>
    </row>
    <row r="1066" spans="1:9" x14ac:dyDescent="0.2">
      <c r="A1066" s="1" t="s">
        <v>1131</v>
      </c>
      <c r="B1066" s="1">
        <v>47816.06</v>
      </c>
      <c r="C1066" s="1" t="s">
        <v>27</v>
      </c>
      <c r="D1066" s="1">
        <f t="shared" si="48"/>
        <v>55993.991594411818</v>
      </c>
      <c r="E1066" s="1">
        <v>33.407627130000002</v>
      </c>
      <c r="F1066" s="1">
        <v>-111.9620875</v>
      </c>
      <c r="G1066" s="1" t="s">
        <v>54</v>
      </c>
      <c r="H1066" s="1" t="str">
        <f t="shared" si="49"/>
        <v>AZ</v>
      </c>
      <c r="I1066" s="1">
        <f t="shared" si="50"/>
        <v>0</v>
      </c>
    </row>
    <row r="1067" spans="1:9" x14ac:dyDescent="0.2">
      <c r="A1067" s="1" t="s">
        <v>1132</v>
      </c>
      <c r="B1067" s="1">
        <v>43617.02</v>
      </c>
      <c r="C1067" s="1" t="s">
        <v>27</v>
      </c>
      <c r="D1067" s="1">
        <f t="shared" si="48"/>
        <v>55993.991594411818</v>
      </c>
      <c r="E1067" s="1">
        <v>33.392724289999997</v>
      </c>
      <c r="F1067" s="1">
        <v>-111.93973680000001</v>
      </c>
      <c r="G1067" s="1" t="s">
        <v>54</v>
      </c>
      <c r="H1067" s="1" t="str">
        <f t="shared" si="49"/>
        <v>AZ</v>
      </c>
      <c r="I1067" s="1">
        <f t="shared" si="50"/>
        <v>0</v>
      </c>
    </row>
    <row r="1068" spans="1:9" x14ac:dyDescent="0.2">
      <c r="A1068" s="1" t="s">
        <v>1133</v>
      </c>
      <c r="B1068" s="1">
        <v>41616.65</v>
      </c>
      <c r="C1068" s="1" t="s">
        <v>27</v>
      </c>
      <c r="D1068" s="1">
        <f t="shared" si="48"/>
        <v>55993.991594411818</v>
      </c>
      <c r="E1068" s="1">
        <v>33.421782870000001</v>
      </c>
      <c r="F1068" s="1">
        <v>-111.94146050000001</v>
      </c>
      <c r="G1068" s="1" t="s">
        <v>54</v>
      </c>
      <c r="H1068" s="1" t="str">
        <f t="shared" si="49"/>
        <v>AZ</v>
      </c>
      <c r="I1068" s="1">
        <f t="shared" si="50"/>
        <v>0</v>
      </c>
    </row>
    <row r="1069" spans="1:9" x14ac:dyDescent="0.2">
      <c r="A1069" s="1" t="s">
        <v>1134</v>
      </c>
      <c r="B1069" s="1">
        <v>57733.2</v>
      </c>
      <c r="C1069" s="1" t="s">
        <v>27</v>
      </c>
      <c r="D1069" s="1">
        <f t="shared" si="48"/>
        <v>55993.991594411818</v>
      </c>
      <c r="E1069" s="1">
        <v>33.407231240000002</v>
      </c>
      <c r="F1069" s="1">
        <v>-111.94661859999999</v>
      </c>
      <c r="G1069" s="1" t="s">
        <v>54</v>
      </c>
      <c r="H1069" s="1" t="str">
        <f t="shared" si="49"/>
        <v>AZ</v>
      </c>
      <c r="I1069" s="1">
        <f t="shared" si="50"/>
        <v>1</v>
      </c>
    </row>
    <row r="1070" spans="1:9" x14ac:dyDescent="0.2">
      <c r="A1070" s="1" t="s">
        <v>1135</v>
      </c>
      <c r="B1070" s="1">
        <v>64870.7</v>
      </c>
      <c r="C1070" s="1" t="s">
        <v>27</v>
      </c>
      <c r="D1070" s="1">
        <f t="shared" si="48"/>
        <v>55993.991594411818</v>
      </c>
      <c r="E1070" s="1">
        <v>33.377851900000003</v>
      </c>
      <c r="F1070" s="1">
        <v>-111.92882419999999</v>
      </c>
      <c r="G1070" s="1" t="s">
        <v>54</v>
      </c>
      <c r="H1070" s="1" t="str">
        <f t="shared" si="49"/>
        <v>AZ</v>
      </c>
      <c r="I1070" s="1">
        <f t="shared" si="50"/>
        <v>1</v>
      </c>
    </row>
    <row r="1071" spans="1:9" x14ac:dyDescent="0.2">
      <c r="A1071" s="1" t="s">
        <v>1136</v>
      </c>
      <c r="B1071" s="1">
        <v>35461.32</v>
      </c>
      <c r="C1071" s="1" t="s">
        <v>27</v>
      </c>
      <c r="D1071" s="1">
        <f t="shared" si="48"/>
        <v>55993.991594411818</v>
      </c>
      <c r="E1071" s="1">
        <v>33.457856669999998</v>
      </c>
      <c r="F1071" s="1">
        <v>-111.9265844</v>
      </c>
      <c r="G1071" s="1" t="s">
        <v>54</v>
      </c>
      <c r="H1071" s="1" t="str">
        <f t="shared" si="49"/>
        <v>AZ</v>
      </c>
      <c r="I1071" s="1">
        <f t="shared" si="50"/>
        <v>0</v>
      </c>
    </row>
    <row r="1072" spans="1:9" x14ac:dyDescent="0.2">
      <c r="A1072" s="1" t="s">
        <v>1137</v>
      </c>
      <c r="B1072" s="1">
        <v>70208.22</v>
      </c>
      <c r="C1072" s="1" t="s">
        <v>27</v>
      </c>
      <c r="D1072" s="1">
        <f t="shared" si="48"/>
        <v>55993.991594411818</v>
      </c>
      <c r="E1072" s="1">
        <v>33.334402869999998</v>
      </c>
      <c r="F1072" s="1">
        <v>-111.96421789999999</v>
      </c>
      <c r="G1072" s="1" t="s">
        <v>54</v>
      </c>
      <c r="H1072" s="1" t="str">
        <f t="shared" si="49"/>
        <v>AZ</v>
      </c>
      <c r="I1072" s="1">
        <f t="shared" si="50"/>
        <v>1</v>
      </c>
    </row>
    <row r="1073" spans="1:9" x14ac:dyDescent="0.2">
      <c r="A1073" s="1" t="s">
        <v>1138</v>
      </c>
      <c r="B1073" s="1">
        <v>61377.43</v>
      </c>
      <c r="C1073" s="1" t="s">
        <v>27</v>
      </c>
      <c r="D1073" s="1">
        <f t="shared" si="48"/>
        <v>55993.991594411818</v>
      </c>
      <c r="E1073" s="1">
        <v>33.35007581</v>
      </c>
      <c r="F1073" s="1">
        <v>-111.9633671</v>
      </c>
      <c r="G1073" s="1" t="s">
        <v>54</v>
      </c>
      <c r="H1073" s="1" t="str">
        <f t="shared" si="49"/>
        <v>AZ</v>
      </c>
      <c r="I1073" s="1">
        <f t="shared" si="50"/>
        <v>1</v>
      </c>
    </row>
    <row r="1074" spans="1:9" x14ac:dyDescent="0.2">
      <c r="A1074" s="1" t="s">
        <v>1139</v>
      </c>
      <c r="B1074" s="1">
        <v>42057.51</v>
      </c>
      <c r="C1074" s="1" t="s">
        <v>27</v>
      </c>
      <c r="D1074" s="1">
        <f t="shared" si="48"/>
        <v>55993.991594411818</v>
      </c>
      <c r="E1074" s="1">
        <v>33.348942870000002</v>
      </c>
      <c r="F1074" s="1">
        <v>-111.95372</v>
      </c>
      <c r="G1074" s="1" t="s">
        <v>54</v>
      </c>
      <c r="H1074" s="1" t="str">
        <f t="shared" si="49"/>
        <v>AZ</v>
      </c>
      <c r="I1074" s="1">
        <f t="shared" si="50"/>
        <v>0</v>
      </c>
    </row>
    <row r="1075" spans="1:9" x14ac:dyDescent="0.2">
      <c r="A1075" s="1" t="s">
        <v>1140</v>
      </c>
      <c r="B1075" s="1">
        <v>33013.72</v>
      </c>
      <c r="C1075" s="1" t="s">
        <v>27</v>
      </c>
      <c r="D1075" s="1">
        <f t="shared" si="48"/>
        <v>55993.991594411818</v>
      </c>
      <c r="E1075" s="1">
        <v>33.422237129999999</v>
      </c>
      <c r="F1075" s="1">
        <v>-111.89261999999999</v>
      </c>
      <c r="G1075" s="1" t="s">
        <v>54</v>
      </c>
      <c r="H1075" s="1" t="str">
        <f t="shared" si="49"/>
        <v>AZ</v>
      </c>
      <c r="I1075" s="1">
        <f t="shared" si="50"/>
        <v>0</v>
      </c>
    </row>
    <row r="1076" spans="1:9" x14ac:dyDescent="0.2">
      <c r="A1076" s="1" t="s">
        <v>1141</v>
      </c>
      <c r="B1076" s="1">
        <v>44505.71</v>
      </c>
      <c r="C1076" s="1" t="s">
        <v>27</v>
      </c>
      <c r="D1076" s="1">
        <f t="shared" si="48"/>
        <v>55993.991594411818</v>
      </c>
      <c r="E1076" s="1">
        <v>33.364262740000001</v>
      </c>
      <c r="F1076" s="1">
        <v>-111.9110458</v>
      </c>
      <c r="G1076" s="1" t="s">
        <v>54</v>
      </c>
      <c r="H1076" s="1" t="str">
        <f t="shared" si="49"/>
        <v>AZ</v>
      </c>
      <c r="I1076" s="1">
        <f t="shared" si="50"/>
        <v>0</v>
      </c>
    </row>
    <row r="1077" spans="1:9" x14ac:dyDescent="0.2">
      <c r="A1077" s="1" t="s">
        <v>1142</v>
      </c>
      <c r="B1077" s="1">
        <v>44834.879999999997</v>
      </c>
      <c r="C1077" s="1" t="s">
        <v>27</v>
      </c>
      <c r="D1077" s="1">
        <f t="shared" si="48"/>
        <v>55993.991594411818</v>
      </c>
      <c r="E1077" s="1">
        <v>33.363524310000003</v>
      </c>
      <c r="F1077" s="1">
        <v>-111.9460048</v>
      </c>
      <c r="G1077" s="1" t="s">
        <v>54</v>
      </c>
      <c r="H1077" s="1" t="str">
        <f t="shared" si="49"/>
        <v>AZ</v>
      </c>
      <c r="I1077" s="1">
        <f t="shared" si="50"/>
        <v>0</v>
      </c>
    </row>
    <row r="1078" spans="1:9" x14ac:dyDescent="0.2">
      <c r="A1078" s="1" t="s">
        <v>1143</v>
      </c>
      <c r="B1078" s="1">
        <v>41862.449999999997</v>
      </c>
      <c r="C1078" s="1" t="s">
        <v>27</v>
      </c>
      <c r="D1078" s="1">
        <f t="shared" si="48"/>
        <v>55993.991594411818</v>
      </c>
      <c r="E1078" s="1">
        <v>33.415024709999997</v>
      </c>
      <c r="F1078" s="1">
        <v>-111.8920004</v>
      </c>
      <c r="G1078" s="1" t="s">
        <v>54</v>
      </c>
      <c r="H1078" s="1" t="str">
        <f t="shared" si="49"/>
        <v>AZ</v>
      </c>
      <c r="I1078" s="1">
        <f t="shared" si="50"/>
        <v>0</v>
      </c>
    </row>
    <row r="1079" spans="1:9" x14ac:dyDescent="0.2">
      <c r="A1079" s="1" t="s">
        <v>1144</v>
      </c>
      <c r="B1079" s="1">
        <v>62757.73</v>
      </c>
      <c r="C1079" s="1" t="s">
        <v>27</v>
      </c>
      <c r="D1079" s="1">
        <f t="shared" si="48"/>
        <v>55993.991594411818</v>
      </c>
      <c r="E1079" s="1">
        <v>33.422107130000001</v>
      </c>
      <c r="F1079" s="1">
        <v>-111.90861</v>
      </c>
      <c r="G1079" s="1" t="s">
        <v>54</v>
      </c>
      <c r="H1079" s="1" t="str">
        <f t="shared" si="49"/>
        <v>AZ</v>
      </c>
      <c r="I1079" s="1">
        <f t="shared" si="50"/>
        <v>1</v>
      </c>
    </row>
    <row r="1080" spans="1:9" x14ac:dyDescent="0.2">
      <c r="A1080" s="1" t="s">
        <v>1145</v>
      </c>
      <c r="B1080" s="1">
        <v>46615.65</v>
      </c>
      <c r="C1080" s="1" t="s">
        <v>27</v>
      </c>
      <c r="D1080" s="1">
        <f t="shared" si="48"/>
        <v>55993.991594411818</v>
      </c>
      <c r="E1080" s="1">
        <v>33.378052869999998</v>
      </c>
      <c r="F1080" s="1">
        <v>-111.96281</v>
      </c>
      <c r="G1080" s="1" t="s">
        <v>54</v>
      </c>
      <c r="H1080" s="1" t="str">
        <f t="shared" si="49"/>
        <v>AZ</v>
      </c>
      <c r="I1080" s="1">
        <f t="shared" si="50"/>
        <v>0</v>
      </c>
    </row>
    <row r="1081" spans="1:9" x14ac:dyDescent="0.2">
      <c r="A1081" s="1" t="s">
        <v>1146</v>
      </c>
      <c r="B1081" s="1">
        <v>53230.65</v>
      </c>
      <c r="C1081" s="1" t="s">
        <v>27</v>
      </c>
      <c r="D1081" s="1">
        <f t="shared" si="48"/>
        <v>55993.991594411818</v>
      </c>
      <c r="E1081" s="1">
        <v>33.450143679999996</v>
      </c>
      <c r="F1081" s="1">
        <v>-111.9266944</v>
      </c>
      <c r="G1081" s="1" t="s">
        <v>54</v>
      </c>
      <c r="H1081" s="1" t="str">
        <f t="shared" si="49"/>
        <v>AZ</v>
      </c>
      <c r="I1081" s="1">
        <f t="shared" si="50"/>
        <v>0</v>
      </c>
    </row>
    <row r="1082" spans="1:9" x14ac:dyDescent="0.2">
      <c r="A1082" s="1" t="s">
        <v>1147</v>
      </c>
      <c r="B1082" s="1">
        <v>24617.75</v>
      </c>
      <c r="C1082" s="1" t="s">
        <v>27</v>
      </c>
      <c r="D1082" s="1">
        <f t="shared" si="48"/>
        <v>55993.991594411818</v>
      </c>
      <c r="E1082" s="1">
        <v>33.34986</v>
      </c>
      <c r="F1082" s="1">
        <v>-111.9286342</v>
      </c>
      <c r="G1082" s="1" t="s">
        <v>54</v>
      </c>
      <c r="H1082" s="1" t="str">
        <f t="shared" si="49"/>
        <v>AZ</v>
      </c>
      <c r="I1082" s="1">
        <f t="shared" si="50"/>
        <v>0</v>
      </c>
    </row>
    <row r="1083" spans="1:9" x14ac:dyDescent="0.2">
      <c r="A1083" s="1" t="s">
        <v>1148</v>
      </c>
      <c r="B1083" s="1">
        <v>118153.44</v>
      </c>
      <c r="C1083" s="1" t="s">
        <v>27</v>
      </c>
      <c r="D1083" s="1">
        <f t="shared" si="48"/>
        <v>55993.991594411818</v>
      </c>
      <c r="E1083" s="1">
        <v>33.39427311</v>
      </c>
      <c r="F1083" s="1">
        <v>-111.9397577</v>
      </c>
      <c r="G1083" s="1" t="s">
        <v>54</v>
      </c>
      <c r="H1083" s="1" t="str">
        <f t="shared" si="49"/>
        <v>AZ</v>
      </c>
      <c r="I1083" s="1">
        <f t="shared" si="50"/>
        <v>1</v>
      </c>
    </row>
    <row r="1084" spans="1:9" x14ac:dyDescent="0.2">
      <c r="A1084" s="1" t="s">
        <v>1149</v>
      </c>
      <c r="B1084" s="1">
        <v>144116.23000000001</v>
      </c>
      <c r="C1084" s="1" t="s">
        <v>27</v>
      </c>
      <c r="D1084" s="1">
        <f t="shared" si="48"/>
        <v>55993.991594411818</v>
      </c>
      <c r="E1084" s="1">
        <v>33.393859999999997</v>
      </c>
      <c r="F1084" s="1">
        <v>-111.9261458</v>
      </c>
      <c r="G1084" s="1" t="s">
        <v>54</v>
      </c>
      <c r="H1084" s="1" t="str">
        <f t="shared" si="49"/>
        <v>AZ</v>
      </c>
      <c r="I1084" s="1">
        <f t="shared" si="50"/>
        <v>1</v>
      </c>
    </row>
    <row r="1085" spans="1:9" x14ac:dyDescent="0.2">
      <c r="A1085" s="1" t="s">
        <v>1150</v>
      </c>
      <c r="B1085" s="1">
        <v>114187.4</v>
      </c>
      <c r="C1085" s="1" t="s">
        <v>27</v>
      </c>
      <c r="D1085" s="1">
        <f t="shared" si="48"/>
        <v>55993.991594411818</v>
      </c>
      <c r="E1085" s="1">
        <v>33.363626349999997</v>
      </c>
      <c r="F1085" s="1">
        <v>-111.9099662</v>
      </c>
      <c r="G1085" s="1" t="s">
        <v>54</v>
      </c>
      <c r="H1085" s="1" t="str">
        <f t="shared" si="49"/>
        <v>AZ</v>
      </c>
      <c r="I1085" s="1">
        <f t="shared" si="50"/>
        <v>1</v>
      </c>
    </row>
    <row r="1086" spans="1:9" x14ac:dyDescent="0.2">
      <c r="A1086" s="1" t="s">
        <v>1151</v>
      </c>
      <c r="B1086" s="1">
        <v>93940.69</v>
      </c>
      <c r="C1086" s="1" t="s">
        <v>27</v>
      </c>
      <c r="D1086" s="1">
        <f t="shared" si="48"/>
        <v>55993.991594411818</v>
      </c>
      <c r="E1086" s="1">
        <v>33.37832658</v>
      </c>
      <c r="F1086" s="1">
        <v>-111.9769668</v>
      </c>
      <c r="G1086" s="1" t="s">
        <v>54</v>
      </c>
      <c r="H1086" s="1" t="str">
        <f t="shared" si="49"/>
        <v>AZ</v>
      </c>
      <c r="I1086" s="1">
        <f t="shared" si="50"/>
        <v>1</v>
      </c>
    </row>
    <row r="1087" spans="1:9" x14ac:dyDescent="0.2">
      <c r="A1087" s="1" t="s">
        <v>1152</v>
      </c>
      <c r="B1087" s="1">
        <v>90213.41</v>
      </c>
      <c r="C1087" s="1" t="s">
        <v>27</v>
      </c>
      <c r="D1087" s="1">
        <f t="shared" si="48"/>
        <v>55993.991594411818</v>
      </c>
      <c r="E1087" s="1">
        <v>33.378976180000002</v>
      </c>
      <c r="F1087" s="1">
        <v>-111.90939419999999</v>
      </c>
      <c r="G1087" s="1" t="s">
        <v>54</v>
      </c>
      <c r="H1087" s="1" t="str">
        <f t="shared" si="49"/>
        <v>AZ</v>
      </c>
      <c r="I1087" s="1">
        <f t="shared" si="50"/>
        <v>1</v>
      </c>
    </row>
    <row r="1088" spans="1:9" x14ac:dyDescent="0.2">
      <c r="A1088" s="1" t="s">
        <v>1153</v>
      </c>
      <c r="B1088" s="1">
        <v>124909.34</v>
      </c>
      <c r="C1088" s="1" t="s">
        <v>27</v>
      </c>
      <c r="D1088" s="1">
        <f t="shared" si="48"/>
        <v>55993.991594411818</v>
      </c>
      <c r="E1088" s="1">
        <v>33.32203174</v>
      </c>
      <c r="F1088" s="1">
        <v>-111.92836440000001</v>
      </c>
      <c r="G1088" s="1" t="s">
        <v>54</v>
      </c>
      <c r="H1088" s="1" t="str">
        <f t="shared" si="49"/>
        <v>AZ</v>
      </c>
      <c r="I1088" s="1">
        <f t="shared" si="50"/>
        <v>1</v>
      </c>
    </row>
    <row r="1089" spans="1:9" x14ac:dyDescent="0.2">
      <c r="A1089" s="1" t="s">
        <v>1154</v>
      </c>
      <c r="B1089" s="1">
        <v>76059.600000000006</v>
      </c>
      <c r="C1089" s="1" t="s">
        <v>27</v>
      </c>
      <c r="D1089" s="1">
        <f t="shared" si="48"/>
        <v>55993.991594411818</v>
      </c>
      <c r="E1089" s="1">
        <v>33.429567130000002</v>
      </c>
      <c r="F1089" s="1">
        <v>-111.8960235</v>
      </c>
      <c r="G1089" s="1" t="s">
        <v>54</v>
      </c>
      <c r="H1089" s="1" t="str">
        <f t="shared" si="49"/>
        <v>AZ</v>
      </c>
      <c r="I1089" s="1">
        <f t="shared" si="50"/>
        <v>1</v>
      </c>
    </row>
    <row r="1090" spans="1:9" x14ac:dyDescent="0.2">
      <c r="A1090" s="1" t="s">
        <v>1155</v>
      </c>
      <c r="B1090" s="1">
        <v>97060.57</v>
      </c>
      <c r="C1090" s="1" t="s">
        <v>27</v>
      </c>
      <c r="D1090" s="1">
        <f t="shared" si="48"/>
        <v>55993.991594411818</v>
      </c>
      <c r="E1090" s="1">
        <v>33.407697130000003</v>
      </c>
      <c r="F1090" s="1">
        <v>-111.9253157</v>
      </c>
      <c r="G1090" s="1" t="s">
        <v>54</v>
      </c>
      <c r="H1090" s="1" t="str">
        <f t="shared" si="49"/>
        <v>AZ</v>
      </c>
      <c r="I1090" s="1">
        <f t="shared" si="50"/>
        <v>1</v>
      </c>
    </row>
    <row r="1091" spans="1:9" x14ac:dyDescent="0.2">
      <c r="A1091" s="1" t="s">
        <v>1156</v>
      </c>
      <c r="B1091" s="1">
        <v>33744.42</v>
      </c>
      <c r="C1091" s="1" t="s">
        <v>27</v>
      </c>
      <c r="D1091" s="1">
        <f t="shared" ref="D1091:D1154" si="51">AVERAGEIFS($B:$B,$C:$C,$C1091)</f>
        <v>55993.991594411818</v>
      </c>
      <c r="E1091" s="1">
        <v>33.348912890000001</v>
      </c>
      <c r="F1091" s="1">
        <v>-111.91332300000001</v>
      </c>
      <c r="G1091" s="1" t="s">
        <v>54</v>
      </c>
      <c r="H1091" s="1" t="str">
        <f t="shared" ref="H1091:H1154" si="52">TRIM(_xlfn.TEXTAFTER(A1091, ",", -1))</f>
        <v>AZ</v>
      </c>
      <c r="I1091" s="1">
        <f t="shared" ref="I1091:I1154" si="53">IF(B1091&gt;D1091,1,0)</f>
        <v>0</v>
      </c>
    </row>
    <row r="1092" spans="1:9" x14ac:dyDescent="0.2">
      <c r="A1092" s="1" t="s">
        <v>1157</v>
      </c>
      <c r="B1092" s="1">
        <v>194160.34</v>
      </c>
      <c r="C1092" s="1" t="s">
        <v>27</v>
      </c>
      <c r="D1092" s="1">
        <f t="shared" si="51"/>
        <v>55993.991594411818</v>
      </c>
      <c r="E1092" s="1">
        <v>33.429467000000002</v>
      </c>
      <c r="F1092" s="1">
        <v>-111.90903710000001</v>
      </c>
      <c r="G1092" s="1" t="s">
        <v>54</v>
      </c>
      <c r="H1092" s="1" t="str">
        <f t="shared" si="52"/>
        <v>AZ</v>
      </c>
      <c r="I1092" s="1">
        <f t="shared" si="53"/>
        <v>1</v>
      </c>
    </row>
    <row r="1093" spans="1:9" x14ac:dyDescent="0.2">
      <c r="A1093" s="1" t="s">
        <v>1158</v>
      </c>
      <c r="B1093" s="1">
        <v>83682.2</v>
      </c>
      <c r="C1093" s="1" t="s">
        <v>27</v>
      </c>
      <c r="D1093" s="1">
        <f t="shared" si="51"/>
        <v>55993.991594411818</v>
      </c>
      <c r="E1093" s="1">
        <v>33.37856713</v>
      </c>
      <c r="F1093" s="1">
        <v>-111.9072467</v>
      </c>
      <c r="G1093" s="1" t="s">
        <v>54</v>
      </c>
      <c r="H1093" s="1" t="str">
        <f t="shared" si="52"/>
        <v>AZ</v>
      </c>
      <c r="I1093" s="1">
        <f t="shared" si="53"/>
        <v>1</v>
      </c>
    </row>
    <row r="1094" spans="1:9" x14ac:dyDescent="0.2">
      <c r="A1094" s="1" t="s">
        <v>1159</v>
      </c>
      <c r="B1094" s="1">
        <v>22287.97</v>
      </c>
      <c r="C1094" s="1" t="s">
        <v>27</v>
      </c>
      <c r="D1094" s="1">
        <f t="shared" si="51"/>
        <v>55993.991594411818</v>
      </c>
      <c r="E1094" s="1">
        <v>33.407266739999997</v>
      </c>
      <c r="F1094" s="1">
        <v>-111.94001419999999</v>
      </c>
      <c r="G1094" s="1" t="s">
        <v>54</v>
      </c>
      <c r="H1094" s="1" t="str">
        <f t="shared" si="52"/>
        <v>AZ</v>
      </c>
      <c r="I1094" s="1">
        <f t="shared" si="53"/>
        <v>0</v>
      </c>
    </row>
    <row r="1095" spans="1:9" x14ac:dyDescent="0.2">
      <c r="A1095" s="1" t="s">
        <v>1160</v>
      </c>
      <c r="B1095" s="1">
        <v>28450.31</v>
      </c>
      <c r="C1095" s="1" t="s">
        <v>27</v>
      </c>
      <c r="D1095" s="1">
        <f t="shared" si="51"/>
        <v>55993.991594411818</v>
      </c>
      <c r="E1095" s="1">
        <v>33.39281287</v>
      </c>
      <c r="F1095" s="1">
        <v>-111.91039000000001</v>
      </c>
      <c r="G1095" s="1" t="s">
        <v>54</v>
      </c>
      <c r="H1095" s="1" t="str">
        <f t="shared" si="52"/>
        <v>AZ</v>
      </c>
      <c r="I1095" s="1">
        <f t="shared" si="53"/>
        <v>0</v>
      </c>
    </row>
    <row r="1096" spans="1:9" x14ac:dyDescent="0.2">
      <c r="A1096" s="1" t="s">
        <v>1161</v>
      </c>
      <c r="B1096" s="1">
        <v>17711.28</v>
      </c>
      <c r="C1096" s="1" t="s">
        <v>27</v>
      </c>
      <c r="D1096" s="1">
        <f t="shared" si="51"/>
        <v>55993.991594411818</v>
      </c>
      <c r="E1096" s="1">
        <v>33.378082880000001</v>
      </c>
      <c r="F1096" s="1">
        <v>-111.9532122</v>
      </c>
      <c r="G1096" s="1" t="s">
        <v>54</v>
      </c>
      <c r="H1096" s="1" t="str">
        <f t="shared" si="52"/>
        <v>AZ</v>
      </c>
      <c r="I1096" s="1">
        <f t="shared" si="53"/>
        <v>0</v>
      </c>
    </row>
    <row r="1097" spans="1:9" x14ac:dyDescent="0.2">
      <c r="A1097" s="1" t="s">
        <v>1162</v>
      </c>
      <c r="B1097" s="1">
        <v>14485.37</v>
      </c>
      <c r="C1097" s="1" t="s">
        <v>27</v>
      </c>
      <c r="D1097" s="1">
        <f t="shared" si="51"/>
        <v>55993.991594411818</v>
      </c>
      <c r="E1097" s="1">
        <v>33.363030000000002</v>
      </c>
      <c r="F1097" s="1">
        <v>-111.91136419999999</v>
      </c>
      <c r="G1097" s="1" t="s">
        <v>54</v>
      </c>
      <c r="H1097" s="1" t="str">
        <f t="shared" si="52"/>
        <v>AZ</v>
      </c>
      <c r="I1097" s="1">
        <f t="shared" si="53"/>
        <v>0</v>
      </c>
    </row>
    <row r="1098" spans="1:9" x14ac:dyDescent="0.2">
      <c r="A1098" s="1" t="s">
        <v>1163</v>
      </c>
      <c r="B1098" s="1">
        <v>6583.07</v>
      </c>
      <c r="C1098" s="1" t="s">
        <v>27</v>
      </c>
      <c r="D1098" s="1">
        <f t="shared" si="51"/>
        <v>55993.991594411818</v>
      </c>
      <c r="E1098" s="1">
        <v>33.334498089999997</v>
      </c>
      <c r="F1098" s="1">
        <v>-111.9099346</v>
      </c>
      <c r="G1098" s="1" t="s">
        <v>54</v>
      </c>
      <c r="H1098" s="1" t="str">
        <f t="shared" si="52"/>
        <v>AZ</v>
      </c>
      <c r="I1098" s="1">
        <f t="shared" si="53"/>
        <v>0</v>
      </c>
    </row>
    <row r="1099" spans="1:9" x14ac:dyDescent="0.2">
      <c r="A1099" s="1" t="s">
        <v>1164</v>
      </c>
      <c r="B1099" s="1">
        <v>54753.27</v>
      </c>
      <c r="C1099" s="1" t="s">
        <v>27</v>
      </c>
      <c r="D1099" s="1">
        <f t="shared" si="51"/>
        <v>55993.991594411818</v>
      </c>
      <c r="E1099" s="1">
        <v>33.391878779999999</v>
      </c>
      <c r="F1099" s="1">
        <v>-112.3060042</v>
      </c>
      <c r="G1099" s="1" t="s">
        <v>55</v>
      </c>
      <c r="H1099" s="1" t="str">
        <f t="shared" si="52"/>
        <v>AZ</v>
      </c>
      <c r="I1099" s="1">
        <f t="shared" si="53"/>
        <v>0</v>
      </c>
    </row>
    <row r="1100" spans="1:9" x14ac:dyDescent="0.2">
      <c r="A1100" s="1" t="s">
        <v>1165</v>
      </c>
      <c r="B1100" s="1">
        <v>62943.32</v>
      </c>
      <c r="C1100" s="1" t="s">
        <v>27</v>
      </c>
      <c r="D1100" s="1">
        <f t="shared" si="51"/>
        <v>55993.991594411818</v>
      </c>
      <c r="E1100" s="1">
        <v>33.451790000000003</v>
      </c>
      <c r="F1100" s="1">
        <v>-112.23817560000001</v>
      </c>
      <c r="G1100" s="1" t="s">
        <v>55</v>
      </c>
      <c r="H1100" s="1" t="str">
        <f t="shared" si="52"/>
        <v>AZ</v>
      </c>
      <c r="I1100" s="1">
        <f t="shared" si="53"/>
        <v>1</v>
      </c>
    </row>
    <row r="1101" spans="1:9" x14ac:dyDescent="0.2">
      <c r="A1101" s="1" t="s">
        <v>1166</v>
      </c>
      <c r="B1101" s="1">
        <v>47185.279999999999</v>
      </c>
      <c r="C1101" s="1" t="s">
        <v>27</v>
      </c>
      <c r="D1101" s="1">
        <f t="shared" si="51"/>
        <v>55993.991594411818</v>
      </c>
      <c r="E1101" s="1">
        <v>33.465187890000003</v>
      </c>
      <c r="F1101" s="1">
        <v>-112.2385618</v>
      </c>
      <c r="G1101" s="1" t="s">
        <v>55</v>
      </c>
      <c r="H1101" s="1" t="str">
        <f t="shared" si="52"/>
        <v>AZ</v>
      </c>
      <c r="I1101" s="1">
        <f t="shared" si="53"/>
        <v>0</v>
      </c>
    </row>
    <row r="1102" spans="1:9" x14ac:dyDescent="0.2">
      <c r="A1102" s="1" t="s">
        <v>1167</v>
      </c>
      <c r="B1102" s="1">
        <v>34735.800000000003</v>
      </c>
      <c r="C1102" s="1" t="s">
        <v>27</v>
      </c>
      <c r="D1102" s="1">
        <f t="shared" si="51"/>
        <v>55993.991594411818</v>
      </c>
      <c r="E1102" s="1">
        <v>33.450517130000001</v>
      </c>
      <c r="F1102" s="1">
        <v>-112.2555873</v>
      </c>
      <c r="G1102" s="1" t="s">
        <v>55</v>
      </c>
      <c r="H1102" s="1" t="str">
        <f t="shared" si="52"/>
        <v>AZ</v>
      </c>
      <c r="I1102" s="1">
        <f t="shared" si="53"/>
        <v>0</v>
      </c>
    </row>
    <row r="1103" spans="1:9" x14ac:dyDescent="0.2">
      <c r="A1103" s="1" t="s">
        <v>1168</v>
      </c>
      <c r="B1103" s="1">
        <v>61102.62</v>
      </c>
      <c r="C1103" s="1" t="s">
        <v>27</v>
      </c>
      <c r="D1103" s="1">
        <f t="shared" si="51"/>
        <v>55993.991594411818</v>
      </c>
      <c r="E1103" s="1">
        <v>33.459022079999997</v>
      </c>
      <c r="F1103" s="1">
        <v>-112.2723206</v>
      </c>
      <c r="G1103" s="1" t="s">
        <v>55</v>
      </c>
      <c r="H1103" s="1" t="str">
        <f t="shared" si="52"/>
        <v>AZ</v>
      </c>
      <c r="I1103" s="1">
        <f t="shared" si="53"/>
        <v>1</v>
      </c>
    </row>
    <row r="1104" spans="1:9" x14ac:dyDescent="0.2">
      <c r="A1104" s="1" t="s">
        <v>1169</v>
      </c>
      <c r="B1104" s="1">
        <v>85233.84</v>
      </c>
      <c r="C1104" s="1" t="s">
        <v>27</v>
      </c>
      <c r="D1104" s="1">
        <f t="shared" si="51"/>
        <v>55993.991594411818</v>
      </c>
      <c r="E1104" s="1">
        <v>33.458972869999997</v>
      </c>
      <c r="F1104" s="1">
        <v>-112.23852429999999</v>
      </c>
      <c r="G1104" s="1" t="s">
        <v>55</v>
      </c>
      <c r="H1104" s="1" t="str">
        <f t="shared" si="52"/>
        <v>AZ</v>
      </c>
      <c r="I1104" s="1">
        <f t="shared" si="53"/>
        <v>1</v>
      </c>
    </row>
    <row r="1105" spans="1:9" x14ac:dyDescent="0.2">
      <c r="A1105" s="1" t="s">
        <v>1170</v>
      </c>
      <c r="B1105" s="1">
        <v>76261.570000000007</v>
      </c>
      <c r="C1105" s="1" t="s">
        <v>27</v>
      </c>
      <c r="D1105" s="1">
        <f t="shared" si="51"/>
        <v>55993.991594411818</v>
      </c>
      <c r="E1105" s="1">
        <v>33.421381119999999</v>
      </c>
      <c r="F1105" s="1">
        <v>-112.2698221</v>
      </c>
      <c r="G1105" s="1" t="s">
        <v>55</v>
      </c>
      <c r="H1105" s="1" t="str">
        <f t="shared" si="52"/>
        <v>AZ</v>
      </c>
      <c r="I1105" s="1">
        <f t="shared" si="53"/>
        <v>1</v>
      </c>
    </row>
    <row r="1106" spans="1:9" x14ac:dyDescent="0.2">
      <c r="A1106" s="1" t="s">
        <v>1171</v>
      </c>
      <c r="B1106" s="1">
        <v>103648.4736</v>
      </c>
      <c r="C1106" s="1" t="s">
        <v>27</v>
      </c>
      <c r="D1106" s="1">
        <f t="shared" si="51"/>
        <v>55993.991594411818</v>
      </c>
      <c r="E1106" s="1">
        <v>33.493827539999998</v>
      </c>
      <c r="F1106" s="1">
        <v>-112.937152</v>
      </c>
      <c r="G1106" s="1" t="s">
        <v>56</v>
      </c>
      <c r="H1106" s="1" t="str">
        <f t="shared" si="52"/>
        <v>AZ</v>
      </c>
      <c r="I1106" s="1">
        <f t="shared" si="53"/>
        <v>1</v>
      </c>
    </row>
    <row r="1107" spans="1:9" x14ac:dyDescent="0.2">
      <c r="A1107" s="1" t="s">
        <v>1172</v>
      </c>
      <c r="B1107" s="1">
        <v>17681.93</v>
      </c>
      <c r="C1107" s="1" t="s">
        <v>27</v>
      </c>
      <c r="D1107" s="1">
        <f t="shared" si="51"/>
        <v>55993.991594411818</v>
      </c>
      <c r="E1107" s="1">
        <v>33.970965929999998</v>
      </c>
      <c r="F1107" s="1">
        <v>-112.7326255</v>
      </c>
      <c r="G1107" s="1" t="s">
        <v>57</v>
      </c>
      <c r="H1107" s="1" t="str">
        <f t="shared" si="52"/>
        <v>AZ</v>
      </c>
      <c r="I1107" s="1">
        <f t="shared" si="53"/>
        <v>0</v>
      </c>
    </row>
    <row r="1108" spans="1:9" x14ac:dyDescent="0.2">
      <c r="A1108" s="1" t="s">
        <v>1173</v>
      </c>
      <c r="B1108" s="1">
        <v>29322.42</v>
      </c>
      <c r="C1108" s="1" t="s">
        <v>27</v>
      </c>
      <c r="D1108" s="1">
        <f t="shared" si="51"/>
        <v>55993.991594411818</v>
      </c>
      <c r="E1108" s="1">
        <v>33.969038599999998</v>
      </c>
      <c r="F1108" s="1">
        <v>-112.73009</v>
      </c>
      <c r="G1108" s="1" t="s">
        <v>57</v>
      </c>
      <c r="H1108" s="1" t="str">
        <f t="shared" si="52"/>
        <v>AZ</v>
      </c>
      <c r="I1108" s="1">
        <f t="shared" si="53"/>
        <v>0</v>
      </c>
    </row>
    <row r="1109" spans="1:9" x14ac:dyDescent="0.2">
      <c r="A1109" s="1" t="s">
        <v>1174</v>
      </c>
      <c r="B1109" s="1">
        <v>51960.88</v>
      </c>
      <c r="C1109" s="1" t="s">
        <v>27</v>
      </c>
      <c r="D1109" s="1">
        <f t="shared" si="51"/>
        <v>55993.991594411818</v>
      </c>
      <c r="E1109" s="1">
        <v>33.96209288</v>
      </c>
      <c r="F1109" s="1">
        <v>-112.7717519</v>
      </c>
      <c r="G1109" s="1" t="s">
        <v>57</v>
      </c>
      <c r="H1109" s="1" t="str">
        <f t="shared" si="52"/>
        <v>AZ</v>
      </c>
      <c r="I1109" s="1">
        <f t="shared" si="53"/>
        <v>0</v>
      </c>
    </row>
    <row r="1110" spans="1:9" x14ac:dyDescent="0.2">
      <c r="A1110" s="1" t="s">
        <v>1175</v>
      </c>
      <c r="B1110" s="1">
        <v>66206.05</v>
      </c>
      <c r="C1110" s="1" t="s">
        <v>58</v>
      </c>
      <c r="D1110" s="1">
        <f t="shared" si="51"/>
        <v>60276.750735897454</v>
      </c>
      <c r="E1110" s="1">
        <v>39.710858209999998</v>
      </c>
      <c r="F1110" s="1">
        <v>-104.8633918</v>
      </c>
      <c r="G1110" s="1" t="s">
        <v>59</v>
      </c>
      <c r="H1110" s="1" t="str">
        <f t="shared" si="52"/>
        <v>CO</v>
      </c>
      <c r="I1110" s="1">
        <f t="shared" si="53"/>
        <v>1</v>
      </c>
    </row>
    <row r="1111" spans="1:9" x14ac:dyDescent="0.2">
      <c r="A1111" s="1" t="s">
        <v>1176</v>
      </c>
      <c r="B1111" s="1">
        <v>43672.83</v>
      </c>
      <c r="C1111" s="1" t="s">
        <v>58</v>
      </c>
      <c r="D1111" s="1">
        <f t="shared" si="51"/>
        <v>60276.750735897454</v>
      </c>
      <c r="E1111" s="1">
        <v>39.658467129999998</v>
      </c>
      <c r="F1111" s="1">
        <v>-104.8485592</v>
      </c>
      <c r="G1111" s="1" t="s">
        <v>59</v>
      </c>
      <c r="H1111" s="1" t="str">
        <f t="shared" si="52"/>
        <v>CO</v>
      </c>
      <c r="I1111" s="1">
        <f t="shared" si="53"/>
        <v>0</v>
      </c>
    </row>
    <row r="1112" spans="1:9" x14ac:dyDescent="0.2">
      <c r="A1112" s="1" t="s">
        <v>1177</v>
      </c>
      <c r="B1112" s="1">
        <v>44009.82</v>
      </c>
      <c r="C1112" s="1" t="s">
        <v>58</v>
      </c>
      <c r="D1112" s="1">
        <f t="shared" si="51"/>
        <v>60276.750735897454</v>
      </c>
      <c r="E1112" s="1">
        <v>39.638352869999999</v>
      </c>
      <c r="F1112" s="1">
        <v>-104.8274409</v>
      </c>
      <c r="G1112" s="1" t="s">
        <v>59</v>
      </c>
      <c r="H1112" s="1" t="str">
        <f t="shared" si="52"/>
        <v>CO</v>
      </c>
      <c r="I1112" s="1">
        <f t="shared" si="53"/>
        <v>0</v>
      </c>
    </row>
    <row r="1113" spans="1:9" x14ac:dyDescent="0.2">
      <c r="A1113" s="1" t="s">
        <v>1178</v>
      </c>
      <c r="B1113" s="1">
        <v>55296.71</v>
      </c>
      <c r="C1113" s="1" t="s">
        <v>58</v>
      </c>
      <c r="D1113" s="1">
        <f t="shared" si="51"/>
        <v>60276.750735897454</v>
      </c>
      <c r="E1113" s="1">
        <v>39.65818033</v>
      </c>
      <c r="F1113" s="1">
        <v>-104.84819330000001</v>
      </c>
      <c r="G1113" s="1" t="s">
        <v>59</v>
      </c>
      <c r="H1113" s="1" t="str">
        <f t="shared" si="52"/>
        <v>CO</v>
      </c>
      <c r="I1113" s="1">
        <f t="shared" si="53"/>
        <v>0</v>
      </c>
    </row>
    <row r="1114" spans="1:9" x14ac:dyDescent="0.2">
      <c r="A1114" s="1" t="s">
        <v>1179</v>
      </c>
      <c r="B1114" s="1">
        <v>57235.83</v>
      </c>
      <c r="C1114" s="1" t="s">
        <v>58</v>
      </c>
      <c r="D1114" s="1">
        <f t="shared" si="51"/>
        <v>60276.750735897454</v>
      </c>
      <c r="E1114" s="1">
        <v>39.653217130000002</v>
      </c>
      <c r="F1114" s="1">
        <v>-104.767015</v>
      </c>
      <c r="G1114" s="1" t="s">
        <v>59</v>
      </c>
      <c r="H1114" s="1" t="str">
        <f t="shared" si="52"/>
        <v>CO</v>
      </c>
      <c r="I1114" s="1">
        <f t="shared" si="53"/>
        <v>0</v>
      </c>
    </row>
    <row r="1115" spans="1:9" x14ac:dyDescent="0.2">
      <c r="A1115" s="1" t="s">
        <v>1180</v>
      </c>
      <c r="B1115" s="1">
        <v>44014.46</v>
      </c>
      <c r="C1115" s="1" t="s">
        <v>58</v>
      </c>
      <c r="D1115" s="1">
        <f t="shared" si="51"/>
        <v>60276.750735897454</v>
      </c>
      <c r="E1115" s="1">
        <v>39.696386910000001</v>
      </c>
      <c r="F1115" s="1">
        <v>-104.83589980000001</v>
      </c>
      <c r="G1115" s="1" t="s">
        <v>59</v>
      </c>
      <c r="H1115" s="1" t="str">
        <f t="shared" si="52"/>
        <v>CO</v>
      </c>
      <c r="I1115" s="1">
        <f t="shared" si="53"/>
        <v>0</v>
      </c>
    </row>
    <row r="1116" spans="1:9" x14ac:dyDescent="0.2">
      <c r="A1116" s="1" t="s">
        <v>1181</v>
      </c>
      <c r="B1116" s="1">
        <v>60348.68</v>
      </c>
      <c r="C1116" s="1" t="s">
        <v>58</v>
      </c>
      <c r="D1116" s="1">
        <f t="shared" si="51"/>
        <v>60276.750735897454</v>
      </c>
      <c r="E1116" s="1">
        <v>39.696807130000003</v>
      </c>
      <c r="F1116" s="1">
        <v>-104.817984</v>
      </c>
      <c r="G1116" s="1" t="s">
        <v>59</v>
      </c>
      <c r="H1116" s="1" t="str">
        <f t="shared" si="52"/>
        <v>CO</v>
      </c>
      <c r="I1116" s="1">
        <f t="shared" si="53"/>
        <v>1</v>
      </c>
    </row>
    <row r="1117" spans="1:9" x14ac:dyDescent="0.2">
      <c r="A1117" s="1" t="s">
        <v>1182</v>
      </c>
      <c r="B1117" s="1">
        <v>56081.79</v>
      </c>
      <c r="C1117" s="1" t="s">
        <v>58</v>
      </c>
      <c r="D1117" s="1">
        <f t="shared" si="51"/>
        <v>60276.750735897454</v>
      </c>
      <c r="E1117" s="1">
        <v>39.623420000000003</v>
      </c>
      <c r="F1117" s="1">
        <v>-104.77104</v>
      </c>
      <c r="G1117" s="1" t="s">
        <v>59</v>
      </c>
      <c r="H1117" s="1" t="str">
        <f t="shared" si="52"/>
        <v>CO</v>
      </c>
      <c r="I1117" s="1">
        <f t="shared" si="53"/>
        <v>0</v>
      </c>
    </row>
    <row r="1118" spans="1:9" x14ac:dyDescent="0.2">
      <c r="A1118" s="1" t="s">
        <v>1183</v>
      </c>
      <c r="B1118" s="1">
        <v>96677.16</v>
      </c>
      <c r="C1118" s="1" t="s">
        <v>58</v>
      </c>
      <c r="D1118" s="1">
        <f t="shared" si="51"/>
        <v>60276.750735897454</v>
      </c>
      <c r="E1118" s="1">
        <v>39.67462287</v>
      </c>
      <c r="F1118" s="1">
        <v>-104.8212</v>
      </c>
      <c r="G1118" s="1" t="s">
        <v>59</v>
      </c>
      <c r="H1118" s="1" t="str">
        <f t="shared" si="52"/>
        <v>CO</v>
      </c>
      <c r="I1118" s="1">
        <f t="shared" si="53"/>
        <v>1</v>
      </c>
    </row>
    <row r="1119" spans="1:9" x14ac:dyDescent="0.2">
      <c r="A1119" s="1" t="s">
        <v>1184</v>
      </c>
      <c r="B1119" s="1">
        <v>83203.34</v>
      </c>
      <c r="C1119" s="1" t="s">
        <v>58</v>
      </c>
      <c r="D1119" s="1">
        <f t="shared" si="51"/>
        <v>60276.750735897454</v>
      </c>
      <c r="E1119" s="1">
        <v>39.638422050000003</v>
      </c>
      <c r="F1119" s="1">
        <v>-104.7600207</v>
      </c>
      <c r="G1119" s="1" t="s">
        <v>59</v>
      </c>
      <c r="H1119" s="1" t="str">
        <f t="shared" si="52"/>
        <v>CO</v>
      </c>
      <c r="I1119" s="1">
        <f t="shared" si="53"/>
        <v>1</v>
      </c>
    </row>
    <row r="1120" spans="1:9" x14ac:dyDescent="0.2">
      <c r="A1120" s="1" t="s">
        <v>1185</v>
      </c>
      <c r="B1120" s="1">
        <v>60739.79</v>
      </c>
      <c r="C1120" s="1" t="s">
        <v>58</v>
      </c>
      <c r="D1120" s="1">
        <f t="shared" si="51"/>
        <v>60276.750735897454</v>
      </c>
      <c r="E1120" s="1">
        <v>39.638637129999999</v>
      </c>
      <c r="F1120" s="1">
        <v>-104.7373</v>
      </c>
      <c r="G1120" s="1" t="s">
        <v>59</v>
      </c>
      <c r="H1120" s="1" t="str">
        <f t="shared" si="52"/>
        <v>CO</v>
      </c>
      <c r="I1120" s="1">
        <f t="shared" si="53"/>
        <v>1</v>
      </c>
    </row>
    <row r="1121" spans="1:9" x14ac:dyDescent="0.2">
      <c r="A1121" s="1" t="s">
        <v>1186</v>
      </c>
      <c r="C1121" s="1" t="s">
        <v>58</v>
      </c>
      <c r="D1121" s="1">
        <f t="shared" si="51"/>
        <v>60276.750735897454</v>
      </c>
      <c r="E1121" s="1">
        <v>39.675106980000002</v>
      </c>
      <c r="F1121" s="1">
        <v>-104.8308315</v>
      </c>
      <c r="G1121" s="1" t="s">
        <v>59</v>
      </c>
      <c r="H1121" s="1" t="str">
        <f t="shared" si="52"/>
        <v>CO</v>
      </c>
      <c r="I1121" s="1">
        <f t="shared" si="53"/>
        <v>0</v>
      </c>
    </row>
    <row r="1122" spans="1:9" x14ac:dyDescent="0.2">
      <c r="A1122" s="1" t="s">
        <v>1187</v>
      </c>
      <c r="B1122" s="1">
        <v>11056.75</v>
      </c>
      <c r="C1122" s="1" t="s">
        <v>58</v>
      </c>
      <c r="D1122" s="1">
        <f t="shared" si="51"/>
        <v>60276.750735897454</v>
      </c>
      <c r="E1122" s="1">
        <v>39.681828879999998</v>
      </c>
      <c r="F1122" s="1">
        <v>-104.8657353</v>
      </c>
      <c r="G1122" s="1" t="s">
        <v>59</v>
      </c>
      <c r="H1122" s="1" t="str">
        <f t="shared" si="52"/>
        <v>CO</v>
      </c>
      <c r="I1122" s="1">
        <f t="shared" si="53"/>
        <v>0</v>
      </c>
    </row>
    <row r="1123" spans="1:9" x14ac:dyDescent="0.2">
      <c r="A1123" s="1" t="s">
        <v>1188</v>
      </c>
      <c r="B1123" s="1">
        <v>75553.7</v>
      </c>
      <c r="C1123" s="1" t="s">
        <v>58</v>
      </c>
      <c r="D1123" s="1">
        <f t="shared" si="51"/>
        <v>60276.750735897454</v>
      </c>
      <c r="E1123" s="1">
        <v>39.74038899</v>
      </c>
      <c r="F1123" s="1">
        <v>-104.77480300000001</v>
      </c>
      <c r="G1123" s="1" t="s">
        <v>59</v>
      </c>
      <c r="H1123" s="1" t="str">
        <f t="shared" si="52"/>
        <v>CO</v>
      </c>
      <c r="I1123" s="1">
        <f t="shared" si="53"/>
        <v>1</v>
      </c>
    </row>
    <row r="1124" spans="1:9" x14ac:dyDescent="0.2">
      <c r="A1124" s="1" t="s">
        <v>1189</v>
      </c>
      <c r="B1124" s="1">
        <v>76832.160000000003</v>
      </c>
      <c r="C1124" s="1" t="s">
        <v>58</v>
      </c>
      <c r="D1124" s="1">
        <f t="shared" si="51"/>
        <v>60276.750735897454</v>
      </c>
      <c r="E1124" s="1">
        <v>39.678812469999997</v>
      </c>
      <c r="F1124" s="1">
        <v>-104.7672682</v>
      </c>
      <c r="G1124" s="1" t="s">
        <v>59</v>
      </c>
      <c r="H1124" s="1" t="str">
        <f t="shared" si="52"/>
        <v>CO</v>
      </c>
      <c r="I1124" s="1">
        <f t="shared" si="53"/>
        <v>1</v>
      </c>
    </row>
    <row r="1125" spans="1:9" x14ac:dyDescent="0.2">
      <c r="A1125" s="1" t="s">
        <v>1190</v>
      </c>
      <c r="B1125" s="1">
        <v>57651.65</v>
      </c>
      <c r="C1125" s="1" t="s">
        <v>58</v>
      </c>
      <c r="D1125" s="1">
        <f t="shared" si="51"/>
        <v>60276.750735897454</v>
      </c>
      <c r="E1125" s="1">
        <v>39.638279259999997</v>
      </c>
      <c r="F1125" s="1">
        <v>-104.7990681</v>
      </c>
      <c r="G1125" s="1" t="s">
        <v>59</v>
      </c>
      <c r="H1125" s="1" t="str">
        <f t="shared" si="52"/>
        <v>CO</v>
      </c>
      <c r="I1125" s="1">
        <f t="shared" si="53"/>
        <v>0</v>
      </c>
    </row>
    <row r="1126" spans="1:9" x14ac:dyDescent="0.2">
      <c r="A1126" s="1" t="s">
        <v>1191</v>
      </c>
      <c r="B1126" s="1">
        <v>61332.17</v>
      </c>
      <c r="C1126" s="1" t="s">
        <v>58</v>
      </c>
      <c r="D1126" s="1">
        <f t="shared" si="51"/>
        <v>60276.750735897454</v>
      </c>
      <c r="E1126" s="1">
        <v>39.65286287</v>
      </c>
      <c r="F1126" s="1">
        <v>-104.810097</v>
      </c>
      <c r="G1126" s="1" t="s">
        <v>59</v>
      </c>
      <c r="H1126" s="1" t="str">
        <f t="shared" si="52"/>
        <v>CO</v>
      </c>
      <c r="I1126" s="1">
        <f t="shared" si="53"/>
        <v>1</v>
      </c>
    </row>
    <row r="1127" spans="1:9" x14ac:dyDescent="0.2">
      <c r="A1127" s="1" t="s">
        <v>1192</v>
      </c>
      <c r="B1127" s="1">
        <v>54528.78</v>
      </c>
      <c r="C1127" s="1" t="s">
        <v>58</v>
      </c>
      <c r="D1127" s="1">
        <f t="shared" si="51"/>
        <v>60276.750735897454</v>
      </c>
      <c r="E1127" s="1">
        <v>39.674979999999998</v>
      </c>
      <c r="F1127" s="1">
        <v>-104.86612820000001</v>
      </c>
      <c r="G1127" s="1" t="s">
        <v>59</v>
      </c>
      <c r="H1127" s="1" t="str">
        <f t="shared" si="52"/>
        <v>CO</v>
      </c>
      <c r="I1127" s="1">
        <f t="shared" si="53"/>
        <v>0</v>
      </c>
    </row>
    <row r="1128" spans="1:9" x14ac:dyDescent="0.2">
      <c r="A1128" s="1" t="s">
        <v>1193</v>
      </c>
      <c r="B1128" s="1">
        <v>98242.17</v>
      </c>
      <c r="C1128" s="1" t="s">
        <v>58</v>
      </c>
      <c r="D1128" s="1">
        <f t="shared" si="51"/>
        <v>60276.750735897454</v>
      </c>
      <c r="E1128" s="1">
        <v>39.71095287</v>
      </c>
      <c r="F1128" s="1">
        <v>-104.8283788</v>
      </c>
      <c r="G1128" s="1" t="s">
        <v>59</v>
      </c>
      <c r="H1128" s="1" t="str">
        <f t="shared" si="52"/>
        <v>CO</v>
      </c>
      <c r="I1128" s="1">
        <f t="shared" si="53"/>
        <v>1</v>
      </c>
    </row>
    <row r="1129" spans="1:9" x14ac:dyDescent="0.2">
      <c r="A1129" s="1" t="s">
        <v>1194</v>
      </c>
      <c r="B1129" s="1">
        <v>79882.399999999994</v>
      </c>
      <c r="C1129" s="1" t="s">
        <v>58</v>
      </c>
      <c r="D1129" s="1">
        <f t="shared" si="51"/>
        <v>60276.750735897454</v>
      </c>
      <c r="E1129" s="1">
        <v>39.740344999999998</v>
      </c>
      <c r="F1129" s="1">
        <v>-104.8472519</v>
      </c>
      <c r="G1129" s="1" t="s">
        <v>59</v>
      </c>
      <c r="H1129" s="1" t="str">
        <f t="shared" si="52"/>
        <v>CO</v>
      </c>
      <c r="I1129" s="1">
        <f t="shared" si="53"/>
        <v>1</v>
      </c>
    </row>
    <row r="1130" spans="1:9" x14ac:dyDescent="0.2">
      <c r="A1130" s="1" t="s">
        <v>1195</v>
      </c>
      <c r="B1130" s="1">
        <v>137932.44</v>
      </c>
      <c r="C1130" s="1" t="s">
        <v>58</v>
      </c>
      <c r="D1130" s="1">
        <f t="shared" si="51"/>
        <v>60276.750735897454</v>
      </c>
      <c r="E1130" s="1">
        <v>39.720019999999998</v>
      </c>
      <c r="F1130" s="1">
        <v>-104.7157917</v>
      </c>
      <c r="G1130" s="1" t="s">
        <v>59</v>
      </c>
      <c r="H1130" s="1" t="str">
        <f t="shared" si="52"/>
        <v>CO</v>
      </c>
      <c r="I1130" s="1">
        <f t="shared" si="53"/>
        <v>1</v>
      </c>
    </row>
    <row r="1131" spans="1:9" x14ac:dyDescent="0.2">
      <c r="A1131" s="1" t="s">
        <v>1196</v>
      </c>
      <c r="B1131" s="1">
        <v>64250.49</v>
      </c>
      <c r="C1131" s="1" t="s">
        <v>58</v>
      </c>
      <c r="D1131" s="1">
        <f t="shared" si="51"/>
        <v>60276.750735897454</v>
      </c>
      <c r="E1131" s="1">
        <v>39.653287130000002</v>
      </c>
      <c r="F1131" s="1">
        <v>-104.8101289</v>
      </c>
      <c r="G1131" s="1" t="s">
        <v>59</v>
      </c>
      <c r="H1131" s="1" t="str">
        <f t="shared" si="52"/>
        <v>CO</v>
      </c>
      <c r="I1131" s="1">
        <f t="shared" si="53"/>
        <v>1</v>
      </c>
    </row>
    <row r="1132" spans="1:9" x14ac:dyDescent="0.2">
      <c r="A1132" s="1" t="s">
        <v>1197</v>
      </c>
      <c r="B1132" s="1">
        <v>42289.15</v>
      </c>
      <c r="C1132" s="1" t="s">
        <v>58</v>
      </c>
      <c r="D1132" s="1">
        <f t="shared" si="51"/>
        <v>60276.750735897454</v>
      </c>
      <c r="E1132" s="1">
        <v>39.674755930000003</v>
      </c>
      <c r="F1132" s="1">
        <v>-104.8063815</v>
      </c>
      <c r="G1132" s="1" t="s">
        <v>59</v>
      </c>
      <c r="H1132" s="1" t="str">
        <f t="shared" si="52"/>
        <v>CO</v>
      </c>
      <c r="I1132" s="1">
        <f t="shared" si="53"/>
        <v>0</v>
      </c>
    </row>
    <row r="1133" spans="1:9" x14ac:dyDescent="0.2">
      <c r="A1133" s="1" t="s">
        <v>1198</v>
      </c>
      <c r="B1133" s="1">
        <v>39879.839999999997</v>
      </c>
      <c r="C1133" s="1" t="s">
        <v>58</v>
      </c>
      <c r="D1133" s="1">
        <f t="shared" si="51"/>
        <v>60276.750735897454</v>
      </c>
      <c r="E1133" s="1">
        <v>39.711669999999998</v>
      </c>
      <c r="F1133" s="1">
        <v>-104.8281217</v>
      </c>
      <c r="G1133" s="1" t="s">
        <v>59</v>
      </c>
      <c r="H1133" s="1" t="str">
        <f t="shared" si="52"/>
        <v>CO</v>
      </c>
      <c r="I1133" s="1">
        <f t="shared" si="53"/>
        <v>0</v>
      </c>
    </row>
    <row r="1134" spans="1:9" x14ac:dyDescent="0.2">
      <c r="A1134" s="1" t="s">
        <v>1199</v>
      </c>
      <c r="B1134" s="1">
        <v>77614.17</v>
      </c>
      <c r="C1134" s="1" t="s">
        <v>58</v>
      </c>
      <c r="D1134" s="1">
        <f t="shared" si="51"/>
        <v>60276.750735897454</v>
      </c>
      <c r="E1134" s="1">
        <v>39.639847510000003</v>
      </c>
      <c r="F1134" s="1">
        <v>-104.828582</v>
      </c>
      <c r="G1134" s="1" t="s">
        <v>59</v>
      </c>
      <c r="H1134" s="1" t="str">
        <f t="shared" si="52"/>
        <v>CO</v>
      </c>
      <c r="I1134" s="1">
        <f t="shared" si="53"/>
        <v>1</v>
      </c>
    </row>
    <row r="1135" spans="1:9" x14ac:dyDescent="0.2">
      <c r="A1135" s="1" t="s">
        <v>1200</v>
      </c>
      <c r="B1135" s="1">
        <v>18921.62</v>
      </c>
      <c r="C1135" s="1" t="s">
        <v>58</v>
      </c>
      <c r="D1135" s="1">
        <f t="shared" si="51"/>
        <v>60276.750735897454</v>
      </c>
      <c r="E1135" s="1">
        <v>39.676744620000001</v>
      </c>
      <c r="F1135" s="1">
        <v>-104.84697180000001</v>
      </c>
      <c r="G1135" s="1" t="s">
        <v>59</v>
      </c>
      <c r="H1135" s="1" t="str">
        <f t="shared" si="52"/>
        <v>CO</v>
      </c>
      <c r="I1135" s="1">
        <f t="shared" si="53"/>
        <v>0</v>
      </c>
    </row>
    <row r="1136" spans="1:9" x14ac:dyDescent="0.2">
      <c r="A1136" s="1" t="s">
        <v>1201</v>
      </c>
      <c r="B1136" s="1">
        <v>35825.68</v>
      </c>
      <c r="C1136" s="1" t="s">
        <v>58</v>
      </c>
      <c r="D1136" s="1">
        <f t="shared" si="51"/>
        <v>60276.750735897454</v>
      </c>
      <c r="E1136" s="1">
        <v>39.66900674</v>
      </c>
      <c r="F1136" s="1">
        <v>-104.77272809999999</v>
      </c>
      <c r="G1136" s="1" t="s">
        <v>59</v>
      </c>
      <c r="H1136" s="1" t="str">
        <f t="shared" si="52"/>
        <v>CO</v>
      </c>
      <c r="I1136" s="1">
        <f t="shared" si="53"/>
        <v>0</v>
      </c>
    </row>
    <row r="1137" spans="1:9" x14ac:dyDescent="0.2">
      <c r="A1137" s="1" t="s">
        <v>1202</v>
      </c>
      <c r="B1137" s="1">
        <v>46531.82</v>
      </c>
      <c r="C1137" s="1" t="s">
        <v>58</v>
      </c>
      <c r="D1137" s="1">
        <f t="shared" si="51"/>
        <v>60276.750735897454</v>
      </c>
      <c r="E1137" s="1">
        <v>39.677715560000003</v>
      </c>
      <c r="F1137" s="1">
        <v>-104.8101882</v>
      </c>
      <c r="G1137" s="1" t="s">
        <v>59</v>
      </c>
      <c r="H1137" s="1" t="str">
        <f t="shared" si="52"/>
        <v>CO</v>
      </c>
      <c r="I1137" s="1">
        <f t="shared" si="53"/>
        <v>0</v>
      </c>
    </row>
    <row r="1138" spans="1:9" x14ac:dyDescent="0.2">
      <c r="A1138" s="1" t="s">
        <v>1203</v>
      </c>
      <c r="B1138" s="1">
        <v>58625.2</v>
      </c>
      <c r="C1138" s="1" t="s">
        <v>58</v>
      </c>
      <c r="D1138" s="1">
        <f t="shared" si="51"/>
        <v>60276.750735897454</v>
      </c>
      <c r="E1138" s="1">
        <v>39.71161343</v>
      </c>
      <c r="F1138" s="1">
        <v>-104.8195182</v>
      </c>
      <c r="G1138" s="1" t="s">
        <v>59</v>
      </c>
      <c r="H1138" s="1" t="str">
        <f t="shared" si="52"/>
        <v>CO</v>
      </c>
      <c r="I1138" s="1">
        <f t="shared" si="53"/>
        <v>0</v>
      </c>
    </row>
    <row r="1139" spans="1:9" x14ac:dyDescent="0.2">
      <c r="A1139" s="1" t="s">
        <v>1204</v>
      </c>
      <c r="B1139" s="1">
        <v>48778.92</v>
      </c>
      <c r="C1139" s="1" t="s">
        <v>58</v>
      </c>
      <c r="D1139" s="1">
        <f t="shared" si="51"/>
        <v>60276.750735897454</v>
      </c>
      <c r="E1139" s="1">
        <v>39.65243736</v>
      </c>
      <c r="F1139" s="1">
        <v>-104.7721719</v>
      </c>
      <c r="G1139" s="1" t="s">
        <v>59</v>
      </c>
      <c r="H1139" s="1" t="str">
        <f t="shared" si="52"/>
        <v>CO</v>
      </c>
      <c r="I1139" s="1">
        <f t="shared" si="53"/>
        <v>0</v>
      </c>
    </row>
    <row r="1140" spans="1:9" x14ac:dyDescent="0.2">
      <c r="A1140" s="1" t="s">
        <v>1205</v>
      </c>
      <c r="B1140" s="1">
        <v>111621.61</v>
      </c>
      <c r="C1140" s="1" t="s">
        <v>58</v>
      </c>
      <c r="D1140" s="1">
        <f t="shared" si="51"/>
        <v>60276.750735897454</v>
      </c>
      <c r="E1140" s="1">
        <v>39.696392869999997</v>
      </c>
      <c r="F1140" s="1">
        <v>-104.8107725</v>
      </c>
      <c r="G1140" s="1" t="s">
        <v>59</v>
      </c>
      <c r="H1140" s="1" t="str">
        <f t="shared" si="52"/>
        <v>CO</v>
      </c>
      <c r="I1140" s="1">
        <f t="shared" si="53"/>
        <v>1</v>
      </c>
    </row>
    <row r="1141" spans="1:9" x14ac:dyDescent="0.2">
      <c r="A1141" s="1" t="s">
        <v>1206</v>
      </c>
      <c r="B1141" s="1">
        <v>115319.98</v>
      </c>
      <c r="C1141" s="1" t="s">
        <v>58</v>
      </c>
      <c r="D1141" s="1">
        <f t="shared" si="51"/>
        <v>60276.750735897454</v>
      </c>
      <c r="E1141" s="1">
        <v>39.65325713</v>
      </c>
      <c r="F1141" s="1">
        <v>-104.77646</v>
      </c>
      <c r="G1141" s="1" t="s">
        <v>59</v>
      </c>
      <c r="H1141" s="1" t="str">
        <f t="shared" si="52"/>
        <v>CO</v>
      </c>
      <c r="I1141" s="1">
        <f t="shared" si="53"/>
        <v>1</v>
      </c>
    </row>
    <row r="1142" spans="1:9" x14ac:dyDescent="0.2">
      <c r="A1142" s="1" t="s">
        <v>1207</v>
      </c>
      <c r="B1142" s="1">
        <v>122633.19</v>
      </c>
      <c r="C1142" s="1" t="s">
        <v>58</v>
      </c>
      <c r="D1142" s="1">
        <f t="shared" si="51"/>
        <v>60276.750735897454</v>
      </c>
      <c r="E1142" s="1">
        <v>39.66088165</v>
      </c>
      <c r="F1142" s="1">
        <v>-104.84697629999999</v>
      </c>
      <c r="G1142" s="1" t="s">
        <v>59</v>
      </c>
      <c r="H1142" s="1" t="str">
        <f t="shared" si="52"/>
        <v>CO</v>
      </c>
      <c r="I1142" s="1">
        <f t="shared" si="53"/>
        <v>1</v>
      </c>
    </row>
    <row r="1143" spans="1:9" x14ac:dyDescent="0.2">
      <c r="A1143" s="1" t="s">
        <v>1208</v>
      </c>
      <c r="B1143" s="1">
        <v>81245.87</v>
      </c>
      <c r="C1143" s="1" t="s">
        <v>58</v>
      </c>
      <c r="D1143" s="1">
        <f t="shared" si="51"/>
        <v>60276.750735897454</v>
      </c>
      <c r="E1143" s="1">
        <v>39.695517019999997</v>
      </c>
      <c r="F1143" s="1">
        <v>-104.86612820000001</v>
      </c>
      <c r="G1143" s="1" t="s">
        <v>59</v>
      </c>
      <c r="H1143" s="1" t="str">
        <f t="shared" si="52"/>
        <v>CO</v>
      </c>
      <c r="I1143" s="1">
        <f t="shared" si="53"/>
        <v>1</v>
      </c>
    </row>
    <row r="1144" spans="1:9" x14ac:dyDescent="0.2">
      <c r="A1144" s="1" t="s">
        <v>1209</v>
      </c>
      <c r="B1144" s="1">
        <v>121253.79</v>
      </c>
      <c r="C1144" s="1" t="s">
        <v>58</v>
      </c>
      <c r="D1144" s="1">
        <f t="shared" si="51"/>
        <v>60276.750735897454</v>
      </c>
      <c r="E1144" s="1">
        <v>39.673433289999998</v>
      </c>
      <c r="F1144" s="1">
        <v>-104.790481</v>
      </c>
      <c r="G1144" s="1" t="s">
        <v>59</v>
      </c>
      <c r="H1144" s="1" t="str">
        <f t="shared" si="52"/>
        <v>CO</v>
      </c>
      <c r="I1144" s="1">
        <f t="shared" si="53"/>
        <v>1</v>
      </c>
    </row>
    <row r="1145" spans="1:9" x14ac:dyDescent="0.2">
      <c r="A1145" s="1" t="s">
        <v>1210</v>
      </c>
      <c r="B1145" s="1">
        <v>115450.32</v>
      </c>
      <c r="C1145" s="1" t="s">
        <v>58</v>
      </c>
      <c r="D1145" s="1">
        <f t="shared" si="51"/>
        <v>60276.750735897454</v>
      </c>
      <c r="E1145" s="1">
        <v>39.638864740000002</v>
      </c>
      <c r="F1145" s="1">
        <v>-104.7917333</v>
      </c>
      <c r="G1145" s="1" t="s">
        <v>59</v>
      </c>
      <c r="H1145" s="1" t="str">
        <f t="shared" si="52"/>
        <v>CO</v>
      </c>
      <c r="I1145" s="1">
        <f t="shared" si="53"/>
        <v>1</v>
      </c>
    </row>
    <row r="1146" spans="1:9" x14ac:dyDescent="0.2">
      <c r="A1146" s="1" t="s">
        <v>1211</v>
      </c>
      <c r="B1146" s="1">
        <v>32594.79</v>
      </c>
      <c r="C1146" s="1" t="s">
        <v>58</v>
      </c>
      <c r="D1146" s="1">
        <f t="shared" si="51"/>
        <v>60276.750735897454</v>
      </c>
      <c r="E1146" s="1">
        <v>39.638252870000002</v>
      </c>
      <c r="F1146" s="1">
        <v>-104.7400909</v>
      </c>
      <c r="G1146" s="1" t="s">
        <v>59</v>
      </c>
      <c r="H1146" s="1" t="str">
        <f t="shared" si="52"/>
        <v>CO</v>
      </c>
      <c r="I1146" s="1">
        <f t="shared" si="53"/>
        <v>0</v>
      </c>
    </row>
    <row r="1147" spans="1:9" x14ac:dyDescent="0.2">
      <c r="A1147" s="1" t="s">
        <v>1212</v>
      </c>
      <c r="B1147" s="1">
        <v>38226.15</v>
      </c>
      <c r="C1147" s="1" t="s">
        <v>58</v>
      </c>
      <c r="D1147" s="1">
        <f t="shared" si="51"/>
        <v>60276.750735897454</v>
      </c>
      <c r="E1147" s="1">
        <v>39.69640467</v>
      </c>
      <c r="F1147" s="1">
        <v>-104.8459399</v>
      </c>
      <c r="G1147" s="1" t="s">
        <v>59</v>
      </c>
      <c r="H1147" s="1" t="str">
        <f t="shared" si="52"/>
        <v>CO</v>
      </c>
      <c r="I1147" s="1">
        <f t="shared" si="53"/>
        <v>0</v>
      </c>
    </row>
    <row r="1148" spans="1:9" x14ac:dyDescent="0.2">
      <c r="A1148" s="1" t="s">
        <v>1213</v>
      </c>
      <c r="B1148" s="1">
        <v>59368.85</v>
      </c>
      <c r="C1148" s="1" t="s">
        <v>58</v>
      </c>
      <c r="D1148" s="1">
        <f t="shared" si="51"/>
        <v>60276.750735897454</v>
      </c>
      <c r="E1148" s="1">
        <v>39.652812869999998</v>
      </c>
      <c r="F1148" s="1">
        <v>-104.77005250000001</v>
      </c>
      <c r="G1148" s="1" t="s">
        <v>59</v>
      </c>
      <c r="H1148" s="1" t="str">
        <f t="shared" si="52"/>
        <v>CO</v>
      </c>
      <c r="I1148" s="1">
        <f t="shared" si="53"/>
        <v>0</v>
      </c>
    </row>
    <row r="1149" spans="1:9" x14ac:dyDescent="0.2">
      <c r="A1149" s="1" t="s">
        <v>1214</v>
      </c>
      <c r="B1149" s="1">
        <v>65004.47</v>
      </c>
      <c r="C1149" s="1" t="s">
        <v>58</v>
      </c>
      <c r="D1149" s="1">
        <f t="shared" si="51"/>
        <v>60276.750735897454</v>
      </c>
      <c r="E1149" s="1">
        <v>39.685992079999998</v>
      </c>
      <c r="F1149" s="1">
        <v>-104.86610930000001</v>
      </c>
      <c r="G1149" s="1" t="s">
        <v>59</v>
      </c>
      <c r="H1149" s="1" t="str">
        <f t="shared" si="52"/>
        <v>CO</v>
      </c>
      <c r="I1149" s="1">
        <f t="shared" si="53"/>
        <v>1</v>
      </c>
    </row>
    <row r="1150" spans="1:9" x14ac:dyDescent="0.2">
      <c r="A1150" s="1" t="s">
        <v>1215</v>
      </c>
      <c r="B1150" s="1">
        <v>122407.94</v>
      </c>
      <c r="C1150" s="1" t="s">
        <v>58</v>
      </c>
      <c r="D1150" s="1">
        <f t="shared" si="51"/>
        <v>60276.750735897454</v>
      </c>
      <c r="E1150" s="1">
        <v>39.716442870000002</v>
      </c>
      <c r="F1150" s="1">
        <v>-104.8222882</v>
      </c>
      <c r="G1150" s="1" t="s">
        <v>59</v>
      </c>
      <c r="H1150" s="1" t="str">
        <f t="shared" si="52"/>
        <v>CO</v>
      </c>
      <c r="I1150" s="1">
        <f t="shared" si="53"/>
        <v>1</v>
      </c>
    </row>
    <row r="1151" spans="1:9" x14ac:dyDescent="0.2">
      <c r="A1151" s="1" t="s">
        <v>1216</v>
      </c>
      <c r="B1151" s="1">
        <v>63959.41</v>
      </c>
      <c r="C1151" s="1" t="s">
        <v>58</v>
      </c>
      <c r="D1151" s="1">
        <f t="shared" si="51"/>
        <v>60276.750735897454</v>
      </c>
      <c r="E1151" s="1">
        <v>39.69190511</v>
      </c>
      <c r="F1151" s="1">
        <v>-104.86571189999999</v>
      </c>
      <c r="G1151" s="1" t="s">
        <v>59</v>
      </c>
      <c r="H1151" s="1" t="str">
        <f t="shared" si="52"/>
        <v>CO</v>
      </c>
      <c r="I1151" s="1">
        <f t="shared" si="53"/>
        <v>1</v>
      </c>
    </row>
    <row r="1152" spans="1:9" x14ac:dyDescent="0.2">
      <c r="A1152" s="1" t="s">
        <v>1217</v>
      </c>
      <c r="B1152" s="1">
        <v>58314.39</v>
      </c>
      <c r="C1152" s="1" t="s">
        <v>58</v>
      </c>
      <c r="D1152" s="1">
        <f t="shared" si="51"/>
        <v>60276.750735897454</v>
      </c>
      <c r="E1152" s="1">
        <v>39.638272870000002</v>
      </c>
      <c r="F1152" s="1">
        <v>-104.7911362</v>
      </c>
      <c r="G1152" s="1" t="s">
        <v>59</v>
      </c>
      <c r="H1152" s="1" t="str">
        <f t="shared" si="52"/>
        <v>CO</v>
      </c>
      <c r="I1152" s="1">
        <f t="shared" si="53"/>
        <v>0</v>
      </c>
    </row>
    <row r="1153" spans="1:9" x14ac:dyDescent="0.2">
      <c r="A1153" s="1" t="s">
        <v>1218</v>
      </c>
      <c r="B1153" s="1">
        <v>12060.21</v>
      </c>
      <c r="C1153" s="1" t="s">
        <v>58</v>
      </c>
      <c r="D1153" s="1">
        <f t="shared" si="51"/>
        <v>60276.750735897454</v>
      </c>
      <c r="E1153" s="1">
        <v>39.674977130000002</v>
      </c>
      <c r="F1153" s="1">
        <v>-104.8479687</v>
      </c>
      <c r="G1153" s="1" t="s">
        <v>59</v>
      </c>
      <c r="H1153" s="1" t="str">
        <f t="shared" si="52"/>
        <v>CO</v>
      </c>
      <c r="I1153" s="1">
        <f t="shared" si="53"/>
        <v>0</v>
      </c>
    </row>
    <row r="1154" spans="1:9" x14ac:dyDescent="0.2">
      <c r="A1154" s="1" t="s">
        <v>1219</v>
      </c>
      <c r="C1154" s="1" t="s">
        <v>58</v>
      </c>
      <c r="D1154" s="1">
        <f t="shared" si="51"/>
        <v>60276.750735897454</v>
      </c>
      <c r="E1154" s="1">
        <v>39.652872870000003</v>
      </c>
      <c r="F1154" s="1">
        <v>-104.8097436</v>
      </c>
      <c r="G1154" s="1" t="s">
        <v>59</v>
      </c>
      <c r="H1154" s="1" t="str">
        <f t="shared" si="52"/>
        <v>CO</v>
      </c>
      <c r="I1154" s="1">
        <f t="shared" si="53"/>
        <v>0</v>
      </c>
    </row>
    <row r="1155" spans="1:9" x14ac:dyDescent="0.2">
      <c r="A1155" s="1" t="s">
        <v>1220</v>
      </c>
      <c r="B1155" s="1">
        <v>718.05</v>
      </c>
      <c r="C1155" s="1" t="s">
        <v>58</v>
      </c>
      <c r="D1155" s="1">
        <f t="shared" ref="D1155:D1218" si="54">AVERAGEIFS($B:$B,$C:$C,$C1155)</f>
        <v>60276.750735897454</v>
      </c>
      <c r="E1155" s="1">
        <v>39.69680554</v>
      </c>
      <c r="F1155" s="1">
        <v>-104.8478779</v>
      </c>
      <c r="G1155" s="1" t="s">
        <v>59</v>
      </c>
      <c r="H1155" s="1" t="str">
        <f t="shared" ref="H1155:H1218" si="55">TRIM(_xlfn.TEXTAFTER(A1155, ",", -1))</f>
        <v>CO</v>
      </c>
      <c r="I1155" s="1">
        <f t="shared" ref="I1155:I1218" si="56">IF(B1155&gt;D1155,1,0)</f>
        <v>0</v>
      </c>
    </row>
    <row r="1156" spans="1:9" x14ac:dyDescent="0.2">
      <c r="A1156" s="1" t="s">
        <v>1221</v>
      </c>
      <c r="B1156" s="1">
        <v>9489.24</v>
      </c>
      <c r="C1156" s="1" t="s">
        <v>58</v>
      </c>
      <c r="D1156" s="1">
        <f t="shared" si="54"/>
        <v>60276.750735897454</v>
      </c>
      <c r="E1156" s="1">
        <v>39.61187864</v>
      </c>
      <c r="F1156" s="1">
        <v>-104.7547577</v>
      </c>
      <c r="G1156" s="1" t="s">
        <v>59</v>
      </c>
      <c r="H1156" s="1" t="str">
        <f t="shared" si="55"/>
        <v>CO</v>
      </c>
      <c r="I1156" s="1">
        <f t="shared" si="56"/>
        <v>0</v>
      </c>
    </row>
    <row r="1157" spans="1:9" x14ac:dyDescent="0.2">
      <c r="A1157" s="1" t="s">
        <v>1222</v>
      </c>
      <c r="B1157" s="1">
        <v>10081.08</v>
      </c>
      <c r="C1157" s="1" t="s">
        <v>58</v>
      </c>
      <c r="D1157" s="1">
        <f t="shared" si="54"/>
        <v>60276.750735897454</v>
      </c>
      <c r="E1157" s="1">
        <v>39.653247100000002</v>
      </c>
      <c r="F1157" s="1">
        <v>-104.7729561</v>
      </c>
      <c r="G1157" s="1" t="s">
        <v>59</v>
      </c>
      <c r="H1157" s="1" t="str">
        <f t="shared" si="55"/>
        <v>CO</v>
      </c>
      <c r="I1157" s="1">
        <f t="shared" si="56"/>
        <v>0</v>
      </c>
    </row>
    <row r="1158" spans="1:9" x14ac:dyDescent="0.2">
      <c r="A1158" s="1" t="s">
        <v>1223</v>
      </c>
      <c r="B1158" s="1">
        <v>1778.21</v>
      </c>
      <c r="C1158" s="1" t="s">
        <v>58</v>
      </c>
      <c r="D1158" s="1">
        <f t="shared" si="54"/>
        <v>60276.750735897454</v>
      </c>
      <c r="E1158" s="1">
        <v>39.675017130000001</v>
      </c>
      <c r="F1158" s="1">
        <v>-104.80982</v>
      </c>
      <c r="G1158" s="1" t="s">
        <v>59</v>
      </c>
      <c r="H1158" s="1" t="str">
        <f t="shared" si="55"/>
        <v>CO</v>
      </c>
      <c r="I1158" s="1">
        <f t="shared" si="56"/>
        <v>0</v>
      </c>
    </row>
    <row r="1159" spans="1:9" x14ac:dyDescent="0.2">
      <c r="A1159" s="1" t="s">
        <v>1224</v>
      </c>
      <c r="B1159" s="1">
        <v>11533.4</v>
      </c>
      <c r="C1159" s="1" t="s">
        <v>58</v>
      </c>
      <c r="D1159" s="1">
        <f t="shared" si="54"/>
        <v>60276.750735897454</v>
      </c>
      <c r="E1159" s="1">
        <v>39.711262820000002</v>
      </c>
      <c r="F1159" s="1">
        <v>-104.8648736</v>
      </c>
      <c r="G1159" s="1" t="s">
        <v>59</v>
      </c>
      <c r="H1159" s="1" t="str">
        <f t="shared" si="55"/>
        <v>CO</v>
      </c>
      <c r="I1159" s="1">
        <f t="shared" si="56"/>
        <v>0</v>
      </c>
    </row>
    <row r="1160" spans="1:9" x14ac:dyDescent="0.2">
      <c r="A1160" s="1" t="s">
        <v>1225</v>
      </c>
      <c r="B1160" s="1">
        <v>9940.0300000000007</v>
      </c>
      <c r="C1160" s="1" t="s">
        <v>58</v>
      </c>
      <c r="D1160" s="1">
        <f t="shared" si="54"/>
        <v>60276.750735897454</v>
      </c>
      <c r="E1160" s="1">
        <v>39.677044070000001</v>
      </c>
      <c r="F1160" s="1">
        <v>-104.7714265</v>
      </c>
      <c r="G1160" s="1" t="s">
        <v>59</v>
      </c>
      <c r="H1160" s="1" t="str">
        <f t="shared" si="55"/>
        <v>CO</v>
      </c>
      <c r="I1160" s="1">
        <f t="shared" si="56"/>
        <v>0</v>
      </c>
    </row>
    <row r="1161" spans="1:9" x14ac:dyDescent="0.2">
      <c r="A1161" s="1" t="s">
        <v>1226</v>
      </c>
      <c r="B1161" s="1">
        <v>98717.19</v>
      </c>
      <c r="C1161" s="1" t="s">
        <v>58</v>
      </c>
      <c r="D1161" s="1">
        <f t="shared" si="54"/>
        <v>60276.750735897454</v>
      </c>
      <c r="E1161" s="1">
        <v>39.580737130000003</v>
      </c>
      <c r="F1161" s="1">
        <v>-104.880375</v>
      </c>
      <c r="G1161" s="1" t="s">
        <v>60</v>
      </c>
      <c r="H1161" s="1" t="str">
        <f t="shared" si="55"/>
        <v>CO</v>
      </c>
      <c r="I1161" s="1">
        <f t="shared" si="56"/>
        <v>1</v>
      </c>
    </row>
    <row r="1162" spans="1:9" x14ac:dyDescent="0.2">
      <c r="A1162" s="1" t="s">
        <v>1227</v>
      </c>
      <c r="B1162" s="1">
        <v>56065.56</v>
      </c>
      <c r="C1162" s="1" t="s">
        <v>58</v>
      </c>
      <c r="D1162" s="1">
        <f t="shared" si="54"/>
        <v>60276.750735897454</v>
      </c>
      <c r="E1162" s="1">
        <v>39.593307129999999</v>
      </c>
      <c r="F1162" s="1">
        <v>-104.86615140000001</v>
      </c>
      <c r="G1162" s="1" t="s">
        <v>60</v>
      </c>
      <c r="H1162" s="1" t="str">
        <f t="shared" si="55"/>
        <v>CO</v>
      </c>
      <c r="I1162" s="1">
        <f t="shared" si="56"/>
        <v>0</v>
      </c>
    </row>
    <row r="1163" spans="1:9" x14ac:dyDescent="0.2">
      <c r="A1163" s="1" t="s">
        <v>1228</v>
      </c>
      <c r="B1163" s="1">
        <v>18851.87</v>
      </c>
      <c r="C1163" s="1" t="s">
        <v>58</v>
      </c>
      <c r="D1163" s="1">
        <f t="shared" si="54"/>
        <v>60276.750735897454</v>
      </c>
      <c r="E1163" s="1">
        <v>39.595243879999998</v>
      </c>
      <c r="F1163" s="1">
        <v>-104.9022544</v>
      </c>
      <c r="G1163" s="1" t="s">
        <v>60</v>
      </c>
      <c r="H1163" s="1" t="str">
        <f t="shared" si="55"/>
        <v>CO</v>
      </c>
      <c r="I1163" s="1">
        <f t="shared" si="56"/>
        <v>0</v>
      </c>
    </row>
    <row r="1164" spans="1:9" x14ac:dyDescent="0.2">
      <c r="A1164" s="1" t="s">
        <v>1229</v>
      </c>
      <c r="B1164" s="1">
        <v>35093.620000000003</v>
      </c>
      <c r="C1164" s="1" t="s">
        <v>58</v>
      </c>
      <c r="D1164" s="1">
        <f t="shared" si="54"/>
        <v>60276.750735897454</v>
      </c>
      <c r="E1164" s="1">
        <v>39.57894125</v>
      </c>
      <c r="F1164" s="1">
        <v>-104.96012210000001</v>
      </c>
      <c r="G1164" s="1" t="s">
        <v>60</v>
      </c>
      <c r="H1164" s="1" t="str">
        <f t="shared" si="55"/>
        <v>CO</v>
      </c>
      <c r="I1164" s="1">
        <f t="shared" si="56"/>
        <v>0</v>
      </c>
    </row>
    <row r="1165" spans="1:9" x14ac:dyDescent="0.2">
      <c r="A1165" s="1" t="s">
        <v>1230</v>
      </c>
      <c r="B1165" s="1">
        <v>42028.27</v>
      </c>
      <c r="C1165" s="1" t="s">
        <v>58</v>
      </c>
      <c r="D1165" s="1">
        <f t="shared" si="54"/>
        <v>60276.750735897454</v>
      </c>
      <c r="E1165" s="1">
        <v>39.592372689999998</v>
      </c>
      <c r="F1165" s="1">
        <v>-104.9884746</v>
      </c>
      <c r="G1165" s="1" t="s">
        <v>60</v>
      </c>
      <c r="H1165" s="1" t="str">
        <f t="shared" si="55"/>
        <v>CO</v>
      </c>
      <c r="I1165" s="1">
        <f t="shared" si="56"/>
        <v>0</v>
      </c>
    </row>
    <row r="1166" spans="1:9" x14ac:dyDescent="0.2">
      <c r="A1166" s="1" t="s">
        <v>1231</v>
      </c>
      <c r="B1166" s="1">
        <v>42729.18</v>
      </c>
      <c r="C1166" s="1" t="s">
        <v>58</v>
      </c>
      <c r="D1166" s="1">
        <f t="shared" si="54"/>
        <v>60276.750735897454</v>
      </c>
      <c r="E1166" s="1">
        <v>39.617978280000003</v>
      </c>
      <c r="F1166" s="1">
        <v>-104.7705771</v>
      </c>
      <c r="G1166" s="1" t="s">
        <v>60</v>
      </c>
      <c r="H1166" s="1" t="str">
        <f t="shared" si="55"/>
        <v>CO</v>
      </c>
      <c r="I1166" s="1">
        <f t="shared" si="56"/>
        <v>0</v>
      </c>
    </row>
    <row r="1167" spans="1:9" x14ac:dyDescent="0.2">
      <c r="A1167" s="1" t="s">
        <v>1232</v>
      </c>
      <c r="B1167" s="1">
        <v>34126.44</v>
      </c>
      <c r="C1167" s="1" t="s">
        <v>58</v>
      </c>
      <c r="D1167" s="1">
        <f t="shared" si="54"/>
        <v>60276.750735897454</v>
      </c>
      <c r="E1167" s="1">
        <v>39.59530221</v>
      </c>
      <c r="F1167" s="1">
        <v>-104.9274927</v>
      </c>
      <c r="G1167" s="1" t="s">
        <v>60</v>
      </c>
      <c r="H1167" s="1" t="str">
        <f t="shared" si="55"/>
        <v>CO</v>
      </c>
      <c r="I1167" s="1">
        <f t="shared" si="56"/>
        <v>0</v>
      </c>
    </row>
    <row r="1168" spans="1:9" x14ac:dyDescent="0.2">
      <c r="A1168" s="1" t="s">
        <v>1233</v>
      </c>
      <c r="B1168" s="1">
        <v>115793.15</v>
      </c>
      <c r="C1168" s="1" t="s">
        <v>58</v>
      </c>
      <c r="D1168" s="1">
        <f t="shared" si="54"/>
        <v>60276.750735897454</v>
      </c>
      <c r="E1168" s="1">
        <v>39.614219579999997</v>
      </c>
      <c r="F1168" s="1">
        <v>-104.75900009999999</v>
      </c>
      <c r="G1168" s="1" t="s">
        <v>60</v>
      </c>
      <c r="H1168" s="1" t="str">
        <f t="shared" si="55"/>
        <v>CO</v>
      </c>
      <c r="I1168" s="1">
        <f t="shared" si="56"/>
        <v>1</v>
      </c>
    </row>
    <row r="1169" spans="1:9" x14ac:dyDescent="0.2">
      <c r="A1169" s="1" t="s">
        <v>1234</v>
      </c>
      <c r="B1169" s="1">
        <v>43024.106099999997</v>
      </c>
      <c r="C1169" s="1" t="s">
        <v>58</v>
      </c>
      <c r="D1169" s="1">
        <f t="shared" si="54"/>
        <v>60276.750735897454</v>
      </c>
      <c r="E1169" s="1">
        <v>39.594965160000001</v>
      </c>
      <c r="F1169" s="1">
        <v>-104.9291836</v>
      </c>
      <c r="G1169" s="1" t="s">
        <v>60</v>
      </c>
      <c r="H1169" s="1" t="str">
        <f t="shared" si="55"/>
        <v>CO</v>
      </c>
      <c r="I1169" s="1">
        <f t="shared" si="56"/>
        <v>0</v>
      </c>
    </row>
    <row r="1170" spans="1:9" x14ac:dyDescent="0.2">
      <c r="A1170" s="1" t="s">
        <v>1235</v>
      </c>
      <c r="B1170" s="1">
        <v>88923.1</v>
      </c>
      <c r="C1170" s="1" t="s">
        <v>58</v>
      </c>
      <c r="D1170" s="1">
        <f t="shared" si="54"/>
        <v>60276.750735897454</v>
      </c>
      <c r="E1170" s="1">
        <v>39.57908647</v>
      </c>
      <c r="F1170" s="1">
        <v>-104.96063789999999</v>
      </c>
      <c r="G1170" s="1" t="s">
        <v>60</v>
      </c>
      <c r="H1170" s="1" t="str">
        <f t="shared" si="55"/>
        <v>CO</v>
      </c>
      <c r="I1170" s="1">
        <f t="shared" si="56"/>
        <v>1</v>
      </c>
    </row>
    <row r="1171" spans="1:9" x14ac:dyDescent="0.2">
      <c r="A1171" s="1" t="s">
        <v>1236</v>
      </c>
      <c r="B1171" s="1">
        <v>60348.86</v>
      </c>
      <c r="C1171" s="1" t="s">
        <v>58</v>
      </c>
      <c r="D1171" s="1">
        <f t="shared" si="54"/>
        <v>60276.750735897454</v>
      </c>
      <c r="E1171" s="1">
        <v>39.56776</v>
      </c>
      <c r="F1171" s="1">
        <v>-104.9228521</v>
      </c>
      <c r="G1171" s="1" t="s">
        <v>60</v>
      </c>
      <c r="H1171" s="1" t="str">
        <f t="shared" si="55"/>
        <v>CO</v>
      </c>
      <c r="I1171" s="1">
        <f t="shared" si="56"/>
        <v>1</v>
      </c>
    </row>
    <row r="1172" spans="1:9" x14ac:dyDescent="0.2">
      <c r="A1172" s="1" t="s">
        <v>1237</v>
      </c>
      <c r="B1172" s="1">
        <v>33401.519999999997</v>
      </c>
      <c r="C1172" s="1" t="s">
        <v>58</v>
      </c>
      <c r="D1172" s="1">
        <f t="shared" si="54"/>
        <v>60276.750735897454</v>
      </c>
      <c r="E1172" s="1">
        <v>39.593018559999997</v>
      </c>
      <c r="F1172" s="1">
        <v>-104.85898640000001</v>
      </c>
      <c r="G1172" s="1" t="s">
        <v>60</v>
      </c>
      <c r="H1172" s="1" t="str">
        <f t="shared" si="55"/>
        <v>CO</v>
      </c>
      <c r="I1172" s="1">
        <f t="shared" si="56"/>
        <v>0</v>
      </c>
    </row>
    <row r="1173" spans="1:9" x14ac:dyDescent="0.2">
      <c r="A1173" s="1" t="s">
        <v>1238</v>
      </c>
      <c r="B1173" s="1">
        <v>52416.58</v>
      </c>
      <c r="C1173" s="1" t="s">
        <v>58</v>
      </c>
      <c r="D1173" s="1">
        <f t="shared" si="54"/>
        <v>60276.750735897454</v>
      </c>
      <c r="E1173" s="1">
        <v>39.595247129999997</v>
      </c>
      <c r="F1173" s="1">
        <v>-104.90312950000001</v>
      </c>
      <c r="G1173" s="1" t="s">
        <v>60</v>
      </c>
      <c r="H1173" s="1" t="str">
        <f t="shared" si="55"/>
        <v>CO</v>
      </c>
      <c r="I1173" s="1">
        <f t="shared" si="56"/>
        <v>0</v>
      </c>
    </row>
    <row r="1174" spans="1:9" x14ac:dyDescent="0.2">
      <c r="A1174" s="1" t="s">
        <v>1239</v>
      </c>
      <c r="B1174" s="1">
        <v>10148.75</v>
      </c>
      <c r="C1174" s="1" t="s">
        <v>58</v>
      </c>
      <c r="D1174" s="1">
        <f t="shared" si="54"/>
        <v>60276.750735897454</v>
      </c>
      <c r="E1174" s="1">
        <v>39.595317129999998</v>
      </c>
      <c r="F1174" s="1">
        <v>-104.9617303</v>
      </c>
      <c r="G1174" s="1" t="s">
        <v>60</v>
      </c>
      <c r="H1174" s="1" t="str">
        <f t="shared" si="55"/>
        <v>CO</v>
      </c>
      <c r="I1174" s="1">
        <f t="shared" si="56"/>
        <v>0</v>
      </c>
    </row>
    <row r="1175" spans="1:9" x14ac:dyDescent="0.2">
      <c r="A1175" s="1" t="s">
        <v>1240</v>
      </c>
      <c r="B1175" s="1">
        <v>16969.64</v>
      </c>
      <c r="C1175" s="1" t="s">
        <v>58</v>
      </c>
      <c r="D1175" s="1">
        <f t="shared" si="54"/>
        <v>60276.750735897454</v>
      </c>
      <c r="E1175" s="1">
        <v>39.580747129999999</v>
      </c>
      <c r="F1175" s="1">
        <v>-104.88481</v>
      </c>
      <c r="G1175" s="1" t="s">
        <v>60</v>
      </c>
      <c r="H1175" s="1" t="str">
        <f t="shared" si="55"/>
        <v>CO</v>
      </c>
      <c r="I1175" s="1">
        <f t="shared" si="56"/>
        <v>0</v>
      </c>
    </row>
    <row r="1176" spans="1:9" x14ac:dyDescent="0.2">
      <c r="A1176" s="1" t="s">
        <v>1241</v>
      </c>
      <c r="B1176" s="1">
        <v>8807.9599999999991</v>
      </c>
      <c r="C1176" s="1" t="s">
        <v>58</v>
      </c>
      <c r="D1176" s="1">
        <f t="shared" si="54"/>
        <v>60276.750735897454</v>
      </c>
      <c r="E1176" s="1">
        <v>39.625489819999999</v>
      </c>
      <c r="F1176" s="1">
        <v>-104.79052900000001</v>
      </c>
      <c r="G1176" s="1" t="s">
        <v>60</v>
      </c>
      <c r="H1176" s="1" t="str">
        <f t="shared" si="55"/>
        <v>CO</v>
      </c>
      <c r="I1176" s="1">
        <f t="shared" si="56"/>
        <v>0</v>
      </c>
    </row>
    <row r="1177" spans="1:9" x14ac:dyDescent="0.2">
      <c r="A1177" s="1" t="s">
        <v>1242</v>
      </c>
      <c r="B1177" s="1">
        <v>59847.9</v>
      </c>
      <c r="C1177" s="1" t="s">
        <v>58</v>
      </c>
      <c r="D1177" s="1">
        <f t="shared" si="54"/>
        <v>60276.750735897454</v>
      </c>
      <c r="E1177" s="1">
        <v>39.65326271</v>
      </c>
      <c r="F1177" s="1">
        <v>-104.97263700000001</v>
      </c>
      <c r="G1177" s="1" t="s">
        <v>61</v>
      </c>
      <c r="H1177" s="1" t="str">
        <f t="shared" si="55"/>
        <v>CO</v>
      </c>
      <c r="I1177" s="1">
        <f t="shared" si="56"/>
        <v>0</v>
      </c>
    </row>
    <row r="1178" spans="1:9" x14ac:dyDescent="0.2">
      <c r="A1178" s="1" t="s">
        <v>1243</v>
      </c>
      <c r="B1178" s="1">
        <v>62174.59</v>
      </c>
      <c r="C1178" s="1" t="s">
        <v>58</v>
      </c>
      <c r="D1178" s="1">
        <f t="shared" si="54"/>
        <v>60276.750735897454</v>
      </c>
      <c r="E1178" s="1">
        <v>39.645820000000001</v>
      </c>
      <c r="F1178" s="1">
        <v>-104.9874619</v>
      </c>
      <c r="G1178" s="1" t="s">
        <v>61</v>
      </c>
      <c r="H1178" s="1" t="str">
        <f t="shared" si="55"/>
        <v>CO</v>
      </c>
      <c r="I1178" s="1">
        <f t="shared" si="56"/>
        <v>1</v>
      </c>
    </row>
    <row r="1179" spans="1:9" x14ac:dyDescent="0.2">
      <c r="A1179" s="1" t="s">
        <v>1244</v>
      </c>
      <c r="B1179" s="1">
        <v>51952.39</v>
      </c>
      <c r="C1179" s="1" t="s">
        <v>58</v>
      </c>
      <c r="D1179" s="1">
        <f t="shared" si="54"/>
        <v>60276.750735897454</v>
      </c>
      <c r="E1179" s="1">
        <v>39.633121109999998</v>
      </c>
      <c r="F1179" s="1">
        <v>-104.98811809999999</v>
      </c>
      <c r="G1179" s="1" t="s">
        <v>61</v>
      </c>
      <c r="H1179" s="1" t="str">
        <f t="shared" si="55"/>
        <v>CO</v>
      </c>
      <c r="I1179" s="1">
        <f t="shared" si="56"/>
        <v>0</v>
      </c>
    </row>
    <row r="1180" spans="1:9" x14ac:dyDescent="0.2">
      <c r="A1180" s="1" t="s">
        <v>1245</v>
      </c>
      <c r="B1180" s="1">
        <v>88024.39</v>
      </c>
      <c r="C1180" s="1" t="s">
        <v>58</v>
      </c>
      <c r="D1180" s="1">
        <f t="shared" si="54"/>
        <v>60276.750735897454</v>
      </c>
      <c r="E1180" s="1">
        <v>39.659897100000002</v>
      </c>
      <c r="F1180" s="1">
        <v>-104.9878533</v>
      </c>
      <c r="G1180" s="1" t="s">
        <v>61</v>
      </c>
      <c r="H1180" s="1" t="str">
        <f t="shared" si="55"/>
        <v>CO</v>
      </c>
      <c r="I1180" s="1">
        <f t="shared" si="56"/>
        <v>1</v>
      </c>
    </row>
    <row r="1181" spans="1:9" x14ac:dyDescent="0.2">
      <c r="A1181" s="1" t="s">
        <v>1246</v>
      </c>
      <c r="B1181" s="1">
        <v>89686.11</v>
      </c>
      <c r="C1181" s="1" t="s">
        <v>58</v>
      </c>
      <c r="D1181" s="1">
        <f t="shared" si="54"/>
        <v>60276.750735897454</v>
      </c>
      <c r="E1181" s="1">
        <v>39.537777390000002</v>
      </c>
      <c r="F1181" s="1">
        <v>-104.8522383</v>
      </c>
      <c r="G1181" s="1" t="s">
        <v>61</v>
      </c>
      <c r="H1181" s="1" t="str">
        <f t="shared" si="55"/>
        <v>CO</v>
      </c>
      <c r="I1181" s="1">
        <f t="shared" si="56"/>
        <v>1</v>
      </c>
    </row>
    <row r="1182" spans="1:9" x14ac:dyDescent="0.2">
      <c r="A1182" s="1" t="s">
        <v>1247</v>
      </c>
      <c r="B1182" s="1">
        <v>82790.67</v>
      </c>
      <c r="C1182" s="1" t="s">
        <v>58</v>
      </c>
      <c r="D1182" s="1">
        <f t="shared" si="54"/>
        <v>60276.750735897454</v>
      </c>
      <c r="E1182" s="1">
        <v>39.653459239999997</v>
      </c>
      <c r="F1182" s="1">
        <v>-105.0320701</v>
      </c>
      <c r="G1182" s="1" t="s">
        <v>61</v>
      </c>
      <c r="H1182" s="1" t="str">
        <f t="shared" si="55"/>
        <v>CO</v>
      </c>
      <c r="I1182" s="1">
        <f t="shared" si="56"/>
        <v>1</v>
      </c>
    </row>
    <row r="1183" spans="1:9" x14ac:dyDescent="0.2">
      <c r="A1183" s="1" t="s">
        <v>1248</v>
      </c>
      <c r="B1183" s="1">
        <v>78954.289999999994</v>
      </c>
      <c r="C1183" s="1" t="s">
        <v>58</v>
      </c>
      <c r="D1183" s="1">
        <f t="shared" si="54"/>
        <v>60276.750735897454</v>
      </c>
      <c r="E1183" s="1">
        <v>39.632325020000003</v>
      </c>
      <c r="F1183" s="1">
        <v>-105.0088622</v>
      </c>
      <c r="G1183" s="1" t="s">
        <v>61</v>
      </c>
      <c r="H1183" s="1" t="str">
        <f t="shared" si="55"/>
        <v>CO</v>
      </c>
      <c r="I1183" s="1">
        <f t="shared" si="56"/>
        <v>1</v>
      </c>
    </row>
    <row r="1184" spans="1:9" x14ac:dyDescent="0.2">
      <c r="A1184" s="1" t="s">
        <v>1249</v>
      </c>
      <c r="B1184" s="1">
        <v>78312.399999999994</v>
      </c>
      <c r="C1184" s="1" t="s">
        <v>58</v>
      </c>
      <c r="D1184" s="1">
        <f t="shared" si="54"/>
        <v>60276.750735897454</v>
      </c>
      <c r="E1184" s="1">
        <v>39.575475879999999</v>
      </c>
      <c r="F1184" s="1">
        <v>-104.80889999999999</v>
      </c>
      <c r="G1184" s="1" t="s">
        <v>61</v>
      </c>
      <c r="H1184" s="1" t="str">
        <f t="shared" si="55"/>
        <v>CO</v>
      </c>
      <c r="I1184" s="1">
        <f t="shared" si="56"/>
        <v>1</v>
      </c>
    </row>
    <row r="1185" spans="1:9" x14ac:dyDescent="0.2">
      <c r="A1185" s="1" t="s">
        <v>1250</v>
      </c>
      <c r="B1185" s="1">
        <v>26597.19</v>
      </c>
      <c r="C1185" s="1" t="s">
        <v>58</v>
      </c>
      <c r="D1185" s="1">
        <f t="shared" si="54"/>
        <v>60276.750735897454</v>
      </c>
      <c r="E1185" s="1">
        <v>39.624534189999999</v>
      </c>
      <c r="F1185" s="1">
        <v>-105.02559050000001</v>
      </c>
      <c r="G1185" s="1" t="s">
        <v>61</v>
      </c>
      <c r="H1185" s="1" t="str">
        <f t="shared" si="55"/>
        <v>CO</v>
      </c>
      <c r="I1185" s="1">
        <f t="shared" si="56"/>
        <v>0</v>
      </c>
    </row>
    <row r="1186" spans="1:9" x14ac:dyDescent="0.2">
      <c r="A1186" s="1" t="s">
        <v>1251</v>
      </c>
      <c r="B1186" s="1">
        <v>30360.06</v>
      </c>
      <c r="C1186" s="1" t="s">
        <v>58</v>
      </c>
      <c r="D1186" s="1">
        <f t="shared" si="54"/>
        <v>60276.750735897454</v>
      </c>
      <c r="E1186" s="1">
        <v>39.678532869999998</v>
      </c>
      <c r="F1186" s="1">
        <v>-105.0133616</v>
      </c>
      <c r="G1186" s="1" t="s">
        <v>61</v>
      </c>
      <c r="H1186" s="1" t="str">
        <f t="shared" si="55"/>
        <v>CO</v>
      </c>
      <c r="I1186" s="1">
        <f t="shared" si="56"/>
        <v>0</v>
      </c>
    </row>
    <row r="1187" spans="1:9" x14ac:dyDescent="0.2">
      <c r="A1187" s="1" t="s">
        <v>1252</v>
      </c>
      <c r="B1187" s="1">
        <v>48708.91</v>
      </c>
      <c r="C1187" s="1" t="s">
        <v>58</v>
      </c>
      <c r="D1187" s="1">
        <f t="shared" si="54"/>
        <v>60276.750735897454</v>
      </c>
      <c r="E1187" s="1">
        <v>39.678512900000001</v>
      </c>
      <c r="F1187" s="1">
        <v>-105.0115237</v>
      </c>
      <c r="G1187" s="1" t="s">
        <v>61</v>
      </c>
      <c r="H1187" s="1" t="str">
        <f t="shared" si="55"/>
        <v>CO</v>
      </c>
      <c r="I1187" s="1">
        <f t="shared" si="56"/>
        <v>0</v>
      </c>
    </row>
    <row r="1188" spans="1:9" x14ac:dyDescent="0.2">
      <c r="A1188" s="1" t="s">
        <v>1253</v>
      </c>
      <c r="B1188" s="1">
        <v>39018.910000000003</v>
      </c>
      <c r="C1188" s="1" t="s">
        <v>58</v>
      </c>
      <c r="D1188" s="1">
        <f t="shared" si="54"/>
        <v>60276.750735897454</v>
      </c>
      <c r="E1188" s="1">
        <v>39.63315016</v>
      </c>
      <c r="F1188" s="1">
        <v>-104.98762139999999</v>
      </c>
      <c r="G1188" s="1" t="s">
        <v>61</v>
      </c>
      <c r="H1188" s="1" t="str">
        <f t="shared" si="55"/>
        <v>CO</v>
      </c>
      <c r="I1188" s="1">
        <f t="shared" si="56"/>
        <v>0</v>
      </c>
    </row>
    <row r="1189" spans="1:9" x14ac:dyDescent="0.2">
      <c r="A1189" s="1" t="s">
        <v>1254</v>
      </c>
      <c r="B1189" s="1">
        <v>34765.760000000002</v>
      </c>
      <c r="C1189" s="1" t="s">
        <v>58</v>
      </c>
      <c r="D1189" s="1">
        <f t="shared" si="54"/>
        <v>60276.750735897454</v>
      </c>
      <c r="E1189" s="1">
        <v>39.566554770000003</v>
      </c>
      <c r="F1189" s="1">
        <v>-104.9046249</v>
      </c>
      <c r="G1189" s="1" t="s">
        <v>61</v>
      </c>
      <c r="H1189" s="1" t="str">
        <f t="shared" si="55"/>
        <v>CO</v>
      </c>
      <c r="I1189" s="1">
        <f t="shared" si="56"/>
        <v>0</v>
      </c>
    </row>
    <row r="1190" spans="1:9" x14ac:dyDescent="0.2">
      <c r="A1190" s="1" t="s">
        <v>1255</v>
      </c>
      <c r="B1190" s="1">
        <v>46544.82</v>
      </c>
      <c r="C1190" s="1" t="s">
        <v>58</v>
      </c>
      <c r="D1190" s="1">
        <f t="shared" si="54"/>
        <v>60276.750735897454</v>
      </c>
      <c r="E1190" s="1">
        <v>39.653032869999997</v>
      </c>
      <c r="F1190" s="1">
        <v>-104.99348259999999</v>
      </c>
      <c r="G1190" s="1" t="s">
        <v>61</v>
      </c>
      <c r="H1190" s="1" t="str">
        <f t="shared" si="55"/>
        <v>CO</v>
      </c>
      <c r="I1190" s="1">
        <f t="shared" si="56"/>
        <v>0</v>
      </c>
    </row>
    <row r="1191" spans="1:9" x14ac:dyDescent="0.2">
      <c r="A1191" s="1" t="s">
        <v>1256</v>
      </c>
      <c r="B1191" s="1">
        <v>123614.58</v>
      </c>
      <c r="C1191" s="1" t="s">
        <v>58</v>
      </c>
      <c r="D1191" s="1">
        <f t="shared" si="54"/>
        <v>60276.750735897454</v>
      </c>
      <c r="E1191" s="1">
        <v>39.62639085</v>
      </c>
      <c r="F1191" s="1">
        <v>-105.025257</v>
      </c>
      <c r="G1191" s="1" t="s">
        <v>61</v>
      </c>
      <c r="H1191" s="1" t="str">
        <f t="shared" si="55"/>
        <v>CO</v>
      </c>
      <c r="I1191" s="1">
        <f t="shared" si="56"/>
        <v>1</v>
      </c>
    </row>
    <row r="1192" spans="1:9" x14ac:dyDescent="0.2">
      <c r="A1192" s="1" t="s">
        <v>1257</v>
      </c>
      <c r="B1192" s="1">
        <v>57021.21</v>
      </c>
      <c r="C1192" s="1" t="s">
        <v>58</v>
      </c>
      <c r="D1192" s="1">
        <f t="shared" si="54"/>
        <v>60276.750735897454</v>
      </c>
      <c r="E1192" s="1">
        <v>39.653571139999997</v>
      </c>
      <c r="F1192" s="1">
        <v>-104.9596774</v>
      </c>
      <c r="G1192" s="1" t="s">
        <v>61</v>
      </c>
      <c r="H1192" s="1" t="str">
        <f t="shared" si="55"/>
        <v>CO</v>
      </c>
      <c r="I1192" s="1">
        <f t="shared" si="56"/>
        <v>0</v>
      </c>
    </row>
    <row r="1193" spans="1:9" x14ac:dyDescent="0.2">
      <c r="A1193" s="1" t="s">
        <v>1258</v>
      </c>
      <c r="B1193" s="1">
        <v>76025.83</v>
      </c>
      <c r="C1193" s="1" t="s">
        <v>58</v>
      </c>
      <c r="D1193" s="1">
        <f t="shared" si="54"/>
        <v>60276.750735897454</v>
      </c>
      <c r="E1193" s="1">
        <v>39.655127059999998</v>
      </c>
      <c r="F1193" s="1">
        <v>-104.9888559</v>
      </c>
      <c r="G1193" s="1" t="s">
        <v>61</v>
      </c>
      <c r="H1193" s="1" t="str">
        <f t="shared" si="55"/>
        <v>CO</v>
      </c>
      <c r="I1193" s="1">
        <f t="shared" si="56"/>
        <v>1</v>
      </c>
    </row>
    <row r="1194" spans="1:9" x14ac:dyDescent="0.2">
      <c r="A1194" s="1" t="s">
        <v>1259</v>
      </c>
      <c r="B1194" s="1">
        <v>43438.44</v>
      </c>
      <c r="C1194" s="1" t="s">
        <v>58</v>
      </c>
      <c r="D1194" s="1">
        <f t="shared" si="54"/>
        <v>60276.750735897454</v>
      </c>
      <c r="E1194" s="1">
        <v>39.65137713</v>
      </c>
      <c r="F1194" s="1">
        <v>-104.98478</v>
      </c>
      <c r="G1194" s="1" t="s">
        <v>61</v>
      </c>
      <c r="H1194" s="1" t="str">
        <f t="shared" si="55"/>
        <v>CO</v>
      </c>
      <c r="I1194" s="1">
        <f t="shared" si="56"/>
        <v>0</v>
      </c>
    </row>
    <row r="1195" spans="1:9" x14ac:dyDescent="0.2">
      <c r="A1195" s="1" t="s">
        <v>1260</v>
      </c>
      <c r="B1195" s="1">
        <v>10747.21</v>
      </c>
      <c r="C1195" s="1" t="s">
        <v>58</v>
      </c>
      <c r="D1195" s="1">
        <f t="shared" si="54"/>
        <v>60276.750735897454</v>
      </c>
      <c r="E1195" s="1">
        <v>39.62426713</v>
      </c>
      <c r="F1195" s="1">
        <v>-104.98646669999999</v>
      </c>
      <c r="G1195" s="1" t="s">
        <v>61</v>
      </c>
      <c r="H1195" s="1" t="str">
        <f t="shared" si="55"/>
        <v>CO</v>
      </c>
      <c r="I1195" s="1">
        <f t="shared" si="56"/>
        <v>0</v>
      </c>
    </row>
    <row r="1196" spans="1:9" x14ac:dyDescent="0.2">
      <c r="A1196" s="1" t="s">
        <v>1261</v>
      </c>
      <c r="B1196" s="1">
        <v>16599.79</v>
      </c>
      <c r="C1196" s="1" t="s">
        <v>58</v>
      </c>
      <c r="D1196" s="1">
        <f t="shared" si="54"/>
        <v>60276.750735897454</v>
      </c>
      <c r="E1196" s="1">
        <v>39.568416360000001</v>
      </c>
      <c r="F1196" s="1">
        <v>-104.90457790000001</v>
      </c>
      <c r="G1196" s="1" t="s">
        <v>61</v>
      </c>
      <c r="H1196" s="1" t="str">
        <f t="shared" si="55"/>
        <v>CO</v>
      </c>
      <c r="I1196" s="1">
        <f t="shared" si="56"/>
        <v>0</v>
      </c>
    </row>
    <row r="1197" spans="1:9" x14ac:dyDescent="0.2">
      <c r="A1197" s="1" t="s">
        <v>1262</v>
      </c>
      <c r="C1197" s="1" t="s">
        <v>58</v>
      </c>
      <c r="D1197" s="1">
        <f t="shared" si="54"/>
        <v>60276.750735897454</v>
      </c>
      <c r="E1197" s="1">
        <v>39.661096059999998</v>
      </c>
      <c r="F1197" s="1">
        <v>-104.98735189999999</v>
      </c>
      <c r="G1197" s="1" t="s">
        <v>61</v>
      </c>
      <c r="H1197" s="1" t="str">
        <f t="shared" si="55"/>
        <v>CO</v>
      </c>
      <c r="I1197" s="1">
        <f t="shared" si="56"/>
        <v>0</v>
      </c>
    </row>
    <row r="1198" spans="1:9" x14ac:dyDescent="0.2">
      <c r="A1198" s="1" t="s">
        <v>1263</v>
      </c>
      <c r="B1198" s="1">
        <v>57481</v>
      </c>
      <c r="C1198" s="1" t="s">
        <v>58</v>
      </c>
      <c r="D1198" s="1">
        <f t="shared" si="54"/>
        <v>60276.750735897454</v>
      </c>
      <c r="E1198" s="1">
        <v>39.59843326</v>
      </c>
      <c r="F1198" s="1">
        <v>-104.8763129</v>
      </c>
      <c r="G1198" s="1" t="s">
        <v>62</v>
      </c>
      <c r="H1198" s="1" t="str">
        <f t="shared" si="55"/>
        <v>CO</v>
      </c>
      <c r="I1198" s="1">
        <f t="shared" si="56"/>
        <v>0</v>
      </c>
    </row>
    <row r="1199" spans="1:9" x14ac:dyDescent="0.2">
      <c r="A1199" s="1" t="s">
        <v>1264</v>
      </c>
      <c r="B1199" s="1">
        <v>47905.8</v>
      </c>
      <c r="C1199" s="1" t="s">
        <v>58</v>
      </c>
      <c r="D1199" s="1">
        <f t="shared" si="54"/>
        <v>60276.750735897454</v>
      </c>
      <c r="E1199" s="1">
        <v>39.596130000000002</v>
      </c>
      <c r="F1199" s="1">
        <v>-104.88865199999999</v>
      </c>
      <c r="G1199" s="1" t="s">
        <v>62</v>
      </c>
      <c r="H1199" s="1" t="str">
        <f t="shared" si="55"/>
        <v>CO</v>
      </c>
      <c r="I1199" s="1">
        <f t="shared" si="56"/>
        <v>0</v>
      </c>
    </row>
    <row r="1200" spans="1:9" x14ac:dyDescent="0.2">
      <c r="A1200" s="1" t="s">
        <v>1265</v>
      </c>
      <c r="B1200" s="1">
        <v>40609.94</v>
      </c>
      <c r="C1200" s="1" t="s">
        <v>58</v>
      </c>
      <c r="D1200" s="1">
        <f t="shared" si="54"/>
        <v>60276.750735897454</v>
      </c>
      <c r="E1200" s="1">
        <v>39.595287130000003</v>
      </c>
      <c r="F1200" s="1">
        <v>-104.8811274</v>
      </c>
      <c r="G1200" s="1" t="s">
        <v>62</v>
      </c>
      <c r="H1200" s="1" t="str">
        <f t="shared" si="55"/>
        <v>CO</v>
      </c>
      <c r="I1200" s="1">
        <f t="shared" si="56"/>
        <v>0</v>
      </c>
    </row>
    <row r="1201" spans="1:9" x14ac:dyDescent="0.2">
      <c r="A1201" s="1" t="s">
        <v>1266</v>
      </c>
      <c r="B1201" s="1">
        <v>77313.399999999994</v>
      </c>
      <c r="C1201" s="1" t="s">
        <v>58</v>
      </c>
      <c r="D1201" s="1">
        <f t="shared" si="54"/>
        <v>60276.750735897454</v>
      </c>
      <c r="E1201" s="1">
        <v>39.609787130000001</v>
      </c>
      <c r="F1201" s="1">
        <v>-104.89873</v>
      </c>
      <c r="G1201" s="1" t="s">
        <v>62</v>
      </c>
      <c r="H1201" s="1" t="str">
        <f t="shared" si="55"/>
        <v>CO</v>
      </c>
      <c r="I1201" s="1">
        <f t="shared" si="56"/>
        <v>1</v>
      </c>
    </row>
    <row r="1202" spans="1:9" x14ac:dyDescent="0.2">
      <c r="A1202" s="1" t="s">
        <v>1267</v>
      </c>
      <c r="B1202" s="1">
        <v>75627.5</v>
      </c>
      <c r="C1202" s="1" t="s">
        <v>58</v>
      </c>
      <c r="D1202" s="1">
        <f t="shared" si="54"/>
        <v>60276.750735897454</v>
      </c>
      <c r="E1202" s="1">
        <v>39.623697139999997</v>
      </c>
      <c r="F1202" s="1">
        <v>-104.9041264</v>
      </c>
      <c r="G1202" s="1" t="s">
        <v>62</v>
      </c>
      <c r="H1202" s="1" t="str">
        <f t="shared" si="55"/>
        <v>CO</v>
      </c>
      <c r="I1202" s="1">
        <f t="shared" si="56"/>
        <v>1</v>
      </c>
    </row>
    <row r="1203" spans="1:9" x14ac:dyDescent="0.2">
      <c r="A1203" s="1" t="s">
        <v>1268</v>
      </c>
      <c r="B1203" s="1">
        <v>118251.72</v>
      </c>
      <c r="C1203" s="1" t="s">
        <v>58</v>
      </c>
      <c r="D1203" s="1">
        <f t="shared" si="54"/>
        <v>60276.750735897454</v>
      </c>
      <c r="E1203" s="1">
        <v>39.626109999999997</v>
      </c>
      <c r="F1203" s="1">
        <v>-104.885012</v>
      </c>
      <c r="G1203" s="1" t="s">
        <v>62</v>
      </c>
      <c r="H1203" s="1" t="str">
        <f t="shared" si="55"/>
        <v>CO</v>
      </c>
      <c r="I1203" s="1">
        <f t="shared" si="56"/>
        <v>1</v>
      </c>
    </row>
    <row r="1204" spans="1:9" x14ac:dyDescent="0.2">
      <c r="A1204" s="1" t="s">
        <v>1269</v>
      </c>
      <c r="B1204" s="1">
        <v>75264.02</v>
      </c>
      <c r="C1204" s="1" t="s">
        <v>58</v>
      </c>
      <c r="D1204" s="1">
        <f t="shared" si="54"/>
        <v>60276.750735897454</v>
      </c>
      <c r="E1204" s="1">
        <v>39.607936670000001</v>
      </c>
      <c r="F1204" s="1">
        <v>-104.92258200000001</v>
      </c>
      <c r="G1204" s="1" t="s">
        <v>62</v>
      </c>
      <c r="H1204" s="1" t="str">
        <f t="shared" si="55"/>
        <v>CO</v>
      </c>
      <c r="I1204" s="1">
        <f t="shared" si="56"/>
        <v>1</v>
      </c>
    </row>
    <row r="1205" spans="1:9" x14ac:dyDescent="0.2">
      <c r="A1205" s="1" t="s">
        <v>1270</v>
      </c>
      <c r="B1205" s="1">
        <v>58077.83</v>
      </c>
      <c r="C1205" s="1" t="s">
        <v>58</v>
      </c>
      <c r="D1205" s="1">
        <f t="shared" si="54"/>
        <v>60276.750735897454</v>
      </c>
      <c r="E1205" s="1">
        <v>39.593575829999999</v>
      </c>
      <c r="F1205" s="1">
        <v>-104.88093600000001</v>
      </c>
      <c r="G1205" s="1" t="s">
        <v>62</v>
      </c>
      <c r="H1205" s="1" t="str">
        <f t="shared" si="55"/>
        <v>CO</v>
      </c>
      <c r="I1205" s="1">
        <f t="shared" si="56"/>
        <v>0</v>
      </c>
    </row>
    <row r="1206" spans="1:9" x14ac:dyDescent="0.2">
      <c r="A1206" s="1" t="s">
        <v>1271</v>
      </c>
      <c r="B1206" s="1">
        <v>105160.89</v>
      </c>
      <c r="C1206" s="1" t="s">
        <v>58</v>
      </c>
      <c r="D1206" s="1">
        <f t="shared" si="54"/>
        <v>60276.750735897454</v>
      </c>
      <c r="E1206" s="1">
        <v>39.547552969999998</v>
      </c>
      <c r="F1206" s="1">
        <v>-105.0360567</v>
      </c>
      <c r="G1206" s="1" t="s">
        <v>63</v>
      </c>
      <c r="H1206" s="1" t="str">
        <f t="shared" si="55"/>
        <v>CO</v>
      </c>
      <c r="I1206" s="1">
        <f t="shared" si="56"/>
        <v>1</v>
      </c>
    </row>
    <row r="1207" spans="1:9" x14ac:dyDescent="0.2">
      <c r="A1207" s="1" t="s">
        <v>1272</v>
      </c>
      <c r="B1207" s="1">
        <v>81965.820000000007</v>
      </c>
      <c r="C1207" s="1" t="s">
        <v>58</v>
      </c>
      <c r="D1207" s="1">
        <f t="shared" si="54"/>
        <v>60276.750735897454</v>
      </c>
      <c r="E1207" s="1">
        <v>39.546909640000003</v>
      </c>
      <c r="F1207" s="1">
        <v>-104.99234389999999</v>
      </c>
      <c r="G1207" s="1" t="s">
        <v>63</v>
      </c>
      <c r="H1207" s="1" t="str">
        <f t="shared" si="55"/>
        <v>CO</v>
      </c>
      <c r="I1207" s="1">
        <f t="shared" si="56"/>
        <v>1</v>
      </c>
    </row>
    <row r="1208" spans="1:9" x14ac:dyDescent="0.2">
      <c r="A1208" s="1" t="s">
        <v>1273</v>
      </c>
      <c r="B1208" s="1">
        <v>73572.45</v>
      </c>
      <c r="C1208" s="1" t="s">
        <v>58</v>
      </c>
      <c r="D1208" s="1">
        <f t="shared" si="54"/>
        <v>60276.750735897454</v>
      </c>
      <c r="E1208" s="1">
        <v>39.56210239</v>
      </c>
      <c r="F1208" s="1">
        <v>-104.9877063</v>
      </c>
      <c r="G1208" s="1" t="s">
        <v>63</v>
      </c>
      <c r="H1208" s="1" t="str">
        <f t="shared" si="55"/>
        <v>CO</v>
      </c>
      <c r="I1208" s="1">
        <f t="shared" si="56"/>
        <v>1</v>
      </c>
    </row>
    <row r="1209" spans="1:9" x14ac:dyDescent="0.2">
      <c r="A1209" s="1" t="s">
        <v>1274</v>
      </c>
      <c r="B1209" s="1">
        <v>123004.49</v>
      </c>
      <c r="C1209" s="1" t="s">
        <v>58</v>
      </c>
      <c r="D1209" s="1">
        <f t="shared" si="54"/>
        <v>60276.750735897454</v>
      </c>
      <c r="E1209" s="1">
        <v>39.534996640000003</v>
      </c>
      <c r="F1209" s="1">
        <v>-105.0143765</v>
      </c>
      <c r="G1209" s="1" t="s">
        <v>63</v>
      </c>
      <c r="H1209" s="1" t="str">
        <f t="shared" si="55"/>
        <v>CO</v>
      </c>
      <c r="I1209" s="1">
        <f t="shared" si="56"/>
        <v>1</v>
      </c>
    </row>
    <row r="1210" spans="1:9" x14ac:dyDescent="0.2">
      <c r="A1210" s="1" t="s">
        <v>1275</v>
      </c>
      <c r="B1210" s="1">
        <v>61066.57</v>
      </c>
      <c r="C1210" s="1" t="s">
        <v>58</v>
      </c>
      <c r="D1210" s="1">
        <f t="shared" si="54"/>
        <v>60276.750735897454</v>
      </c>
      <c r="E1210" s="1">
        <v>39.547558510000002</v>
      </c>
      <c r="F1210" s="1">
        <v>-104.9923029</v>
      </c>
      <c r="G1210" s="1" t="s">
        <v>63</v>
      </c>
      <c r="H1210" s="1" t="str">
        <f t="shared" si="55"/>
        <v>CO</v>
      </c>
      <c r="I1210" s="1">
        <f t="shared" si="56"/>
        <v>1</v>
      </c>
    </row>
    <row r="1211" spans="1:9" x14ac:dyDescent="0.2">
      <c r="A1211" s="1" t="s">
        <v>1276</v>
      </c>
      <c r="B1211" s="1">
        <v>111872.87</v>
      </c>
      <c r="C1211" s="1" t="s">
        <v>58</v>
      </c>
      <c r="D1211" s="1">
        <f t="shared" si="54"/>
        <v>60276.750735897454</v>
      </c>
      <c r="E1211" s="1">
        <v>39.54837697</v>
      </c>
      <c r="F1211" s="1">
        <v>-105.0057442</v>
      </c>
      <c r="G1211" s="1" t="s">
        <v>63</v>
      </c>
      <c r="H1211" s="1" t="str">
        <f t="shared" si="55"/>
        <v>CO</v>
      </c>
      <c r="I1211" s="1">
        <f t="shared" si="56"/>
        <v>1</v>
      </c>
    </row>
    <row r="1212" spans="1:9" x14ac:dyDescent="0.2">
      <c r="A1212" s="1" t="s">
        <v>1277</v>
      </c>
      <c r="B1212" s="1">
        <v>8894.1299999999992</v>
      </c>
      <c r="C1212" s="1" t="s">
        <v>58</v>
      </c>
      <c r="D1212" s="1">
        <f t="shared" si="54"/>
        <v>60276.750735897454</v>
      </c>
      <c r="E1212" s="1">
        <v>39.550528929999999</v>
      </c>
      <c r="F1212" s="1">
        <v>-104.9918052</v>
      </c>
      <c r="G1212" s="1" t="s">
        <v>63</v>
      </c>
      <c r="H1212" s="1" t="str">
        <f t="shared" si="55"/>
        <v>CO</v>
      </c>
      <c r="I1212" s="1">
        <f t="shared" si="56"/>
        <v>0</v>
      </c>
    </row>
    <row r="1213" spans="1:9" x14ac:dyDescent="0.2">
      <c r="A1213" s="1" t="s">
        <v>1278</v>
      </c>
      <c r="B1213" s="1">
        <v>36053.82</v>
      </c>
      <c r="C1213" s="1" t="s">
        <v>58</v>
      </c>
      <c r="D1213" s="1">
        <f t="shared" si="54"/>
        <v>60276.750735897454</v>
      </c>
      <c r="E1213" s="1">
        <v>39.613427129999998</v>
      </c>
      <c r="F1213" s="1">
        <v>-105.00552999999999</v>
      </c>
      <c r="G1213" s="1" t="s">
        <v>64</v>
      </c>
      <c r="H1213" s="1" t="str">
        <f t="shared" si="55"/>
        <v>CO</v>
      </c>
      <c r="I1213" s="1">
        <f t="shared" si="56"/>
        <v>0</v>
      </c>
    </row>
    <row r="1214" spans="1:9" x14ac:dyDescent="0.2">
      <c r="A1214" s="1" t="s">
        <v>1279</v>
      </c>
      <c r="B1214" s="1">
        <v>49410.06</v>
      </c>
      <c r="C1214" s="1" t="s">
        <v>58</v>
      </c>
      <c r="D1214" s="1">
        <f t="shared" si="54"/>
        <v>60276.750735897454</v>
      </c>
      <c r="E1214" s="1">
        <v>39.615104440000003</v>
      </c>
      <c r="F1214" s="1">
        <v>-104.988308</v>
      </c>
      <c r="G1214" s="1" t="s">
        <v>64</v>
      </c>
      <c r="H1214" s="1" t="str">
        <f t="shared" si="55"/>
        <v>CO</v>
      </c>
      <c r="I1214" s="1">
        <f t="shared" si="56"/>
        <v>0</v>
      </c>
    </row>
    <row r="1215" spans="1:9" x14ac:dyDescent="0.2">
      <c r="A1215" s="1" t="s">
        <v>1280</v>
      </c>
      <c r="B1215" s="1">
        <v>68401.960000000006</v>
      </c>
      <c r="C1215" s="1" t="s">
        <v>58</v>
      </c>
      <c r="D1215" s="1">
        <f t="shared" si="54"/>
        <v>60276.750735897454</v>
      </c>
      <c r="E1215" s="1">
        <v>39.580240770000003</v>
      </c>
      <c r="F1215" s="1">
        <v>-105.0284564</v>
      </c>
      <c r="G1215" s="1" t="s">
        <v>64</v>
      </c>
      <c r="H1215" s="1" t="str">
        <f t="shared" si="55"/>
        <v>CO</v>
      </c>
      <c r="I1215" s="1">
        <f t="shared" si="56"/>
        <v>1</v>
      </c>
    </row>
    <row r="1216" spans="1:9" x14ac:dyDescent="0.2">
      <c r="A1216" s="1" t="s">
        <v>1281</v>
      </c>
      <c r="B1216" s="1">
        <v>59877.68</v>
      </c>
      <c r="C1216" s="1" t="s">
        <v>58</v>
      </c>
      <c r="D1216" s="1">
        <f t="shared" si="54"/>
        <v>60276.750735897454</v>
      </c>
      <c r="E1216" s="1">
        <v>39.609608510000001</v>
      </c>
      <c r="F1216" s="1">
        <v>-104.98781200000001</v>
      </c>
      <c r="G1216" s="1" t="s">
        <v>64</v>
      </c>
      <c r="H1216" s="1" t="str">
        <f t="shared" si="55"/>
        <v>CO</v>
      </c>
      <c r="I1216" s="1">
        <f t="shared" si="56"/>
        <v>0</v>
      </c>
    </row>
    <row r="1217" spans="1:9" x14ac:dyDescent="0.2">
      <c r="A1217" s="1" t="s">
        <v>1282</v>
      </c>
      <c r="B1217" s="1">
        <v>46466.86</v>
      </c>
      <c r="C1217" s="1" t="s">
        <v>58</v>
      </c>
      <c r="D1217" s="1">
        <f t="shared" si="54"/>
        <v>60276.750735897454</v>
      </c>
      <c r="E1217" s="1">
        <v>39.556133039999999</v>
      </c>
      <c r="F1217" s="1">
        <v>-104.8839189</v>
      </c>
      <c r="G1217" s="1" t="s">
        <v>64</v>
      </c>
      <c r="H1217" s="1" t="str">
        <f t="shared" si="55"/>
        <v>CO</v>
      </c>
      <c r="I1217" s="1">
        <f t="shared" si="56"/>
        <v>0</v>
      </c>
    </row>
    <row r="1218" spans="1:9" x14ac:dyDescent="0.2">
      <c r="A1218" s="1" t="s">
        <v>1283</v>
      </c>
      <c r="B1218" s="1">
        <v>67443.12</v>
      </c>
      <c r="C1218" s="1" t="s">
        <v>58</v>
      </c>
      <c r="D1218" s="1">
        <f t="shared" si="54"/>
        <v>60276.750735897454</v>
      </c>
      <c r="E1218" s="1">
        <v>39.565466890000003</v>
      </c>
      <c r="F1218" s="1">
        <v>-104.9019656</v>
      </c>
      <c r="G1218" s="1" t="s">
        <v>64</v>
      </c>
      <c r="H1218" s="1" t="str">
        <f t="shared" si="55"/>
        <v>CO</v>
      </c>
      <c r="I1218" s="1">
        <f t="shared" si="56"/>
        <v>1</v>
      </c>
    </row>
    <row r="1219" spans="1:9" x14ac:dyDescent="0.2">
      <c r="A1219" s="1" t="s">
        <v>1284</v>
      </c>
      <c r="B1219" s="1">
        <v>36104.36</v>
      </c>
      <c r="C1219" s="1" t="s">
        <v>58</v>
      </c>
      <c r="D1219" s="1">
        <f t="shared" ref="D1219:D1230" si="57">AVERAGEIFS($B:$B,$C:$C,$C1219)</f>
        <v>60276.750735897454</v>
      </c>
      <c r="E1219" s="1">
        <v>39.613427129999998</v>
      </c>
      <c r="F1219" s="1">
        <v>-105.00641</v>
      </c>
      <c r="G1219" s="1" t="s">
        <v>64</v>
      </c>
      <c r="H1219" s="1" t="str">
        <f t="shared" ref="H1219:H1230" si="58">TRIM(_xlfn.TEXTAFTER(A1219, ",", -1))</f>
        <v>CO</v>
      </c>
      <c r="I1219" s="1">
        <f t="shared" ref="I1219:I1230" si="59">IF(B1219&gt;D1219,1,0)</f>
        <v>0</v>
      </c>
    </row>
    <row r="1220" spans="1:9" x14ac:dyDescent="0.2">
      <c r="A1220" s="1" t="s">
        <v>1285</v>
      </c>
      <c r="B1220" s="1">
        <v>108205.84</v>
      </c>
      <c r="C1220" s="1" t="s">
        <v>58</v>
      </c>
      <c r="D1220" s="1">
        <f t="shared" si="57"/>
        <v>60276.750735897454</v>
      </c>
      <c r="E1220" s="1">
        <v>39.580590000000001</v>
      </c>
      <c r="F1220" s="1">
        <v>-104.95573</v>
      </c>
      <c r="G1220" s="1" t="s">
        <v>64</v>
      </c>
      <c r="H1220" s="1" t="str">
        <f t="shared" si="58"/>
        <v>CO</v>
      </c>
      <c r="I1220" s="1">
        <f t="shared" si="59"/>
        <v>1</v>
      </c>
    </row>
    <row r="1221" spans="1:9" x14ac:dyDescent="0.2">
      <c r="A1221" s="1" t="s">
        <v>1286</v>
      </c>
      <c r="B1221" s="1">
        <v>101927.59</v>
      </c>
      <c r="C1221" s="1" t="s">
        <v>58</v>
      </c>
      <c r="D1221" s="1">
        <f t="shared" si="57"/>
        <v>60276.750735897454</v>
      </c>
      <c r="E1221" s="1">
        <v>39.613032869999998</v>
      </c>
      <c r="F1221" s="1">
        <v>-104.98984</v>
      </c>
      <c r="G1221" s="1" t="s">
        <v>64</v>
      </c>
      <c r="H1221" s="1" t="str">
        <f t="shared" si="58"/>
        <v>CO</v>
      </c>
      <c r="I1221" s="1">
        <f t="shared" si="59"/>
        <v>1</v>
      </c>
    </row>
    <row r="1222" spans="1:9" x14ac:dyDescent="0.2">
      <c r="A1222" s="1" t="s">
        <v>1287</v>
      </c>
      <c r="B1222" s="1">
        <v>29297.16</v>
      </c>
      <c r="C1222" s="1" t="s">
        <v>58</v>
      </c>
      <c r="D1222" s="1">
        <f t="shared" si="57"/>
        <v>60276.750735897454</v>
      </c>
      <c r="E1222" s="1">
        <v>39.613407129999999</v>
      </c>
      <c r="F1222" s="1">
        <v>-104.98995619999999</v>
      </c>
      <c r="G1222" s="1" t="s">
        <v>64</v>
      </c>
      <c r="H1222" s="1" t="str">
        <f t="shared" si="58"/>
        <v>CO</v>
      </c>
      <c r="I1222" s="1">
        <f t="shared" si="59"/>
        <v>0</v>
      </c>
    </row>
    <row r="1223" spans="1:9" x14ac:dyDescent="0.2">
      <c r="A1223" s="1" t="s">
        <v>1288</v>
      </c>
      <c r="B1223" s="1">
        <v>53763.75</v>
      </c>
      <c r="C1223" s="1" t="s">
        <v>58</v>
      </c>
      <c r="D1223" s="1">
        <f t="shared" si="57"/>
        <v>60276.750735897454</v>
      </c>
      <c r="E1223" s="1">
        <v>39.573687130000003</v>
      </c>
      <c r="F1223" s="1">
        <v>-104.99194869999999</v>
      </c>
      <c r="G1223" s="1" t="s">
        <v>64</v>
      </c>
      <c r="H1223" s="1" t="str">
        <f t="shared" si="58"/>
        <v>CO</v>
      </c>
      <c r="I1223" s="1">
        <f t="shared" si="59"/>
        <v>0</v>
      </c>
    </row>
    <row r="1224" spans="1:9" x14ac:dyDescent="0.2">
      <c r="A1224" s="1" t="s">
        <v>1289</v>
      </c>
      <c r="C1224" s="1" t="s">
        <v>58</v>
      </c>
      <c r="D1224" s="1">
        <f t="shared" si="57"/>
        <v>60276.750735897454</v>
      </c>
      <c r="E1224" s="1">
        <v>39.573262489999998</v>
      </c>
      <c r="F1224" s="1">
        <v>-104.9880272</v>
      </c>
      <c r="G1224" s="1" t="s">
        <v>64</v>
      </c>
      <c r="H1224" s="1" t="str">
        <f t="shared" si="58"/>
        <v>CO</v>
      </c>
      <c r="I1224" s="1">
        <f t="shared" si="59"/>
        <v>0</v>
      </c>
    </row>
    <row r="1225" spans="1:9" x14ac:dyDescent="0.2">
      <c r="A1225" s="1" t="s">
        <v>1290</v>
      </c>
      <c r="B1225" s="1">
        <v>76547.88</v>
      </c>
      <c r="C1225" s="1" t="s">
        <v>58</v>
      </c>
      <c r="D1225" s="1">
        <f t="shared" si="57"/>
        <v>60276.750735897454</v>
      </c>
      <c r="E1225" s="1">
        <v>39.557389610000001</v>
      </c>
      <c r="F1225" s="1">
        <v>-104.8816776</v>
      </c>
      <c r="G1225" s="1" t="s">
        <v>65</v>
      </c>
      <c r="H1225" s="1" t="str">
        <f t="shared" si="58"/>
        <v>CO</v>
      </c>
      <c r="I1225" s="1">
        <f t="shared" si="59"/>
        <v>1</v>
      </c>
    </row>
    <row r="1226" spans="1:9" x14ac:dyDescent="0.2">
      <c r="A1226" s="1" t="s">
        <v>1291</v>
      </c>
      <c r="B1226" s="1">
        <v>64080.54</v>
      </c>
      <c r="C1226" s="1" t="s">
        <v>58</v>
      </c>
      <c r="D1226" s="1">
        <f t="shared" si="57"/>
        <v>60276.750735897454</v>
      </c>
      <c r="E1226" s="1">
        <v>39.53651713</v>
      </c>
      <c r="F1226" s="1">
        <v>-104.8823218</v>
      </c>
      <c r="G1226" s="1" t="s">
        <v>65</v>
      </c>
      <c r="H1226" s="1" t="str">
        <f t="shared" si="58"/>
        <v>CO</v>
      </c>
      <c r="I1226" s="1">
        <f t="shared" si="59"/>
        <v>1</v>
      </c>
    </row>
    <row r="1227" spans="1:9" x14ac:dyDescent="0.2">
      <c r="A1227" s="1" t="s">
        <v>1292</v>
      </c>
      <c r="B1227" s="1">
        <v>81838.61</v>
      </c>
      <c r="C1227" s="1" t="s">
        <v>58</v>
      </c>
      <c r="D1227" s="1">
        <f t="shared" si="57"/>
        <v>60276.750735897454</v>
      </c>
      <c r="E1227" s="1">
        <v>39.5351979</v>
      </c>
      <c r="F1227" s="1">
        <v>-104.8822413</v>
      </c>
      <c r="G1227" s="1" t="s">
        <v>65</v>
      </c>
      <c r="H1227" s="1" t="str">
        <f t="shared" si="58"/>
        <v>CO</v>
      </c>
      <c r="I1227" s="1">
        <f t="shared" si="59"/>
        <v>1</v>
      </c>
    </row>
    <row r="1228" spans="1:9" x14ac:dyDescent="0.2">
      <c r="A1228" s="1" t="s">
        <v>1293</v>
      </c>
      <c r="B1228" s="1">
        <v>61606.52</v>
      </c>
      <c r="C1228" s="1" t="s">
        <v>58</v>
      </c>
      <c r="D1228" s="1">
        <f t="shared" si="57"/>
        <v>60276.750735897454</v>
      </c>
      <c r="E1228" s="1">
        <v>39.642375999999999</v>
      </c>
      <c r="F1228" s="1">
        <v>-105.0251619</v>
      </c>
      <c r="G1228" s="1" t="s">
        <v>66</v>
      </c>
      <c r="H1228" s="1" t="str">
        <f t="shared" si="58"/>
        <v>CO</v>
      </c>
      <c r="I1228" s="1">
        <f t="shared" si="59"/>
        <v>1</v>
      </c>
    </row>
    <row r="1229" spans="1:9" x14ac:dyDescent="0.2">
      <c r="A1229" s="1" t="s">
        <v>1294</v>
      </c>
      <c r="B1229" s="1">
        <v>85325.52</v>
      </c>
      <c r="C1229" s="1" t="s">
        <v>58</v>
      </c>
      <c r="D1229" s="1">
        <f t="shared" si="57"/>
        <v>60276.750735897454</v>
      </c>
      <c r="E1229" s="1">
        <v>39.653390000000002</v>
      </c>
      <c r="F1229" s="1">
        <v>-105.0254381</v>
      </c>
      <c r="G1229" s="1" t="s">
        <v>66</v>
      </c>
      <c r="H1229" s="1" t="str">
        <f t="shared" si="58"/>
        <v>CO</v>
      </c>
      <c r="I1229" s="1">
        <f t="shared" si="59"/>
        <v>1</v>
      </c>
    </row>
    <row r="1230" spans="1:9" x14ac:dyDescent="0.2">
      <c r="A1230" s="1" t="s">
        <v>1295</v>
      </c>
      <c r="B1230" s="1">
        <v>91112.34</v>
      </c>
      <c r="C1230" s="1" t="s">
        <v>58</v>
      </c>
      <c r="D1230" s="1">
        <f t="shared" si="57"/>
        <v>60276.750735897454</v>
      </c>
      <c r="E1230" s="1">
        <v>39.649484639999997</v>
      </c>
      <c r="F1230" s="1">
        <v>-105.00871290000001</v>
      </c>
      <c r="G1230" s="1" t="s">
        <v>66</v>
      </c>
      <c r="H1230" s="1" t="str">
        <f t="shared" si="58"/>
        <v>CO</v>
      </c>
      <c r="I1230" s="1">
        <f t="shared" si="59"/>
        <v>1</v>
      </c>
    </row>
  </sheetData>
  <pageMargins left="0.7" right="0.7" top="0.75" bottom="0.75" header="0.3" footer="0.3"/>
  <customProperties>
    <customPr name="_pios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D6D6-00FF-B64A-9C44-FA1F45F47AF7}">
  <dimension ref="A1:B7"/>
  <sheetViews>
    <sheetView workbookViewId="0">
      <selection activeCell="D7" sqref="D7"/>
    </sheetView>
  </sheetViews>
  <sheetFormatPr baseColWidth="10" defaultRowHeight="15" x14ac:dyDescent="0.2"/>
  <cols>
    <col min="1" max="1" width="12.1640625" bestFit="1" customWidth="1"/>
    <col min="2" max="2" width="16" bestFit="1" customWidth="1"/>
  </cols>
  <sheetData>
    <row r="1" spans="1:2" ht="24" x14ac:dyDescent="0.3">
      <c r="A1" s="10" t="s">
        <v>1304</v>
      </c>
    </row>
    <row r="3" spans="1:2" x14ac:dyDescent="0.2">
      <c r="A3" s="3" t="s">
        <v>1296</v>
      </c>
      <c r="B3" t="s">
        <v>1298</v>
      </c>
    </row>
    <row r="4" spans="1:2" x14ac:dyDescent="0.2">
      <c r="A4" s="4" t="s">
        <v>1299</v>
      </c>
      <c r="B4">
        <v>47594892.855250046</v>
      </c>
    </row>
    <row r="5" spans="1:2" x14ac:dyDescent="0.2">
      <c r="A5" s="4" t="s">
        <v>1300</v>
      </c>
      <c r="B5">
        <v>11534068.274199998</v>
      </c>
    </row>
    <row r="6" spans="1:2" x14ac:dyDescent="0.2">
      <c r="A6" s="4" t="s">
        <v>1301</v>
      </c>
      <c r="B6">
        <v>7840914.706100001</v>
      </c>
    </row>
    <row r="7" spans="1:2" x14ac:dyDescent="0.2">
      <c r="A7" s="4" t="s">
        <v>1297</v>
      </c>
      <c r="B7">
        <v>66969875.835550047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7AA2C-73EA-6E45-918F-3E3CF329F49B}">
  <dimension ref="A1:B66"/>
  <sheetViews>
    <sheetView workbookViewId="0">
      <selection activeCell="E10" sqref="E10"/>
    </sheetView>
  </sheetViews>
  <sheetFormatPr baseColWidth="10" defaultRowHeight="15" x14ac:dyDescent="0.2"/>
  <cols>
    <col min="1" max="1" width="21.5" bestFit="1" customWidth="1"/>
    <col min="2" max="2" width="18.83203125" bestFit="1" customWidth="1"/>
  </cols>
  <sheetData>
    <row r="1" spans="1:2" x14ac:dyDescent="0.2">
      <c r="A1" s="9" t="s">
        <v>1303</v>
      </c>
    </row>
    <row r="3" spans="1:2" x14ac:dyDescent="0.2">
      <c r="A3" s="5" t="s">
        <v>2</v>
      </c>
      <c r="B3" s="6" t="s">
        <v>1302</v>
      </c>
    </row>
    <row r="4" spans="1:2" x14ac:dyDescent="0.2">
      <c r="A4" s="7" t="s">
        <v>58</v>
      </c>
      <c r="B4" s="6">
        <v>60276.750735897454</v>
      </c>
    </row>
    <row r="5" spans="1:2" x14ac:dyDescent="0.2">
      <c r="A5" s="8" t="s">
        <v>63</v>
      </c>
      <c r="B5" s="6">
        <v>80791.031428571441</v>
      </c>
    </row>
    <row r="6" spans="1:2" x14ac:dyDescent="0.2">
      <c r="A6" s="8" t="s">
        <v>66</v>
      </c>
      <c r="B6" s="6">
        <v>79348.126666666663</v>
      </c>
    </row>
    <row r="7" spans="1:2" x14ac:dyDescent="0.2">
      <c r="A7" s="8" t="s">
        <v>65</v>
      </c>
      <c r="B7" s="6">
        <v>74155.676666666681</v>
      </c>
    </row>
    <row r="8" spans="1:2" x14ac:dyDescent="0.2">
      <c r="A8" s="8" t="s">
        <v>62</v>
      </c>
      <c r="B8" s="6">
        <v>68816.401249999995</v>
      </c>
    </row>
    <row r="9" spans="1:2" x14ac:dyDescent="0.2">
      <c r="A9" s="8" t="s">
        <v>64</v>
      </c>
      <c r="B9" s="6">
        <v>59722.927272727269</v>
      </c>
    </row>
    <row r="10" spans="1:2" x14ac:dyDescent="0.2">
      <c r="A10" s="8" t="s">
        <v>59</v>
      </c>
      <c r="B10" s="6">
        <v>59514.623469387763</v>
      </c>
    </row>
    <row r="11" spans="1:2" x14ac:dyDescent="0.2">
      <c r="A11" s="8" t="s">
        <v>61</v>
      </c>
      <c r="B11" s="6">
        <v>57259.272499999999</v>
      </c>
    </row>
    <row r="12" spans="1:2" x14ac:dyDescent="0.2">
      <c r="A12" s="8" t="s">
        <v>60</v>
      </c>
      <c r="B12" s="6">
        <v>47340.362256249995</v>
      </c>
    </row>
    <row r="13" spans="1:2" x14ac:dyDescent="0.2">
      <c r="A13" s="7" t="s">
        <v>27</v>
      </c>
      <c r="B13" s="6">
        <v>55993.991594411818</v>
      </c>
    </row>
    <row r="14" spans="1:2" x14ac:dyDescent="0.2">
      <c r="A14" s="8" t="s">
        <v>48</v>
      </c>
      <c r="B14" s="6">
        <v>131451.82999999999</v>
      </c>
    </row>
    <row r="15" spans="1:2" x14ac:dyDescent="0.2">
      <c r="A15" s="8" t="s">
        <v>30</v>
      </c>
      <c r="B15" s="6">
        <v>127294.31777777776</v>
      </c>
    </row>
    <row r="16" spans="1:2" x14ac:dyDescent="0.2">
      <c r="A16" s="8" t="s">
        <v>56</v>
      </c>
      <c r="B16" s="6">
        <v>103648.4736</v>
      </c>
    </row>
    <row r="17" spans="1:2" x14ac:dyDescent="0.2">
      <c r="A17" s="8" t="s">
        <v>47</v>
      </c>
      <c r="B17" s="6">
        <v>100010.78692307693</v>
      </c>
    </row>
    <row r="18" spans="1:2" x14ac:dyDescent="0.2">
      <c r="A18" s="8" t="s">
        <v>39</v>
      </c>
      <c r="B18" s="6">
        <v>91418.915000000008</v>
      </c>
    </row>
    <row r="19" spans="1:2" x14ac:dyDescent="0.2">
      <c r="A19" s="8" t="s">
        <v>27</v>
      </c>
      <c r="B19" s="6">
        <v>84333.37</v>
      </c>
    </row>
    <row r="20" spans="1:2" x14ac:dyDescent="0.2">
      <c r="A20" s="8" t="s">
        <v>41</v>
      </c>
      <c r="B20" s="6">
        <v>82812.357999999993</v>
      </c>
    </row>
    <row r="21" spans="1:2" x14ac:dyDescent="0.2">
      <c r="A21" s="8" t="s">
        <v>53</v>
      </c>
      <c r="B21" s="6">
        <v>81362.390416666676</v>
      </c>
    </row>
    <row r="22" spans="1:2" x14ac:dyDescent="0.2">
      <c r="A22" s="8" t="s">
        <v>36</v>
      </c>
      <c r="B22" s="6">
        <v>73005.216260000001</v>
      </c>
    </row>
    <row r="23" spans="1:2" x14ac:dyDescent="0.2">
      <c r="A23" s="8" t="s">
        <v>42</v>
      </c>
      <c r="B23" s="6">
        <v>72865.170000000013</v>
      </c>
    </row>
    <row r="24" spans="1:2" x14ac:dyDescent="0.2">
      <c r="A24" s="8" t="s">
        <v>34</v>
      </c>
      <c r="B24" s="6">
        <v>64487.630000000005</v>
      </c>
    </row>
    <row r="25" spans="1:2" x14ac:dyDescent="0.2">
      <c r="A25" s="8" t="s">
        <v>28</v>
      </c>
      <c r="B25" s="6">
        <v>63579.097999999998</v>
      </c>
    </row>
    <row r="26" spans="1:2" x14ac:dyDescent="0.2">
      <c r="A26" s="8" t="s">
        <v>37</v>
      </c>
      <c r="B26" s="6">
        <v>61642.443725490193</v>
      </c>
    </row>
    <row r="27" spans="1:2" x14ac:dyDescent="0.2">
      <c r="A27" s="8" t="s">
        <v>29</v>
      </c>
      <c r="B27" s="6">
        <v>61490.77693266666</v>
      </c>
    </row>
    <row r="28" spans="1:2" x14ac:dyDescent="0.2">
      <c r="A28" s="8" t="s">
        <v>33</v>
      </c>
      <c r="B28" s="6">
        <v>60416.234807692301</v>
      </c>
    </row>
    <row r="29" spans="1:2" x14ac:dyDescent="0.2">
      <c r="A29" s="8" t="s">
        <v>55</v>
      </c>
      <c r="B29" s="6">
        <v>60316.528571428571</v>
      </c>
    </row>
    <row r="30" spans="1:2" x14ac:dyDescent="0.2">
      <c r="A30" s="8" t="s">
        <v>45</v>
      </c>
      <c r="B30" s="6">
        <v>59635.622307692298</v>
      </c>
    </row>
    <row r="31" spans="1:2" x14ac:dyDescent="0.2">
      <c r="A31" s="8" t="s">
        <v>54</v>
      </c>
      <c r="B31" s="6">
        <v>55960.604888888876</v>
      </c>
    </row>
    <row r="32" spans="1:2" x14ac:dyDescent="0.2">
      <c r="A32" s="8" t="s">
        <v>38</v>
      </c>
      <c r="B32" s="6">
        <v>53377.230961538451</v>
      </c>
    </row>
    <row r="33" spans="1:2" x14ac:dyDescent="0.2">
      <c r="A33" s="8" t="s">
        <v>44</v>
      </c>
      <c r="B33" s="6">
        <v>51761.456603773608</v>
      </c>
    </row>
    <row r="34" spans="1:2" x14ac:dyDescent="0.2">
      <c r="A34" s="8" t="s">
        <v>46</v>
      </c>
      <c r="B34" s="6">
        <v>50775.479794899322</v>
      </c>
    </row>
    <row r="35" spans="1:2" x14ac:dyDescent="0.2">
      <c r="A35" s="8" t="s">
        <v>49</v>
      </c>
      <c r="B35" s="6">
        <v>46595.884179104462</v>
      </c>
    </row>
    <row r="36" spans="1:2" x14ac:dyDescent="0.2">
      <c r="A36" s="8" t="s">
        <v>35</v>
      </c>
      <c r="B36" s="6">
        <v>35436.575714285711</v>
      </c>
    </row>
    <row r="37" spans="1:2" x14ac:dyDescent="0.2">
      <c r="A37" s="8" t="s">
        <v>43</v>
      </c>
      <c r="B37" s="6">
        <v>34025.205000000002</v>
      </c>
    </row>
    <row r="38" spans="1:2" x14ac:dyDescent="0.2">
      <c r="A38" s="8" t="s">
        <v>57</v>
      </c>
      <c r="B38" s="6">
        <v>32988.409999999996</v>
      </c>
    </row>
    <row r="39" spans="1:2" x14ac:dyDescent="0.2">
      <c r="A39" s="8" t="s">
        <v>50</v>
      </c>
      <c r="B39" s="6">
        <v>32613.901666666661</v>
      </c>
    </row>
    <row r="40" spans="1:2" x14ac:dyDescent="0.2">
      <c r="A40" s="8" t="s">
        <v>32</v>
      </c>
      <c r="B40" s="6">
        <v>30832.649999999998</v>
      </c>
    </row>
    <row r="41" spans="1:2" x14ac:dyDescent="0.2">
      <c r="A41" s="8" t="s">
        <v>40</v>
      </c>
      <c r="B41" s="6">
        <v>28694.14</v>
      </c>
    </row>
    <row r="42" spans="1:2" x14ac:dyDescent="0.2">
      <c r="A42" s="8" t="s">
        <v>51</v>
      </c>
      <c r="B42" s="6">
        <v>17553.767500000002</v>
      </c>
    </row>
    <row r="43" spans="1:2" x14ac:dyDescent="0.2">
      <c r="A43" s="8" t="s">
        <v>31</v>
      </c>
      <c r="B43" s="6">
        <v>11909.19</v>
      </c>
    </row>
    <row r="44" spans="1:2" x14ac:dyDescent="0.2">
      <c r="A44" s="8" t="s">
        <v>52</v>
      </c>
      <c r="B44" s="6">
        <v>11879.904999999999</v>
      </c>
    </row>
    <row r="45" spans="1:2" x14ac:dyDescent="0.2">
      <c r="A45" s="7" t="s">
        <v>6</v>
      </c>
      <c r="B45" s="6">
        <v>50588.018746491216</v>
      </c>
    </row>
    <row r="46" spans="1:2" x14ac:dyDescent="0.2">
      <c r="A46" s="8" t="s">
        <v>14</v>
      </c>
      <c r="B46" s="6">
        <v>67110.626000000004</v>
      </c>
    </row>
    <row r="47" spans="1:2" x14ac:dyDescent="0.2">
      <c r="A47" s="8" t="s">
        <v>7</v>
      </c>
      <c r="B47" s="6">
        <v>61340.600000000006</v>
      </c>
    </row>
    <row r="48" spans="1:2" x14ac:dyDescent="0.2">
      <c r="A48" s="8" t="s">
        <v>12</v>
      </c>
      <c r="B48" s="6">
        <v>60599.460000000014</v>
      </c>
    </row>
    <row r="49" spans="1:2" x14ac:dyDescent="0.2">
      <c r="A49" s="8" t="s">
        <v>18</v>
      </c>
      <c r="B49" s="6">
        <v>56512.147499999999</v>
      </c>
    </row>
    <row r="50" spans="1:2" x14ac:dyDescent="0.2">
      <c r="A50" s="8" t="s">
        <v>19</v>
      </c>
      <c r="B50" s="6">
        <v>56120.844166666669</v>
      </c>
    </row>
    <row r="51" spans="1:2" x14ac:dyDescent="0.2">
      <c r="A51" s="8" t="s">
        <v>9</v>
      </c>
      <c r="B51" s="6">
        <v>51427.777333333346</v>
      </c>
    </row>
    <row r="52" spans="1:2" x14ac:dyDescent="0.2">
      <c r="A52" s="8" t="s">
        <v>6</v>
      </c>
      <c r="B52" s="6">
        <v>51362.647937096779</v>
      </c>
    </row>
    <row r="53" spans="1:2" x14ac:dyDescent="0.2">
      <c r="A53" s="8" t="s">
        <v>15</v>
      </c>
      <c r="B53" s="6">
        <v>51167.15</v>
      </c>
    </row>
    <row r="54" spans="1:2" x14ac:dyDescent="0.2">
      <c r="A54" s="8" t="s">
        <v>10</v>
      </c>
      <c r="B54" s="6">
        <v>49410.303043478263</v>
      </c>
    </row>
    <row r="55" spans="1:2" x14ac:dyDescent="0.2">
      <c r="A55" s="8" t="s">
        <v>17</v>
      </c>
      <c r="B55" s="6">
        <v>47435.438888888893</v>
      </c>
    </row>
    <row r="56" spans="1:2" x14ac:dyDescent="0.2">
      <c r="A56" s="8" t="s">
        <v>8</v>
      </c>
      <c r="B56" s="6">
        <v>38634.735999999997</v>
      </c>
    </row>
    <row r="57" spans="1:2" x14ac:dyDescent="0.2">
      <c r="A57" s="8" t="s">
        <v>20</v>
      </c>
      <c r="B57" s="6">
        <v>38098.07</v>
      </c>
    </row>
    <row r="58" spans="1:2" x14ac:dyDescent="0.2">
      <c r="A58" s="8" t="s">
        <v>13</v>
      </c>
      <c r="B58" s="6">
        <v>35289.727777777785</v>
      </c>
    </row>
    <row r="59" spans="1:2" x14ac:dyDescent="0.2">
      <c r="A59" s="8" t="s">
        <v>21</v>
      </c>
      <c r="B59" s="6">
        <v>31704.7</v>
      </c>
    </row>
    <row r="60" spans="1:2" x14ac:dyDescent="0.2">
      <c r="A60" s="8" t="s">
        <v>16</v>
      </c>
      <c r="B60" s="6">
        <v>27352.51</v>
      </c>
    </row>
    <row r="61" spans="1:2" x14ac:dyDescent="0.2">
      <c r="A61" s="7" t="s">
        <v>22</v>
      </c>
      <c r="B61" s="6">
        <v>65711.239166666681</v>
      </c>
    </row>
    <row r="62" spans="1:2" x14ac:dyDescent="0.2">
      <c r="A62" s="8" t="s">
        <v>23</v>
      </c>
      <c r="B62" s="6">
        <v>126848.795</v>
      </c>
    </row>
    <row r="63" spans="1:2" x14ac:dyDescent="0.2">
      <c r="A63" s="8" t="s">
        <v>24</v>
      </c>
      <c r="B63" s="6">
        <v>69779.44</v>
      </c>
    </row>
    <row r="64" spans="1:2" x14ac:dyDescent="0.2">
      <c r="A64" s="8" t="s">
        <v>26</v>
      </c>
      <c r="B64" s="6">
        <v>57071.332500000004</v>
      </c>
    </row>
    <row r="65" spans="1:2" x14ac:dyDescent="0.2">
      <c r="A65" s="8" t="s">
        <v>25</v>
      </c>
      <c r="B65" s="6">
        <v>41748.267500000002</v>
      </c>
    </row>
    <row r="66" spans="1:2" x14ac:dyDescent="0.2">
      <c r="A66" s="7" t="s">
        <v>1297</v>
      </c>
      <c r="B66" s="6">
        <v>55484.56987203809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A15B4-569E-D24A-A9AA-C1387A06DDA4}">
  <dimension ref="A1:B8"/>
  <sheetViews>
    <sheetView workbookViewId="0">
      <selection activeCell="B13" sqref="B13"/>
    </sheetView>
  </sheetViews>
  <sheetFormatPr baseColWidth="10" defaultRowHeight="15" x14ac:dyDescent="0.2"/>
  <cols>
    <col min="1" max="1" width="12.1640625" bestFit="1" customWidth="1"/>
    <col min="2" max="2" width="18.1640625" bestFit="1" customWidth="1"/>
    <col min="3" max="3" width="4.1640625" bestFit="1" customWidth="1"/>
    <col min="4" max="4" width="3.5" bestFit="1" customWidth="1"/>
    <col min="5" max="5" width="10" bestFit="1" customWidth="1"/>
  </cols>
  <sheetData>
    <row r="1" spans="1:2" x14ac:dyDescent="0.2">
      <c r="A1" s="9" t="s">
        <v>1307</v>
      </c>
    </row>
    <row r="3" spans="1:2" x14ac:dyDescent="0.2">
      <c r="A3" s="3" t="s">
        <v>2</v>
      </c>
      <c r="B3" t="s">
        <v>1308</v>
      </c>
    </row>
    <row r="4" spans="1:2" x14ac:dyDescent="0.2">
      <c r="A4" s="4" t="s">
        <v>27</v>
      </c>
      <c r="B4">
        <v>324</v>
      </c>
    </row>
    <row r="5" spans="1:2" x14ac:dyDescent="0.2">
      <c r="A5" s="4" t="s">
        <v>6</v>
      </c>
      <c r="B5">
        <v>105</v>
      </c>
    </row>
    <row r="6" spans="1:2" x14ac:dyDescent="0.2">
      <c r="A6" s="4" t="s">
        <v>58</v>
      </c>
      <c r="B6">
        <v>54</v>
      </c>
    </row>
    <row r="7" spans="1:2" x14ac:dyDescent="0.2">
      <c r="A7" s="4" t="s">
        <v>22</v>
      </c>
      <c r="B7">
        <v>5</v>
      </c>
    </row>
    <row r="8" spans="1:2" x14ac:dyDescent="0.2">
      <c r="A8" s="4" t="s">
        <v>1297</v>
      </c>
      <c r="B8">
        <v>488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00AE6-15BD-7F4A-A30E-468301ED6A34}">
  <dimension ref="A1:D6"/>
  <sheetViews>
    <sheetView workbookViewId="0">
      <selection activeCell="B9" sqref="B9"/>
    </sheetView>
  </sheetViews>
  <sheetFormatPr baseColWidth="10" defaultRowHeight="15" x14ac:dyDescent="0.2"/>
  <cols>
    <col min="1" max="1" width="11.83203125" bestFit="1" customWidth="1"/>
    <col min="2" max="2" width="13.33203125" bestFit="1" customWidth="1"/>
  </cols>
  <sheetData>
    <row r="1" spans="1:4" x14ac:dyDescent="0.2">
      <c r="A1" s="9" t="s">
        <v>1310</v>
      </c>
      <c r="D1" s="9"/>
    </row>
    <row r="2" spans="1:4" x14ac:dyDescent="0.2">
      <c r="A2" s="9" t="s">
        <v>2</v>
      </c>
      <c r="B2" s="9" t="s">
        <v>1309</v>
      </c>
    </row>
    <row r="3" spans="1:4" x14ac:dyDescent="0.2">
      <c r="A3" t="str" cm="1">
        <f t="array" ref="A3:A6">_xlfn.UNIQUE('Circana Data'!C2:C1229)</f>
        <v>SACRAMENTO</v>
      </c>
      <c r="B3" cm="1">
        <f t="array" ref="B3">COUNTA(_xlfn.UNIQUE(_xlfn._xlws.FILTER('Circana Data'!G2:G1229, 'Circana Data'!C2:C1229=A3)))</f>
        <v>15</v>
      </c>
    </row>
    <row r="4" spans="1:4" x14ac:dyDescent="0.2">
      <c r="A4" t="str">
        <v>SUMMIT</v>
      </c>
      <c r="B4" cm="1">
        <f t="array" ref="B4">COUNTA(_xlfn.UNIQUE(_xlfn._xlws.FILTER('Circana Data'!G3:G1230, 'Circana Data'!C3:C1230=A4)))</f>
        <v>4</v>
      </c>
    </row>
    <row r="5" spans="1:4" x14ac:dyDescent="0.2">
      <c r="A5" t="str">
        <v>MARICOPA</v>
      </c>
      <c r="B5" cm="1">
        <f t="array" ref="B5">COUNTA(_xlfn.UNIQUE(_xlfn._xlws.FILTER('Circana Data'!G4:G1231, 'Circana Data'!C4:C1231=A5)))</f>
        <v>31</v>
      </c>
    </row>
    <row r="6" spans="1:4" x14ac:dyDescent="0.2">
      <c r="A6" t="str">
        <v>ARAPAHOE</v>
      </c>
      <c r="B6" cm="1">
        <f t="array" ref="B6">COUNTA(_xlfn.UNIQUE(_xlfn._xlws.FILTER('Circana Data'!G5:G1232, 'Circana Data'!C5:C1232=A6)))</f>
        <v>8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CA26E-C494-5743-A59F-748E378C47D3}">
  <dimension ref="A1:B5"/>
  <sheetViews>
    <sheetView tabSelected="1" workbookViewId="0">
      <selection activeCell="H26" sqref="H26"/>
    </sheetView>
  </sheetViews>
  <sheetFormatPr baseColWidth="10" defaultRowHeight="15" x14ac:dyDescent="0.2"/>
  <sheetData>
    <row r="1" spans="1:2" x14ac:dyDescent="0.2">
      <c r="A1" s="9" t="s">
        <v>1311</v>
      </c>
    </row>
    <row r="2" spans="1:2" x14ac:dyDescent="0.2">
      <c r="A2" s="9" t="s">
        <v>1296</v>
      </c>
      <c r="B2" s="9" t="s">
        <v>1309</v>
      </c>
    </row>
    <row r="3" spans="1:2" x14ac:dyDescent="0.2">
      <c r="A3" t="str" cm="1">
        <f t="array" ref="A3:A5">_xlfn.UNIQUE('Circana Data'!H2:H1229)</f>
        <v>CA</v>
      </c>
      <c r="B3" cm="1">
        <f t="array" ref="B3">COUNTA(_xlfn.UNIQUE(_xlfn._xlws.FILTER('Circana Data'!G2:G1229, 'Circana Data'!H2:H1229=A3)))</f>
        <v>15</v>
      </c>
    </row>
    <row r="4" spans="1:2" x14ac:dyDescent="0.2">
      <c r="A4" t="str">
        <v>CO</v>
      </c>
      <c r="B4" cm="1">
        <f t="array" ref="B4">COUNTA(_xlfn.UNIQUE(_xlfn._xlws.FILTER('Circana Data'!G3:G1230, 'Circana Data'!H3:H1230=A4)))</f>
        <v>12</v>
      </c>
    </row>
    <row r="5" spans="1:2" x14ac:dyDescent="0.2">
      <c r="A5" t="str">
        <v>AZ</v>
      </c>
      <c r="B5" cm="1">
        <f t="array" ref="B5">COUNTA(_xlfn.UNIQUE(_xlfn._xlws.FILTER('Circana Data'!G4:G1231, 'Circana Data'!H4:H1231=A5)))</f>
        <v>31</v>
      </c>
    </row>
  </sheetData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14B7B5-F17E-B846-8FD1-185F55BCCE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Circana Data</vt:lpstr>
      <vt:lpstr>S1Q1</vt:lpstr>
      <vt:lpstr>S1Q2</vt:lpstr>
      <vt:lpstr>S1Q3</vt:lpstr>
      <vt:lpstr>S1Q4</vt:lpstr>
      <vt:lpstr>S1Q5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Desiree Hamade</dc:creator>
  <cp:lastModifiedBy>Michael Ezeanioma</cp:lastModifiedBy>
  <dcterms:created xsi:type="dcterms:W3CDTF">2025-09-17T20:33:49Z</dcterms:created>
  <dcterms:modified xsi:type="dcterms:W3CDTF">2025-09-26T06:24:49Z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