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/>
  <mc:AlternateContent xmlns:mc="http://schemas.openxmlformats.org/markup-compatibility/2006">
    <mc:Choice Requires="x15">
      <x15ac:absPath xmlns:x15ac="http://schemas.microsoft.com/office/spreadsheetml/2010/11/ac" url="/Users/michaelezeanioma/Desktop/RBDC_BI_Bus_Analyst_Case_Study/"/>
    </mc:Choice>
  </mc:AlternateContent>
  <xr:revisionPtr revIDLastSave="0" documentId="13_ncr:1_{B777CF60-7E72-9241-B1BB-976DE8C8D003}" xr6:coauthVersionLast="47" xr6:coauthVersionMax="47" xr10:uidLastSave="{00000000-0000-0000-0000-000000000000}"/>
  <bookViews>
    <workbookView xWindow="2960" yWindow="760" windowWidth="26800" windowHeight="17460" activeTab="8" xr2:uid="{00000000-000D-0000-FFFF-FFFF00000000}"/>
  </bookViews>
  <sheets>
    <sheet name="Case Study Route Data" sheetId="2" r:id="rId1"/>
    <sheet name="Liberty" sheetId="1" r:id="rId2"/>
    <sheet name="Data_Merged" sheetId="3" r:id="rId3"/>
    <sheet name="S2Q1" sheetId="4" r:id="rId4"/>
    <sheet name="S2Q2" sheetId="5" r:id="rId5"/>
    <sheet name="S2Q3" sheetId="6" r:id="rId6"/>
    <sheet name="S2Q4" sheetId="7" r:id="rId7"/>
    <sheet name="S2Q6" sheetId="15" r:id="rId8"/>
    <sheet name="S2Q7" sheetId="16" r:id="rId9"/>
  </sheets>
  <definedNames>
    <definedName name="ExternalData_1" localSheetId="0" hidden="1">'Case Study Route Data'!$A$1:$E$501</definedName>
    <definedName name="ExternalData_2" localSheetId="2" hidden="1">Data_Merged!$A$1:$J$503</definedName>
  </definedNames>
  <calcPr calcId="191029"/>
  <pivotCaches>
    <pivotCache cacheId="41" r:id="rId10"/>
    <pivotCache cacheId="42" r:id="rId11"/>
    <pivotCache cacheId="43" r:id="rId12"/>
    <pivotCache cacheId="44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K503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85D9DE-20B2-C743-B5AD-FF835989EFE5}" keepAlive="1" name="Query - Case Study Route Data" description="Connection to the 'Case Study Route Data' query in the workbook." type="5" refreshedVersion="8" background="1" saveData="1">
    <dbPr connection="Provider=Microsoft.Mashup.OleDb.1;Data Source=$Workbook$;Location=&quot;Case Study Route Data&quot;;Extended Properties=&quot;&quot;" command="SELECT * FROM [Case Study Route Data]"/>
  </connection>
  <connection id="2" xr16:uid="{BCC9BC38-3593-5443-882F-896DD3BCE4C5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<sst xmlns="http://schemas.openxmlformats.org/spreadsheetml/2006/main" count="5197" uniqueCount="450">
  <si>
    <t>plant_act_short_text</t>
  </si>
  <si>
    <t>sales_group_assign_short_text</t>
  </si>
  <si>
    <t>ts</t>
  </si>
  <si>
    <t>material_short_text</t>
  </si>
  <si>
    <t>20250129</t>
  </si>
  <si>
    <t>20250117</t>
  </si>
  <si>
    <t>20250304</t>
  </si>
  <si>
    <t>20250224</t>
  </si>
  <si>
    <t>20250218</t>
  </si>
  <si>
    <t>20250130</t>
  </si>
  <si>
    <t>20250122</t>
  </si>
  <si>
    <t>20250217</t>
  </si>
  <si>
    <t>20250102</t>
  </si>
  <si>
    <t>20250107</t>
  </si>
  <si>
    <t>20250206</t>
  </si>
  <si>
    <t>20250225</t>
  </si>
  <si>
    <t>20250106</t>
  </si>
  <si>
    <t>20250220</t>
  </si>
  <si>
    <t>20250121</t>
  </si>
  <si>
    <t>20250306</t>
  </si>
  <si>
    <t>20250131</t>
  </si>
  <si>
    <t>20250211</t>
  </si>
  <si>
    <t>20250305</t>
  </si>
  <si>
    <t>20250227</t>
  </si>
  <si>
    <t>20250310</t>
  </si>
  <si>
    <t>20250214</t>
  </si>
  <si>
    <t>20250219</t>
  </si>
  <si>
    <t>20250221</t>
  </si>
  <si>
    <t>20250303</t>
  </si>
  <si>
    <t>20250103</t>
  </si>
  <si>
    <t>20250228</t>
  </si>
  <si>
    <t>20250226</t>
  </si>
  <si>
    <t>20250207</t>
  </si>
  <si>
    <t>20250115</t>
  </si>
  <si>
    <t>20250210</t>
  </si>
  <si>
    <t>20250205</t>
  </si>
  <si>
    <t>20250123</t>
  </si>
  <si>
    <t>20250307</t>
  </si>
  <si>
    <t>20250114</t>
  </si>
  <si>
    <t>20250127</t>
  </si>
  <si>
    <t>20250113</t>
  </si>
  <si>
    <t>20250108</t>
  </si>
  <si>
    <t>20250116</t>
  </si>
  <si>
    <t>20250128</t>
  </si>
  <si>
    <t>20250109</t>
  </si>
  <si>
    <t>20250212</t>
  </si>
  <si>
    <t>20250213</t>
  </si>
  <si>
    <t>20250203</t>
  </si>
  <si>
    <t>20250110</t>
  </si>
  <si>
    <t>20250124</t>
  </si>
  <si>
    <t>20250204</t>
  </si>
  <si>
    <t>SF VAR PK 8.4OZ 12P</t>
  </si>
  <si>
    <t>Calendar Day</t>
  </si>
  <si>
    <t>Customer</t>
  </si>
  <si>
    <t>Rio de Janiero</t>
  </si>
  <si>
    <t>Brasil</t>
  </si>
  <si>
    <t>Santas Workshop</t>
  </si>
  <si>
    <t>North Pole</t>
  </si>
  <si>
    <t>Mumbai</t>
  </si>
  <si>
    <t>India</t>
  </si>
  <si>
    <t>Gotham</t>
  </si>
  <si>
    <t>Detective Comics</t>
  </si>
  <si>
    <t>The Wall</t>
  </si>
  <si>
    <t>Westeros</t>
  </si>
  <si>
    <t>Casa Amor</t>
  </si>
  <si>
    <t>The Villa</t>
  </si>
  <si>
    <t>Red Outpost</t>
  </si>
  <si>
    <t>Mars</t>
  </si>
  <si>
    <t>Hoth</t>
  </si>
  <si>
    <t>Metropolis</t>
  </si>
  <si>
    <t>Scranton</t>
  </si>
  <si>
    <t>Dunder Mifflin</t>
  </si>
  <si>
    <t>Summer House</t>
  </si>
  <si>
    <t>Cousins Beach</t>
  </si>
  <si>
    <t>House Stark</t>
  </si>
  <si>
    <t>Nashua</t>
  </si>
  <si>
    <t>Salzburg</t>
  </si>
  <si>
    <t>Austria</t>
  </si>
  <si>
    <t>PICKLE JUICE 12OZ LS</t>
  </si>
  <si>
    <t>DIET SODA 12OZ LS</t>
  </si>
  <si>
    <t>SF SUSHI ROLL 8.4OZ LS</t>
  </si>
  <si>
    <t>SF MAPLE SYRUP 8.4OZ 4P</t>
  </si>
  <si>
    <t>BLUEBERRY SMOOTHIE 8.4OZ LS</t>
  </si>
  <si>
    <t>SPICY MEATBALL 16OZ LS</t>
  </si>
  <si>
    <t>SF ICE CREAM 12OZ LS</t>
  </si>
  <si>
    <t>SF MAPLE SYRUP 12OZ LS</t>
  </si>
  <si>
    <t>DIET COOKIE 20OZ LS</t>
  </si>
  <si>
    <t>DIET COOKIE 8.4OZ 12PK</t>
  </si>
  <si>
    <t>SPICY MEATBALL 12OZ LS</t>
  </si>
  <si>
    <t>WASABI BANANA PUDDING 12OZ LS</t>
  </si>
  <si>
    <t>SPICY MEATBALL 20oz LS</t>
  </si>
  <si>
    <t>DIET COOKIE 12oz</t>
  </si>
  <si>
    <t>DIET COOKIE 8.4OZ LS</t>
  </si>
  <si>
    <t>SUSHI ROLL 12OZ 4PK</t>
  </si>
  <si>
    <t>DIET COOKIE 16OZ LS</t>
  </si>
  <si>
    <t>LEMONADE 8.4OZ LS</t>
  </si>
  <si>
    <t>SPICY MEATBALL 8.4OZ 12PK</t>
  </si>
  <si>
    <t>MAPLE SYRUP 12OZ 4PK</t>
  </si>
  <si>
    <t>COCONUT MILK 8.4OZ LS</t>
  </si>
  <si>
    <t>KETCHUP 12OZ LS</t>
  </si>
  <si>
    <t>SPICY MEATBALL 8.4OZ LS</t>
  </si>
  <si>
    <t>KETCHUP 8.4OZ LS</t>
  </si>
  <si>
    <t>SF KETCHUP 8.4OZ 4P</t>
  </si>
  <si>
    <t>COCONUT MILK 12oz LS</t>
  </si>
  <si>
    <t>SF STRAWBERRY MILKSHAKE 12OZ 4PK</t>
  </si>
  <si>
    <t>SF SUSHI ROLL 12OZ LS</t>
  </si>
  <si>
    <t>STRAWBERRY MILKSHAKE 12OZ 4PK</t>
  </si>
  <si>
    <t>LEMONADE 12OZ 4PK</t>
  </si>
  <si>
    <t>SUSHI ROLL 8.4OZ LS</t>
  </si>
  <si>
    <t>PEACH COBBLER 12oz LS</t>
  </si>
  <si>
    <t>DIET COOKIE 12OZ 4PK</t>
  </si>
  <si>
    <t>MAPLE SYRUP 12OZ LS</t>
  </si>
  <si>
    <t>AVOCADO TOAST 8.4oz 4p</t>
  </si>
  <si>
    <t>DIET SODA 8.4OZ LS</t>
  </si>
  <si>
    <t>STRAWBERRY MILKSHAKE 8.4OZ 4PK</t>
  </si>
  <si>
    <t>BLUEBERRY SMOOTHIE 12oz LS</t>
  </si>
  <si>
    <t>SPICY MEATBALL 8.4oz 4PK</t>
  </si>
  <si>
    <t>STRAWBERRY MILKSHAKE 12OZ LS</t>
  </si>
  <si>
    <t>SF STRAWBERRY MILKSHAKE 12OZ LS</t>
  </si>
  <si>
    <t>SF MAPLE SYRUP 8.4OZ LS</t>
  </si>
  <si>
    <t>DIET COOKIE 8.4OZ 4PK</t>
  </si>
  <si>
    <t>SF STRAWBERRY MILKSHAKE 8.4OZ LS</t>
  </si>
  <si>
    <t>SF KETCHUP 12OZ LS</t>
  </si>
  <si>
    <t>ICE CREAM 8.4OZ LS</t>
  </si>
  <si>
    <t>SUSHI ROLL 12OZ LS</t>
  </si>
  <si>
    <t>MAPLE SYRUP 8.4OZ LS</t>
  </si>
  <si>
    <t>PICKLE JUICE 8.4OZ LS</t>
  </si>
  <si>
    <t>SF KETCHUP 12OZ 4P</t>
  </si>
  <si>
    <t>ICE CREAM 12OZ LS</t>
  </si>
  <si>
    <t>PICKLE JUICE 8.4OZ 4PK</t>
  </si>
  <si>
    <t>SF LEMONADE 12OZ LS</t>
  </si>
  <si>
    <t>STRAWBERRY MILKSHAKE 8.4OZ LS</t>
  </si>
  <si>
    <t>AVOCADO TOAST 12oz LS</t>
  </si>
  <si>
    <t>PEACH COBBLER 8.4oz LS</t>
  </si>
  <si>
    <t>BLUEBERRY SMOOTHIE 12OZ 4PK</t>
  </si>
  <si>
    <t>SPICY MEATBALL 12OZ 4PK</t>
  </si>
  <si>
    <t>SF LEMONADE 8.4OZ LS</t>
  </si>
  <si>
    <t>KETCHUP 8.4oz 4PK</t>
  </si>
  <si>
    <t>ICE PC 8.4OZ LS</t>
  </si>
  <si>
    <t>LEMONADE 12OZ LS</t>
  </si>
  <si>
    <t>AVOCADO TOAST 8.4oz LS</t>
  </si>
  <si>
    <t>FLAT SODA 8.4OZ LS</t>
  </si>
  <si>
    <t>VP Mint 8.4OZ 12PK</t>
  </si>
  <si>
    <t>WASABI BANANA PUDDING 8.4OZ LS</t>
  </si>
  <si>
    <t>WASABI 12OZ LS</t>
  </si>
  <si>
    <t>KETCHUP 12OZ 4PK</t>
  </si>
  <si>
    <t>SF ICE CREAM 8.4OZ LS</t>
  </si>
  <si>
    <t>MAPLE SYRUP 8.4OZ 4PK</t>
  </si>
  <si>
    <t>SUSHI ROLL 8.4OZ 4P</t>
  </si>
  <si>
    <t>SF KETCHUP 8.4OZ LS</t>
  </si>
  <si>
    <t>WASABI BANANA PUDDING 8.4OZ 4PK</t>
  </si>
  <si>
    <t>row_id</t>
  </si>
  <si>
    <t>plant_assign_short_text</t>
  </si>
  <si>
    <t>Route Type</t>
  </si>
  <si>
    <t>RBDC ROUTE</t>
  </si>
  <si>
    <t>E-Type</t>
  </si>
  <si>
    <t>39AP14</t>
  </si>
  <si>
    <t>Cobra</t>
  </si>
  <si>
    <t>295M02</t>
  </si>
  <si>
    <t>Mustang</t>
  </si>
  <si>
    <t>39AA07</t>
  </si>
  <si>
    <t>295A19</t>
  </si>
  <si>
    <t>790A20</t>
  </si>
  <si>
    <t>690A03</t>
  </si>
  <si>
    <t>398P03</t>
  </si>
  <si>
    <t>790A22</t>
  </si>
  <si>
    <t>393A24</t>
  </si>
  <si>
    <t>39DA04</t>
  </si>
  <si>
    <t>39DM03</t>
  </si>
  <si>
    <t>Charger</t>
  </si>
  <si>
    <t>398C05</t>
  </si>
  <si>
    <t>790A28</t>
  </si>
  <si>
    <t>398M01</t>
  </si>
  <si>
    <t>690P18</t>
  </si>
  <si>
    <t>592A07</t>
  </si>
  <si>
    <t>398P04</t>
  </si>
  <si>
    <t>393M06</t>
  </si>
  <si>
    <t>39DP02</t>
  </si>
  <si>
    <t>398C03</t>
  </si>
  <si>
    <t>592M02</t>
  </si>
  <si>
    <t>295A01</t>
  </si>
  <si>
    <t>398A18</t>
  </si>
  <si>
    <t>398A13</t>
  </si>
  <si>
    <t>690A46</t>
  </si>
  <si>
    <t>295A27</t>
  </si>
  <si>
    <t>593A22</t>
  </si>
  <si>
    <t>690A19</t>
  </si>
  <si>
    <t>FR-S</t>
  </si>
  <si>
    <t>690S03</t>
  </si>
  <si>
    <t>69BA09</t>
  </si>
  <si>
    <t>690A05</t>
  </si>
  <si>
    <t>69BA11</t>
  </si>
  <si>
    <t>295A09</t>
  </si>
  <si>
    <t>690A52</t>
  </si>
  <si>
    <t>79IP10</t>
  </si>
  <si>
    <t>790A17</t>
  </si>
  <si>
    <t>295A04</t>
  </si>
  <si>
    <t>592A10</t>
  </si>
  <si>
    <t>690A43</t>
  </si>
  <si>
    <t>39DP03</t>
  </si>
  <si>
    <t>39DA05</t>
  </si>
  <si>
    <t>39AP13</t>
  </si>
  <si>
    <t>790M03</t>
  </si>
  <si>
    <t>690A02</t>
  </si>
  <si>
    <t>690A44</t>
  </si>
  <si>
    <t>592S01</t>
  </si>
  <si>
    <t>398A11</t>
  </si>
  <si>
    <t>690A45</t>
  </si>
  <si>
    <t>593A23</t>
  </si>
  <si>
    <t>690A33</t>
  </si>
  <si>
    <t>790A13</t>
  </si>
  <si>
    <t>592M03</t>
  </si>
  <si>
    <t>Sandero</t>
  </si>
  <si>
    <t>4406</t>
  </si>
  <si>
    <t>295A06</t>
  </si>
  <si>
    <t>398C08</t>
  </si>
  <si>
    <t>690P15</t>
  </si>
  <si>
    <t>295A18</t>
  </si>
  <si>
    <t>592P01</t>
  </si>
  <si>
    <t>295A26</t>
  </si>
  <si>
    <t>393A33</t>
  </si>
  <si>
    <t>398A08</t>
  </si>
  <si>
    <t>79IA01</t>
  </si>
  <si>
    <t>592A15</t>
  </si>
  <si>
    <t>295A08</t>
  </si>
  <si>
    <t>295S02</t>
  </si>
  <si>
    <t>690A25</t>
  </si>
  <si>
    <t>690A31</t>
  </si>
  <si>
    <t>295A12</t>
  </si>
  <si>
    <t>690M06</t>
  </si>
  <si>
    <t>790A18</t>
  </si>
  <si>
    <t>592A11</t>
  </si>
  <si>
    <t>69BA06</t>
  </si>
  <si>
    <t>393A39</t>
  </si>
  <si>
    <t>690M02</t>
  </si>
  <si>
    <t>592P30</t>
  </si>
  <si>
    <t>790A15</t>
  </si>
  <si>
    <t>790P01</t>
  </si>
  <si>
    <t>393A35</t>
  </si>
  <si>
    <t>690A35</t>
  </si>
  <si>
    <t>398A10</t>
  </si>
  <si>
    <t>398A14</t>
  </si>
  <si>
    <t>39AP15</t>
  </si>
  <si>
    <t>69BA30</t>
  </si>
  <si>
    <t>690A32</t>
  </si>
  <si>
    <t>295A15</t>
  </si>
  <si>
    <t>69BA10</t>
  </si>
  <si>
    <t>79IA06</t>
  </si>
  <si>
    <t>690A28</t>
  </si>
  <si>
    <t>295S03</t>
  </si>
  <si>
    <t>592M09</t>
  </si>
  <si>
    <t>593A26</t>
  </si>
  <si>
    <t>Phantom</t>
  </si>
  <si>
    <t>690B01</t>
  </si>
  <si>
    <t>69BA15</t>
  </si>
  <si>
    <t>790P40</t>
  </si>
  <si>
    <t>690A26</t>
  </si>
  <si>
    <t>39AA11</t>
  </si>
  <si>
    <t>69BA14</t>
  </si>
  <si>
    <t>790M06</t>
  </si>
  <si>
    <t>790A14</t>
  </si>
  <si>
    <t>690A11</t>
  </si>
  <si>
    <t>690A34</t>
  </si>
  <si>
    <t>690P16</t>
  </si>
  <si>
    <t>690A42</t>
  </si>
  <si>
    <t>69BA05</t>
  </si>
  <si>
    <t>39DS01</t>
  </si>
  <si>
    <t>39AM06</t>
  </si>
  <si>
    <t>790A26</t>
  </si>
  <si>
    <t>398A09</t>
  </si>
  <si>
    <t>295A20</t>
  </si>
  <si>
    <t>790A25</t>
  </si>
  <si>
    <t>295A13</t>
  </si>
  <si>
    <t>592M08</t>
  </si>
  <si>
    <t>398M03</t>
  </si>
  <si>
    <t>4402</t>
  </si>
  <si>
    <t>69BM93</t>
  </si>
  <si>
    <t>690P17</t>
  </si>
  <si>
    <t>393A37</t>
  </si>
  <si>
    <t>690P30</t>
  </si>
  <si>
    <t>295A17</t>
  </si>
  <si>
    <t>398M95</t>
  </si>
  <si>
    <t>39AA10</t>
  </si>
  <si>
    <t>690A07</t>
  </si>
  <si>
    <t>295A07</t>
  </si>
  <si>
    <t>393M05</t>
  </si>
  <si>
    <t>393A25</t>
  </si>
  <si>
    <t>690M15</t>
  </si>
  <si>
    <t>690A24</t>
  </si>
  <si>
    <t>592A14</t>
  </si>
  <si>
    <t>592S03</t>
  </si>
  <si>
    <t>295M05</t>
  </si>
  <si>
    <t>393M04</t>
  </si>
  <si>
    <t>295A24</t>
  </si>
  <si>
    <t>398M04</t>
  </si>
  <si>
    <t>393A34</t>
  </si>
  <si>
    <t>39AP17</t>
  </si>
  <si>
    <t>69BA16</t>
  </si>
  <si>
    <t>393A23</t>
  </si>
  <si>
    <t>295S01</t>
  </si>
  <si>
    <t>79IA03</t>
  </si>
  <si>
    <t>398A19</t>
  </si>
  <si>
    <t>690A06</t>
  </si>
  <si>
    <t>393A22</t>
  </si>
  <si>
    <t>790A19</t>
  </si>
  <si>
    <t>295A10</t>
  </si>
  <si>
    <t>393A41</t>
  </si>
  <si>
    <t>690A04</t>
  </si>
  <si>
    <t>790A29</t>
  </si>
  <si>
    <t>690M05</t>
  </si>
  <si>
    <t>295M09</t>
  </si>
  <si>
    <t>295M12</t>
  </si>
  <si>
    <t>79IA02</t>
  </si>
  <si>
    <t>690M10</t>
  </si>
  <si>
    <t>398C07</t>
  </si>
  <si>
    <t>79IM02</t>
  </si>
  <si>
    <t>690A21</t>
  </si>
  <si>
    <t>398A20</t>
  </si>
  <si>
    <t>295A21</t>
  </si>
  <si>
    <t>790A16</t>
  </si>
  <si>
    <t>592A17</t>
  </si>
  <si>
    <t>69BM06</t>
  </si>
  <si>
    <t>690A01</t>
  </si>
  <si>
    <t>690A22</t>
  </si>
  <si>
    <t>39AA12</t>
  </si>
  <si>
    <t>690A14</t>
  </si>
  <si>
    <t>39DM06</t>
  </si>
  <si>
    <t>398A07</t>
  </si>
  <si>
    <t>398A16</t>
  </si>
  <si>
    <t>79IS01</t>
  </si>
  <si>
    <t>39AP16</t>
  </si>
  <si>
    <t>790M05</t>
  </si>
  <si>
    <t>69BA12</t>
  </si>
  <si>
    <t>592A08</t>
  </si>
  <si>
    <t>790A30</t>
  </si>
  <si>
    <t>398A23</t>
  </si>
  <si>
    <t>790A27</t>
  </si>
  <si>
    <t>790P39</t>
  </si>
  <si>
    <t>295A05</t>
  </si>
  <si>
    <t>690A37</t>
  </si>
  <si>
    <t>592A19</t>
  </si>
  <si>
    <t>393A36</t>
  </si>
  <si>
    <t>690P50</t>
  </si>
  <si>
    <t>393P42</t>
  </si>
  <si>
    <t>690M08</t>
  </si>
  <si>
    <t>593M09</t>
  </si>
  <si>
    <t>69BA13</t>
  </si>
  <si>
    <t>398A15</t>
  </si>
  <si>
    <t>393A40</t>
  </si>
  <si>
    <t>393P43</t>
  </si>
  <si>
    <t>393A26</t>
  </si>
  <si>
    <t>295A11</t>
  </si>
  <si>
    <t>398A21</t>
  </si>
  <si>
    <t>592M07</t>
  </si>
  <si>
    <t>592A20</t>
  </si>
  <si>
    <t>690A53</t>
  </si>
  <si>
    <t>592B01</t>
  </si>
  <si>
    <t>790A24</t>
  </si>
  <si>
    <t>393M07</t>
  </si>
  <si>
    <t>690M04</t>
  </si>
  <si>
    <t>398M06</t>
  </si>
  <si>
    <t>393P21</t>
  </si>
  <si>
    <t>690A49</t>
  </si>
  <si>
    <t>398M94</t>
  </si>
  <si>
    <t>592M06</t>
  </si>
  <si>
    <t>398A12</t>
  </si>
  <si>
    <t>690M12</t>
  </si>
  <si>
    <t>690A12</t>
  </si>
  <si>
    <t>39AA08</t>
  </si>
  <si>
    <t>69BA07</t>
  </si>
  <si>
    <t>690A13</t>
  </si>
  <si>
    <t>295M10</t>
  </si>
  <si>
    <t>592A18</t>
  </si>
  <si>
    <t>39DP01</t>
  </si>
  <si>
    <t>295M11</t>
  </si>
  <si>
    <t>295A03</t>
  </si>
  <si>
    <t>69BM04</t>
  </si>
  <si>
    <t>393P20</t>
  </si>
  <si>
    <t>690A09</t>
  </si>
  <si>
    <t>690M07</t>
  </si>
  <si>
    <t>690M03</t>
  </si>
  <si>
    <t>690A08</t>
  </si>
  <si>
    <t>690M11</t>
  </si>
  <si>
    <t>79IP09</t>
  </si>
  <si>
    <t>690A10</t>
  </si>
  <si>
    <t>398C04</t>
  </si>
  <si>
    <t>398A22</t>
  </si>
  <si>
    <t>69BM05</t>
  </si>
  <si>
    <t>393A38</t>
  </si>
  <si>
    <t>39AA09</t>
  </si>
  <si>
    <t>398M02</t>
  </si>
  <si>
    <t>690M13</t>
  </si>
  <si>
    <t>690A20</t>
  </si>
  <si>
    <t>398A17</t>
  </si>
  <si>
    <t>592A13</t>
  </si>
  <si>
    <t>592A21</t>
  </si>
  <si>
    <t>690S04</t>
  </si>
  <si>
    <t>Row Labels</t>
  </si>
  <si>
    <t>Grand Total</t>
  </si>
  <si>
    <t>Count of Customer</t>
  </si>
  <si>
    <t>(Multiple Items)</t>
  </si>
  <si>
    <t>Which Sales Group has the most ‘Cobras’?</t>
  </si>
  <si>
    <t>Sales Group</t>
  </si>
  <si>
    <t>Sum of ts</t>
  </si>
  <si>
    <t>flavor</t>
  </si>
  <si>
    <t>AVOCADO TOAST</t>
  </si>
  <si>
    <t>BLUEBERRY SMOOTHIE</t>
  </si>
  <si>
    <t>COCONUT MILK</t>
  </si>
  <si>
    <t>DIET</t>
  </si>
  <si>
    <t>DIET COOKIE</t>
  </si>
  <si>
    <t>DIET SODA</t>
  </si>
  <si>
    <t>KETCHUP</t>
  </si>
  <si>
    <t>LEMONADE</t>
  </si>
  <si>
    <t>MAPLE SYRUP</t>
  </si>
  <si>
    <t>PICKLE JUICE</t>
  </si>
  <si>
    <t>SF ICE CREAM</t>
  </si>
  <si>
    <t>SF KETCHUP</t>
  </si>
  <si>
    <t>SF LEMONADE</t>
  </si>
  <si>
    <t>SF MAPLE SYRUP</t>
  </si>
  <si>
    <t>SF STRAWBERRY MILKSHAKE</t>
  </si>
  <si>
    <t>SF SUSHI ROLL</t>
  </si>
  <si>
    <t>SPICY MEATBALL</t>
  </si>
  <si>
    <t>STRAWBERRY MILKSHAKE</t>
  </si>
  <si>
    <t>SUSHI ROLL</t>
  </si>
  <si>
    <t>WASABI BANANA PUDDING</t>
  </si>
  <si>
    <t>Flavor</t>
  </si>
  <si>
    <t>What are the total TSs for Sales Group Assign with a ‘Charger’?</t>
  </si>
  <si>
    <t>Answer: Brasil, with 3</t>
  </si>
  <si>
    <t>Answers: Total TS for sales group with Charger is 0</t>
  </si>
  <si>
    <t>What flavor excluding package size does the best in ‘Brasil’?</t>
  </si>
  <si>
    <t>Answer: Spicy Meatball, 16.917</t>
  </si>
  <si>
    <t>real date</t>
  </si>
  <si>
    <t>Year-Month</t>
  </si>
  <si>
    <t>2025-01</t>
  </si>
  <si>
    <t>2025-02</t>
  </si>
  <si>
    <t>2025-03</t>
  </si>
  <si>
    <t>What month had the highest sales?</t>
  </si>
  <si>
    <t>Answer: 2025-02; 298.166</t>
  </si>
  <si>
    <t>Dummy</t>
  </si>
  <si>
    <t>Charger Flag</t>
  </si>
  <si>
    <t>Column1</t>
  </si>
  <si>
    <t>Sales Groups</t>
  </si>
  <si>
    <t>Sales (Ts)</t>
  </si>
  <si>
    <t>What Sales Group has the highest number of Picklejuice sales?</t>
  </si>
  <si>
    <t>Answer: Detective Comics, 7.000</t>
  </si>
  <si>
    <t>Column Labels</t>
  </si>
  <si>
    <t>Plants</t>
  </si>
  <si>
    <t>Customer Count</t>
  </si>
  <si>
    <t>Do all plants have one of each route type?</t>
  </si>
  <si>
    <t>Answer: Every plant has at least one entry in each column that is blank so the answer is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</si>
</sst>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Futura for Red Bull Book"/>
    </font>
    <font>
      <b/>
      <sz val="11"/>
      <name val="Futura for Red Bull Book"/>
    </font>
    <font>
      <sz val="16"/>
      <color theme="0"/>
      <name val="Futura for Red Bull Book"/>
    </font>
    <font>
      <b/>
      <sz val="16"/>
      <color theme="0"/>
      <name val="Futura for Red Bull Book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Ezeanioma" refreshedDate="45925.407288078706" createdVersion="8" refreshedVersion="8" minRefreshableVersion="3" recordCount="501" xr:uid="{9E263A08-CE13-E245-B0B4-87E332CD3174}">
  <cacheSource type="worksheet">
    <worksheetSource name="Data"/>
  </cacheSource>
  <cacheFields count="10">
    <cacheField name="row_id" numFmtId="0">
      <sharedItems containsSemiMixedTypes="0" containsString="0" containsNumber="1" containsInteger="1" minValue="0" maxValue="499"/>
    </cacheField>
    <cacheField name="Calendar Day" numFmtId="0">
      <sharedItems containsSemiMixedTypes="0" containsString="0" containsNumber="1" containsInteger="1" minValue="20250102" maxValue="20250310"/>
    </cacheField>
    <cacheField name="Customer" numFmtId="0">
      <sharedItems containsSemiMixedTypes="0" containsString="0" containsNumber="1" containsInteger="1" minValue="39000086008" maxValue="39002793232"/>
    </cacheField>
    <cacheField name="plant_act_short_text" numFmtId="0">
      <sharedItems/>
    </cacheField>
    <cacheField name="sales_group_assign_short_text" numFmtId="0">
      <sharedItems count="11">
        <s v="Detective Comics"/>
        <s v="The Villa"/>
        <s v="Brasil"/>
        <s v="Dunder Mifflin"/>
        <s v="Hoth"/>
        <s v="India"/>
        <s v="Cousins Beach"/>
        <s v="Mars"/>
        <s v="Westeros"/>
        <s v="North Pole"/>
        <s v="Austria"/>
      </sharedItems>
    </cacheField>
    <cacheField name="ts" numFmtId="0">
      <sharedItems containsSemiMixedTypes="0" containsString="0" containsNumber="1" minValue="-3" maxValue="12"/>
    </cacheField>
    <cacheField name="material_short_text" numFmtId="0">
      <sharedItems count="74">
        <s v="SPICY MEATBALL 16OZ LS"/>
        <s v="SF MAPLE SYRUP 12OZ LS"/>
        <s v="LEMONADE 12OZ LS"/>
        <s v="COCONUT MILK 12oz LS"/>
        <s v="KETCHUP 12OZ LS"/>
        <s v="KETCHUP 8.4OZ LS"/>
        <s v="SF SUSHI ROLL 12OZ LS"/>
        <s v="SPICY MEATBALL 12OZ LS"/>
        <s v="DIET COOKIE 12OZ 4PK"/>
        <s v="PICKLE JUICE 12OZ LS"/>
        <s v="SPICY MEATBALL 8.4oz 4PK"/>
        <s v="SUSHI ROLL 12OZ LS"/>
        <s v="PICKLE JUICE 8.4OZ LS"/>
        <s v="SPICY MEATBALL 8.4OZ 12PK"/>
        <s v="DIET COOKIE 8.4OZ 4PK"/>
        <s v="MAPLE SYRUP 8.4OZ LS"/>
        <s v="MAPLE SYRUP 12OZ LS"/>
        <s v="STRAWBERRY MILKSHAKE 12OZ LS"/>
        <s v="DIET SODA 12OZ LS"/>
        <s v="SF SUSHI ROLL 8.4OZ LS"/>
        <s v="SF MAPLE SYRUP 8.4OZ 4P"/>
        <s v="BLUEBERRY SMOOTHIE 8.4OZ LS"/>
        <s v="SF ICE CREAM 12OZ LS"/>
        <s v="DIET COOKIE 20OZ LS"/>
        <s v="DIET COOKIE 8.4OZ 12PK"/>
        <s v="WASABI BANANA PUDDING 12OZ LS"/>
        <s v="SPICY MEATBALL 20oz LS"/>
        <s v="DIET COOKIE 12oz"/>
        <s v="DIET COOKIE 8.4OZ LS"/>
        <s v="SUSHI ROLL 12OZ 4PK"/>
        <s v="DIET COOKIE 16OZ LS"/>
        <s v="LEMONADE 8.4OZ LS"/>
        <s v="MAPLE SYRUP 12OZ 4PK"/>
        <s v="COCONUT MILK 8.4OZ LS"/>
        <s v="SPICY MEATBALL 8.4OZ LS"/>
        <s v="SF KETCHUP 8.4OZ 4P"/>
        <s v="SF STRAWBERRY MILKSHAKE 12OZ 4PK"/>
        <s v="STRAWBERRY MILKSHAKE 12OZ 4PK"/>
        <s v="LEMONADE 12OZ 4PK"/>
        <s v="SUSHI ROLL 8.4OZ LS"/>
        <s v="PEACH COBBLER 12oz LS"/>
        <s v="ICE CREAM 12OZ LS"/>
        <s v="AVOCADO TOAST 8.4oz 4p"/>
        <s v="DIET SODA 8.4OZ LS"/>
        <s v="STRAWBERRY MILKSHAKE 8.4OZ 4PK"/>
        <s v="BLUEBERRY SMOOTHIE 12oz LS"/>
        <s v="SF STRAWBERRY MILKSHAKE 12OZ LS"/>
        <s v="SF MAPLE SYRUP 8.4OZ LS"/>
        <s v="SF STRAWBERRY MILKSHAKE 8.4OZ LS"/>
        <s v="SF KETCHUP 12OZ LS"/>
        <s v="ICE CREAM 8.4OZ LS"/>
        <s v="SF KETCHUP 12OZ 4P"/>
        <s v="PICKLE JUICE 8.4OZ 4PK"/>
        <s v="WASABI BANANA PUDDING 8.4OZ 4PK"/>
        <s v="SF LEMONADE 12OZ LS"/>
        <s v="STRAWBERRY MILKSHAKE 8.4OZ LS"/>
        <s v="AVOCADO TOAST 12oz LS"/>
        <s v="PEACH COBBLER 8.4oz LS"/>
        <s v="BLUEBERRY SMOOTHIE 12OZ 4PK"/>
        <s v="VP Mint 8.4OZ 12PK"/>
        <s v="SPICY MEATBALL 12OZ 4PK"/>
        <s v="SF LEMONADE 8.4OZ LS"/>
        <s v="KETCHUP 8.4oz 4PK"/>
        <s v="ICE PC 8.4OZ LS"/>
        <s v="AVOCADO TOAST 8.4oz LS"/>
        <s v="FLAT SODA 8.4OZ LS"/>
        <s v="SF VAR PK 8.4OZ 12P"/>
        <s v="WASABI BANANA PUDDING 8.4OZ LS"/>
        <s v="WASABI 12OZ LS"/>
        <s v="KETCHUP 12OZ 4PK"/>
        <s v="SF ICE CREAM 8.4OZ LS"/>
        <s v="MAPLE SYRUP 8.4OZ 4PK"/>
        <s v="SUSHI ROLL 8.4OZ 4P"/>
        <s v="SF KETCHUP 8.4OZ LS"/>
      </sharedItems>
    </cacheField>
    <cacheField name="plant_assign_short_text" numFmtId="0">
      <sharedItems containsBlank="1"/>
    </cacheField>
    <cacheField name="Route Type" numFmtId="0">
      <sharedItems containsBlank="1" count="4">
        <s v="Mustang"/>
        <s v="E-Type"/>
        <s v="Cobra"/>
        <m/>
      </sharedItems>
    </cacheField>
    <cacheField name="RBDC ROU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Ezeanioma" refreshedDate="45925.437007175926" createdVersion="8" refreshedVersion="8" minRefreshableVersion="3" recordCount="500" xr:uid="{BFAE9DA7-E4B5-7F46-9440-5004C9833D6A}">
  <cacheSource type="worksheet">
    <worksheetSource ref="A1:H501" sheet="Liberty"/>
  </cacheSource>
  <cacheFields count="8">
    <cacheField name="row_id" numFmtId="0">
      <sharedItems containsSemiMixedTypes="0" containsString="0" containsNumber="1" containsInteger="1" minValue="0" maxValue="499"/>
    </cacheField>
    <cacheField name="Calendar Day" numFmtId="0">
      <sharedItems containsMixedTypes="1" containsNumber="1" containsInteger="1" minValue="20250225" maxValue="20250225"/>
    </cacheField>
    <cacheField name="Customer" numFmtId="0">
      <sharedItems containsSemiMixedTypes="0" containsString="0" containsNumber="1" containsInteger="1" minValue="39000086008" maxValue="39002793232"/>
    </cacheField>
    <cacheField name="plant_act_short_text" numFmtId="0">
      <sharedItems/>
    </cacheField>
    <cacheField name="sales_group_assign_short_text" numFmtId="0">
      <sharedItems count="11">
        <s v="Brasil"/>
        <s v="North Pole"/>
        <s v="India"/>
        <s v="Detective Comics"/>
        <s v="Westeros"/>
        <s v="The Villa"/>
        <s v="Mars"/>
        <s v="Hoth"/>
        <s v="Dunder Mifflin"/>
        <s v="Cousins Beach"/>
        <s v="Austria"/>
      </sharedItems>
    </cacheField>
    <cacheField name="ts" numFmtId="0">
      <sharedItems containsSemiMixedTypes="0" containsString="0" containsNumber="1" minValue="-3" maxValue="12"/>
    </cacheField>
    <cacheField name="material_short_text" numFmtId="0">
      <sharedItems/>
    </cacheField>
    <cacheField name="flavor" numFmtId="0">
      <sharedItems count="27">
        <s v="PICKLE JUICE"/>
        <s v="DIET SODA"/>
        <s v="SF SUSHI ROLL"/>
        <s v="SF MAPLE SYRUP"/>
        <s v="BLUEBERRY SMOOTHIE"/>
        <s v="SPICY MEATBALL"/>
        <s v="SF ICE CREAM"/>
        <s v="DIET COOKIE"/>
        <s v="WASABI BANANA PUDDING"/>
        <s v="DIET"/>
        <s v="SUSHI ROLL"/>
        <s v="LEMONADE"/>
        <s v="MAPLE SYRUP"/>
        <s v="COCONUT MILK"/>
        <s v="KETCHUP"/>
        <s v="SF KETCHUP"/>
        <s v="SF STRAWBERRY MILKSHAKE"/>
        <s v="STRAWBERRY MILKSHAKE"/>
        <s v="PEACH COBBLER"/>
        <s v="AVOCADO TOAST"/>
        <s v="ICE CREAM"/>
        <s v="SF LEMONADE"/>
        <s v="ICE PC"/>
        <s v="FLAT SODA"/>
        <s v="SF VAR PK"/>
        <s v="VP Mint"/>
        <s v="WASAB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Ezeanioma" refreshedDate="45925.453342013891" createdVersion="8" refreshedVersion="8" minRefreshableVersion="3" recordCount="500" xr:uid="{6BCCF1CF-12F6-D945-B83D-9350D775BD9C}">
  <cacheSource type="worksheet">
    <worksheetSource ref="A1:J501" sheet="Liberty"/>
  </cacheSource>
  <cacheFields count="10">
    <cacheField name="row_id" numFmtId="0">
      <sharedItems containsSemiMixedTypes="0" containsString="0" containsNumber="1" containsInteger="1" minValue="0" maxValue="499"/>
    </cacheField>
    <cacheField name="Calendar Day" numFmtId="0">
      <sharedItems containsMixedTypes="1" containsNumber="1" containsInteger="1" minValue="20250225" maxValue="20250225"/>
    </cacheField>
    <cacheField name="Customer" numFmtId="0">
      <sharedItems containsSemiMixedTypes="0" containsString="0" containsNumber="1" containsInteger="1" minValue="39000086008" maxValue="39002793232"/>
    </cacheField>
    <cacheField name="plant_act_short_text" numFmtId="0">
      <sharedItems/>
    </cacheField>
    <cacheField name="sales_group_assign_short_text" numFmtId="0">
      <sharedItems/>
    </cacheField>
    <cacheField name="ts" numFmtId="0">
      <sharedItems containsSemiMixedTypes="0" containsString="0" containsNumber="1" minValue="-3" maxValue="12"/>
    </cacheField>
    <cacheField name="material_short_text" numFmtId="0">
      <sharedItems/>
    </cacheField>
    <cacheField name="flavor" numFmtId="0">
      <sharedItems/>
    </cacheField>
    <cacheField name="real date" numFmtId="14">
      <sharedItems containsSemiMixedTypes="0" containsNonDate="0" containsDate="1" containsString="0" minDate="2025-01-02T00:00:00" maxDate="2025-03-11T00:00:00"/>
    </cacheField>
    <cacheField name="Year-Month" numFmtId="0">
      <sharedItems count="3">
        <s v="2025-01"/>
        <s v="2025-03"/>
        <s v="2025-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el Ezeanioma" refreshedDate="45925.534389930559" createdVersion="8" refreshedVersion="8" minRefreshableVersion="3" recordCount="500" xr:uid="{34B6D495-5001-4346-A247-812C23EED1FB}">
  <cacheSource type="worksheet">
    <worksheetSource name="Case_Study_Route_Data"/>
  </cacheSource>
  <cacheFields count="6">
    <cacheField name="row_id" numFmtId="0">
      <sharedItems containsSemiMixedTypes="0" containsString="0" containsNumber="1" containsInteger="1" minValue="0" maxValue="499"/>
    </cacheField>
    <cacheField name="plant_assign_short_text" numFmtId="0">
      <sharedItems count="14">
        <s v="Casa Amor"/>
        <s v="Scranton"/>
        <s v="Mumbai"/>
        <s v="Metropolis"/>
        <s v="Red Outpost"/>
        <s v="The Wall"/>
        <s v="Salzburg"/>
        <s v="Hoth"/>
        <s v="House Stark"/>
        <s v="Gotham"/>
        <s v="Nashua"/>
        <s v="Summer House"/>
        <s v="Rio de Janiero"/>
        <s v="Santas Workshop"/>
      </sharedItems>
    </cacheField>
    <cacheField name="Route Type" numFmtId="0">
      <sharedItems count="7">
        <s v="E-Type"/>
        <s v="Cobra"/>
        <s v="Mustang"/>
        <s v="Charger"/>
        <s v="FR-S"/>
        <s v="Sandero"/>
        <s v="Phantom"/>
      </sharedItems>
    </cacheField>
    <cacheField name="RBDC ROUTE" numFmtId="0">
      <sharedItems/>
    </cacheField>
    <cacheField name="Customer" numFmtId="0">
      <sharedItems containsSemiMixedTypes="0" containsString="0" containsNumber="1" containsInteger="1" minValue="39000086008" maxValue="39002925091"/>
    </cacheField>
    <cacheField name="Column1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n v="5"/>
    <n v="20250304"/>
    <n v="39000200135"/>
    <s v="Gotham"/>
    <x v="0"/>
    <n v="2"/>
    <x v="0"/>
    <s v="Gotham"/>
    <x v="0"/>
    <s v="690A31"/>
  </r>
  <r>
    <n v="7"/>
    <n v="20250224"/>
    <n v="39000086008"/>
    <s v="Casa Amor"/>
    <x v="1"/>
    <n v="1"/>
    <x v="1"/>
    <s v="Casa Amor"/>
    <x v="1"/>
    <s v="39AP14"/>
  </r>
  <r>
    <n v="199"/>
    <n v="20250310"/>
    <n v="39000589394"/>
    <s v="Rio de Janiero"/>
    <x v="2"/>
    <n v="1"/>
    <x v="2"/>
    <s v="Rio de Janiero"/>
    <x v="0"/>
    <s v="69BA11"/>
  </r>
  <r>
    <n v="35"/>
    <n v="20250103"/>
    <n v="39001417039"/>
    <s v="Scranton"/>
    <x v="3"/>
    <n v="1"/>
    <x v="3"/>
    <s v="Scranton"/>
    <x v="0"/>
    <s v="295A09"/>
  </r>
  <r>
    <n v="51"/>
    <n v="20250221"/>
    <n v="39000592072"/>
    <s v="Rio de Janiero"/>
    <x v="2"/>
    <n v="1"/>
    <x v="4"/>
    <s v="Rio de Janiero"/>
    <x v="0"/>
    <s v="69BA13"/>
  </r>
  <r>
    <n v="80"/>
    <n v="20250121"/>
    <n v="39000223054"/>
    <s v="Metropolis"/>
    <x v="0"/>
    <n v="1"/>
    <x v="5"/>
    <s v="Metropolis"/>
    <x v="1"/>
    <s v="690P15"/>
  </r>
  <r>
    <n v="488"/>
    <n v="20250304"/>
    <n v="39000223054"/>
    <s v="Metropolis"/>
    <x v="0"/>
    <n v="1"/>
    <x v="6"/>
    <s v="Metropolis"/>
    <x v="1"/>
    <s v="690P15"/>
  </r>
  <r>
    <n v="451"/>
    <n v="20250122"/>
    <n v="39000658606"/>
    <s v="Hoth"/>
    <x v="4"/>
    <n v="2"/>
    <x v="7"/>
    <s v="Hoth"/>
    <x v="0"/>
    <s v="592A11"/>
  </r>
  <r>
    <n v="83"/>
    <n v="20250210"/>
    <n v="39000591344"/>
    <s v="Rio de Janiero"/>
    <x v="2"/>
    <n v="1"/>
    <x v="8"/>
    <s v="Rio de Janiero"/>
    <x v="0"/>
    <s v="69BA15"/>
  </r>
  <r>
    <n v="83"/>
    <n v="20250210"/>
    <n v="39000591344"/>
    <s v="Rio de Janiero"/>
    <x v="2"/>
    <n v="1"/>
    <x v="8"/>
    <s v="Rio de Janiero"/>
    <x v="0"/>
    <s v="69BA15"/>
  </r>
  <r>
    <n v="105"/>
    <n v="20250114"/>
    <n v="39000665080"/>
    <s v="Hoth"/>
    <x v="4"/>
    <n v="1"/>
    <x v="9"/>
    <s v="Hoth"/>
    <x v="0"/>
    <s v="592A15"/>
  </r>
  <r>
    <n v="106"/>
    <n v="20250205"/>
    <n v="39000588588"/>
    <s v="Rio de Janiero"/>
    <x v="2"/>
    <n v="1"/>
    <x v="10"/>
    <s v="Rio de Janiero"/>
    <x v="2"/>
    <s v="69BM06"/>
  </r>
  <r>
    <n v="347"/>
    <n v="20250107"/>
    <n v="39000240981"/>
    <s v="Gotham"/>
    <x v="0"/>
    <n v="2"/>
    <x v="7"/>
    <s v="Gotham"/>
    <x v="0"/>
    <s v="690A28"/>
  </r>
  <r>
    <n v="132"/>
    <n v="20250226"/>
    <n v="39000592683"/>
    <s v="Rio de Janiero"/>
    <x v="2"/>
    <n v="1"/>
    <x v="11"/>
    <s v="Rio de Janiero"/>
    <x v="2"/>
    <s v="69BM93"/>
  </r>
  <r>
    <n v="212"/>
    <n v="20250219"/>
    <n v="39000203086"/>
    <s v="Gotham"/>
    <x v="0"/>
    <n v="1"/>
    <x v="12"/>
    <s v="Gotham"/>
    <x v="0"/>
    <s v="690A09"/>
  </r>
  <r>
    <n v="242"/>
    <n v="20250117"/>
    <n v="39000591409"/>
    <s v="Rio de Janiero"/>
    <x v="2"/>
    <n v="1"/>
    <x v="13"/>
    <s v="Rio de Janiero"/>
    <x v="2"/>
    <s v="69BM05"/>
  </r>
  <r>
    <n v="299"/>
    <n v="20250128"/>
    <n v="39000965029"/>
    <s v="Mumbai"/>
    <x v="5"/>
    <n v="2"/>
    <x v="9"/>
    <s v="Mumbai"/>
    <x v="2"/>
    <s v="790M03"/>
  </r>
  <r>
    <n v="403"/>
    <n v="20250307"/>
    <n v="39001550913"/>
    <s v="Summer House"/>
    <x v="6"/>
    <n v="1"/>
    <x v="14"/>
    <s v="Summer House"/>
    <x v="2"/>
    <s v="593M09"/>
  </r>
  <r>
    <n v="423"/>
    <n v="20250226"/>
    <n v="39000341328"/>
    <s v="Red Outpost"/>
    <x v="7"/>
    <n v="1"/>
    <x v="15"/>
    <s v="Red Outpost"/>
    <x v="0"/>
    <s v="398A10"/>
  </r>
  <r>
    <n v="471"/>
    <n v="20250211"/>
    <n v="39000285168"/>
    <s v="House Stark"/>
    <x v="8"/>
    <n v="12"/>
    <x v="13"/>
    <s v="House Stark"/>
    <x v="2"/>
    <s v="393M07"/>
  </r>
  <r>
    <n v="492"/>
    <n v="20250305"/>
    <n v="39000662519"/>
    <s v="Hoth"/>
    <x v="4"/>
    <n v="3"/>
    <x v="16"/>
    <s v="Hoth"/>
    <x v="0"/>
    <s v="592A18"/>
  </r>
  <r>
    <n v="426"/>
    <n v="20250225"/>
    <n v="39001585168"/>
    <s v="Scranton"/>
    <x v="3"/>
    <n v="2"/>
    <x v="0"/>
    <s v="Scranton"/>
    <x v="0"/>
    <s v="295A20"/>
  </r>
  <r>
    <n v="422"/>
    <n v="20250304"/>
    <n v="39000337155"/>
    <s v="Red Outpost"/>
    <x v="7"/>
    <n v="1"/>
    <x v="17"/>
    <s v="Red Outpost"/>
    <x v="2"/>
    <s v="398M06"/>
  </r>
  <r>
    <n v="0"/>
    <n v="20250129"/>
    <n v="39000590031"/>
    <s v="Rio de Janiero"/>
    <x v="2"/>
    <n v="1"/>
    <x v="9"/>
    <m/>
    <x v="3"/>
    <m/>
  </r>
  <r>
    <n v="1"/>
    <n v="20250117"/>
    <n v="39000592644"/>
    <s v="Rio de Janiero"/>
    <x v="2"/>
    <n v="1"/>
    <x v="18"/>
    <m/>
    <x v="3"/>
    <m/>
  </r>
  <r>
    <n v="2"/>
    <n v="20250304"/>
    <n v="39002246465"/>
    <s v="Santas Workshop"/>
    <x v="9"/>
    <n v="1"/>
    <x v="19"/>
    <m/>
    <x v="3"/>
    <m/>
  </r>
  <r>
    <n v="3"/>
    <n v="20250224"/>
    <n v="39000592761"/>
    <s v="Rio de Janiero"/>
    <x v="2"/>
    <n v="-0.83299999999999996"/>
    <x v="20"/>
    <m/>
    <x v="3"/>
    <m/>
  </r>
  <r>
    <n v="4"/>
    <n v="20250218"/>
    <n v="39000965848"/>
    <s v="Mumbai"/>
    <x v="5"/>
    <n v="1"/>
    <x v="21"/>
    <m/>
    <x v="3"/>
    <m/>
  </r>
  <r>
    <n v="6"/>
    <n v="20250130"/>
    <n v="39000270530"/>
    <s v="The Wall"/>
    <x v="8"/>
    <n v="1"/>
    <x v="22"/>
    <m/>
    <x v="3"/>
    <m/>
  </r>
  <r>
    <n v="8"/>
    <n v="20250122"/>
    <n v="39000338741"/>
    <s v="Red Outpost"/>
    <x v="7"/>
    <n v="1"/>
    <x v="23"/>
    <m/>
    <x v="3"/>
    <m/>
  </r>
  <r>
    <n v="9"/>
    <n v="20250217"/>
    <n v="39000338247"/>
    <s v="Red Outpost"/>
    <x v="7"/>
    <n v="2"/>
    <x v="24"/>
    <m/>
    <x v="3"/>
    <m/>
  </r>
  <r>
    <n v="10"/>
    <n v="20250102"/>
    <n v="39001721837"/>
    <s v="Casa Amor"/>
    <x v="1"/>
    <n v="1"/>
    <x v="9"/>
    <m/>
    <x v="3"/>
    <m/>
  </r>
  <r>
    <n v="11"/>
    <n v="20250107"/>
    <n v="39000593008"/>
    <s v="Rio de Janiero"/>
    <x v="2"/>
    <n v="1"/>
    <x v="18"/>
    <m/>
    <x v="3"/>
    <m/>
  </r>
  <r>
    <n v="12"/>
    <n v="20250206"/>
    <n v="39000661479"/>
    <s v="Hoth"/>
    <x v="4"/>
    <n v="3"/>
    <x v="7"/>
    <m/>
    <x v="3"/>
    <m/>
  </r>
  <r>
    <n v="13"/>
    <n v="20250225"/>
    <n v="39000588380"/>
    <s v="Rio de Janiero"/>
    <x v="2"/>
    <n v="1"/>
    <x v="25"/>
    <m/>
    <x v="3"/>
    <m/>
  </r>
  <r>
    <n v="14"/>
    <n v="20250106"/>
    <n v="39000589030"/>
    <s v="Rio de Janiero"/>
    <x v="2"/>
    <n v="1"/>
    <x v="26"/>
    <m/>
    <x v="3"/>
    <m/>
  </r>
  <r>
    <n v="15"/>
    <n v="20250117"/>
    <n v="39000227929"/>
    <s v="Gotham"/>
    <x v="0"/>
    <n v="1"/>
    <x v="23"/>
    <m/>
    <x v="3"/>
    <m/>
  </r>
  <r>
    <n v="16"/>
    <n v="20250102"/>
    <n v="39000214487"/>
    <s v="Metropolis"/>
    <x v="0"/>
    <n v="2"/>
    <x v="27"/>
    <m/>
    <x v="3"/>
    <m/>
  </r>
  <r>
    <n v="17"/>
    <n v="20250220"/>
    <n v="39000233038"/>
    <s v="Gotham"/>
    <x v="0"/>
    <n v="1"/>
    <x v="28"/>
    <m/>
    <x v="3"/>
    <m/>
  </r>
  <r>
    <n v="18"/>
    <n v="20250121"/>
    <n v="39000659945"/>
    <s v="Hoth"/>
    <x v="4"/>
    <n v="1"/>
    <x v="18"/>
    <m/>
    <x v="3"/>
    <m/>
  </r>
  <r>
    <n v="19"/>
    <n v="20250306"/>
    <n v="39000343330"/>
    <s v="Red Outpost"/>
    <x v="7"/>
    <n v="1"/>
    <x v="19"/>
    <m/>
    <x v="3"/>
    <m/>
  </r>
  <r>
    <n v="20"/>
    <n v="20250131"/>
    <n v="39000667238"/>
    <s v="Hoth"/>
    <x v="4"/>
    <n v="1"/>
    <x v="29"/>
    <m/>
    <x v="3"/>
    <m/>
  </r>
  <r>
    <n v="21"/>
    <n v="20250211"/>
    <n v="39000957619"/>
    <s v="Mumbai"/>
    <x v="5"/>
    <n v="1"/>
    <x v="30"/>
    <m/>
    <x v="3"/>
    <m/>
  </r>
  <r>
    <n v="22"/>
    <n v="20250305"/>
    <n v="39000658580"/>
    <s v="Hoth"/>
    <x v="4"/>
    <n v="2"/>
    <x v="31"/>
    <m/>
    <x v="3"/>
    <m/>
  </r>
  <r>
    <n v="23"/>
    <n v="20250227"/>
    <n v="39000338312"/>
    <s v="Red Outpost"/>
    <x v="7"/>
    <n v="1"/>
    <x v="13"/>
    <m/>
    <x v="3"/>
    <m/>
  </r>
  <r>
    <n v="24"/>
    <n v="20250310"/>
    <n v="39000220194"/>
    <s v="Gotham"/>
    <x v="0"/>
    <n v="1"/>
    <x v="32"/>
    <m/>
    <x v="3"/>
    <m/>
  </r>
  <r>
    <n v="453"/>
    <n v="20250106"/>
    <n v="39000220194"/>
    <s v="Gotham"/>
    <x v="0"/>
    <n v="6"/>
    <x v="13"/>
    <m/>
    <x v="3"/>
    <m/>
  </r>
  <r>
    <n v="25"/>
    <n v="20250214"/>
    <n v="39000343408"/>
    <s v="Red Outpost"/>
    <x v="7"/>
    <n v="2"/>
    <x v="7"/>
    <m/>
    <x v="3"/>
    <m/>
  </r>
  <r>
    <n v="26"/>
    <n v="20250219"/>
    <n v="39000196846"/>
    <s v="Gotham"/>
    <x v="0"/>
    <n v="1"/>
    <x v="33"/>
    <m/>
    <x v="3"/>
    <m/>
  </r>
  <r>
    <n v="27"/>
    <n v="20250206"/>
    <n v="39000197990"/>
    <s v="Metropolis"/>
    <x v="0"/>
    <n v="1"/>
    <x v="25"/>
    <m/>
    <x v="3"/>
    <m/>
  </r>
  <r>
    <n v="28"/>
    <n v="20250227"/>
    <n v="39000337753"/>
    <s v="Red Outpost"/>
    <x v="7"/>
    <n v="1"/>
    <x v="4"/>
    <m/>
    <x v="3"/>
    <m/>
  </r>
  <r>
    <n v="29"/>
    <n v="20250129"/>
    <n v="39001725984"/>
    <s v="Scranton"/>
    <x v="3"/>
    <n v="1"/>
    <x v="4"/>
    <m/>
    <x v="3"/>
    <m/>
  </r>
  <r>
    <n v="30"/>
    <n v="20250221"/>
    <n v="39001434927"/>
    <s v="Scranton"/>
    <x v="3"/>
    <n v="2"/>
    <x v="34"/>
    <m/>
    <x v="3"/>
    <m/>
  </r>
  <r>
    <n v="31"/>
    <n v="20250225"/>
    <n v="39000594919"/>
    <s v="Rio de Janiero"/>
    <x v="2"/>
    <n v="1"/>
    <x v="0"/>
    <m/>
    <x v="3"/>
    <m/>
  </r>
  <r>
    <n v="32"/>
    <n v="20250211"/>
    <n v="39000217126"/>
    <s v="Gotham"/>
    <x v="0"/>
    <n v="1"/>
    <x v="5"/>
    <m/>
    <x v="3"/>
    <m/>
  </r>
  <r>
    <n v="33"/>
    <n v="20250219"/>
    <n v="39000336752"/>
    <s v="Red Outpost"/>
    <x v="7"/>
    <n v="1"/>
    <x v="25"/>
    <m/>
    <x v="3"/>
    <m/>
  </r>
  <r>
    <n v="34"/>
    <n v="20250303"/>
    <n v="39000217074"/>
    <s v="Gotham"/>
    <x v="0"/>
    <n v="1"/>
    <x v="35"/>
    <m/>
    <x v="3"/>
    <m/>
  </r>
  <r>
    <n v="36"/>
    <n v="20250224"/>
    <n v="39000337532"/>
    <s v="Red Outpost"/>
    <x v="7"/>
    <n v="1"/>
    <x v="36"/>
    <m/>
    <x v="3"/>
    <m/>
  </r>
  <r>
    <n v="37"/>
    <n v="20250228"/>
    <n v="39001417507"/>
    <s v="Scranton"/>
    <x v="3"/>
    <n v="4"/>
    <x v="7"/>
    <m/>
    <x v="3"/>
    <m/>
  </r>
  <r>
    <n v="38"/>
    <n v="20250226"/>
    <n v="39000597025"/>
    <s v="Rio de Janiero"/>
    <x v="2"/>
    <n v="1"/>
    <x v="6"/>
    <m/>
    <x v="3"/>
    <m/>
  </r>
  <r>
    <n v="39"/>
    <n v="20250214"/>
    <n v="39000234273"/>
    <s v="Gotham"/>
    <x v="0"/>
    <n v="1"/>
    <x v="9"/>
    <m/>
    <x v="3"/>
    <m/>
  </r>
  <r>
    <n v="40"/>
    <n v="20250207"/>
    <n v="39001488136"/>
    <s v="Summer House"/>
    <x v="6"/>
    <n v="1"/>
    <x v="18"/>
    <m/>
    <x v="3"/>
    <m/>
  </r>
  <r>
    <n v="41"/>
    <n v="20250115"/>
    <n v="39000203164"/>
    <s v="Gotham"/>
    <x v="0"/>
    <n v="1"/>
    <x v="28"/>
    <m/>
    <x v="3"/>
    <m/>
  </r>
  <r>
    <n v="42"/>
    <n v="20250210"/>
    <n v="39000664963"/>
    <s v="Hoth"/>
    <x v="4"/>
    <n v="1"/>
    <x v="37"/>
    <m/>
    <x v="3"/>
    <m/>
  </r>
  <r>
    <n v="43"/>
    <n v="20250211"/>
    <n v="39000280943"/>
    <s v="House Stark"/>
    <x v="8"/>
    <n v="1"/>
    <x v="28"/>
    <m/>
    <x v="3"/>
    <m/>
  </r>
  <r>
    <n v="44"/>
    <n v="20250205"/>
    <n v="39001619709"/>
    <s v="Summer House"/>
    <x v="6"/>
    <n v="1"/>
    <x v="18"/>
    <m/>
    <x v="3"/>
    <m/>
  </r>
  <r>
    <n v="45"/>
    <n v="20250304"/>
    <n v="39000220714"/>
    <s v="Gotham"/>
    <x v="0"/>
    <n v="4"/>
    <x v="38"/>
    <m/>
    <x v="3"/>
    <m/>
  </r>
  <r>
    <n v="46"/>
    <n v="20250106"/>
    <n v="39001587833"/>
    <s v="Scranton"/>
    <x v="3"/>
    <n v="5"/>
    <x v="7"/>
    <m/>
    <x v="3"/>
    <m/>
  </r>
  <r>
    <n v="47"/>
    <n v="20250310"/>
    <n v="39000585429"/>
    <s v="Rio de Janiero"/>
    <x v="2"/>
    <n v="1"/>
    <x v="39"/>
    <m/>
    <x v="3"/>
    <m/>
  </r>
  <r>
    <n v="48"/>
    <n v="20250123"/>
    <n v="39002665507"/>
    <s v="House Stark"/>
    <x v="8"/>
    <n v="1"/>
    <x v="39"/>
    <m/>
    <x v="3"/>
    <m/>
  </r>
  <r>
    <n v="49"/>
    <n v="20250307"/>
    <n v="39000585663"/>
    <s v="Rio de Janiero"/>
    <x v="2"/>
    <n v="-8.3000000000000004E-2"/>
    <x v="26"/>
    <m/>
    <x v="3"/>
    <m/>
  </r>
  <r>
    <n v="50"/>
    <n v="20250220"/>
    <n v="39001542060"/>
    <s v="Scranton"/>
    <x v="3"/>
    <n v="2"/>
    <x v="18"/>
    <m/>
    <x v="3"/>
    <m/>
  </r>
  <r>
    <n v="52"/>
    <n v="20250115"/>
    <n v="39000233207"/>
    <s v="Gotham"/>
    <x v="0"/>
    <n v="1"/>
    <x v="40"/>
    <m/>
    <x v="3"/>
    <m/>
  </r>
  <r>
    <n v="53"/>
    <n v="20250226"/>
    <n v="39001549574"/>
    <s v="Scranton"/>
    <x v="3"/>
    <n v="1"/>
    <x v="8"/>
    <m/>
    <x v="3"/>
    <m/>
  </r>
  <r>
    <n v="54"/>
    <n v="20250107"/>
    <n v="39001434849"/>
    <s v="Scranton"/>
    <x v="3"/>
    <n v="2"/>
    <x v="34"/>
    <m/>
    <x v="3"/>
    <m/>
  </r>
  <r>
    <n v="55"/>
    <n v="20250217"/>
    <n v="39002246933"/>
    <s v="Santas Workshop"/>
    <x v="9"/>
    <n v="1"/>
    <x v="4"/>
    <m/>
    <x v="3"/>
    <m/>
  </r>
  <r>
    <n v="116"/>
    <n v="20250113"/>
    <n v="39002246933"/>
    <s v="Santas Workshop"/>
    <x v="9"/>
    <n v="1"/>
    <x v="41"/>
    <m/>
    <x v="3"/>
    <m/>
  </r>
  <r>
    <n v="56"/>
    <n v="20250122"/>
    <n v="39001713088"/>
    <s v="Casa Amor"/>
    <x v="1"/>
    <n v="1"/>
    <x v="16"/>
    <m/>
    <x v="3"/>
    <m/>
  </r>
  <r>
    <n v="57"/>
    <n v="20250114"/>
    <n v="39000661856"/>
    <s v="Hoth"/>
    <x v="4"/>
    <n v="-3"/>
    <x v="28"/>
    <m/>
    <x v="3"/>
    <m/>
  </r>
  <r>
    <n v="58"/>
    <n v="20250107"/>
    <n v="39001712386"/>
    <s v="Casa Amor"/>
    <x v="1"/>
    <n v="1"/>
    <x v="42"/>
    <m/>
    <x v="3"/>
    <m/>
  </r>
  <r>
    <n v="59"/>
    <n v="20250127"/>
    <n v="39002363153"/>
    <s v="Hoth"/>
    <x v="4"/>
    <n v="2"/>
    <x v="22"/>
    <m/>
    <x v="3"/>
    <m/>
  </r>
  <r>
    <n v="60"/>
    <n v="20250113"/>
    <n v="39001700140"/>
    <s v="Casa Amor"/>
    <x v="1"/>
    <n v="1"/>
    <x v="3"/>
    <m/>
    <x v="3"/>
    <m/>
  </r>
  <r>
    <n v="61"/>
    <n v="20250210"/>
    <n v="39000949832"/>
    <s v="Mumbai"/>
    <x v="5"/>
    <n v="1"/>
    <x v="21"/>
    <m/>
    <x v="3"/>
    <m/>
  </r>
  <r>
    <n v="308"/>
    <n v="20250203"/>
    <n v="39000949832"/>
    <s v="Mumbai"/>
    <x v="5"/>
    <n v="1"/>
    <x v="3"/>
    <m/>
    <x v="3"/>
    <m/>
  </r>
  <r>
    <n v="62"/>
    <n v="20250108"/>
    <n v="39000198731"/>
    <s v="Gotham"/>
    <x v="0"/>
    <n v="3"/>
    <x v="43"/>
    <m/>
    <x v="3"/>
    <m/>
  </r>
  <r>
    <n v="63"/>
    <n v="20250227"/>
    <n v="39000960986"/>
    <s v="Mumbai"/>
    <x v="5"/>
    <n v="1"/>
    <x v="44"/>
    <m/>
    <x v="3"/>
    <m/>
  </r>
  <r>
    <n v="64"/>
    <n v="20250123"/>
    <n v="39000662402"/>
    <s v="Hoth"/>
    <x v="4"/>
    <n v="2"/>
    <x v="25"/>
    <m/>
    <x v="3"/>
    <m/>
  </r>
  <r>
    <n v="65"/>
    <n v="20250131"/>
    <n v="39001519713"/>
    <s v="Scranton"/>
    <x v="3"/>
    <n v="1"/>
    <x v="34"/>
    <m/>
    <x v="3"/>
    <m/>
  </r>
  <r>
    <n v="66"/>
    <n v="20250210"/>
    <n v="39001551628"/>
    <s v="Scranton"/>
    <x v="3"/>
    <n v="2"/>
    <x v="34"/>
    <m/>
    <x v="3"/>
    <m/>
  </r>
  <r>
    <n v="67"/>
    <n v="20250116"/>
    <n v="39001486329"/>
    <s v="Summer House"/>
    <x v="6"/>
    <n v="1"/>
    <x v="45"/>
    <m/>
    <x v="3"/>
    <m/>
  </r>
  <r>
    <n v="68"/>
    <n v="20250115"/>
    <n v="39000240968"/>
    <s v="Gotham"/>
    <x v="0"/>
    <n v="1"/>
    <x v="0"/>
    <m/>
    <x v="3"/>
    <m/>
  </r>
  <r>
    <n v="69"/>
    <n v="20250117"/>
    <n v="39002192853"/>
    <s v="Santas Workshop"/>
    <x v="9"/>
    <n v="1"/>
    <x v="10"/>
    <m/>
    <x v="3"/>
    <m/>
  </r>
  <r>
    <n v="70"/>
    <n v="20250224"/>
    <n v="39000226265"/>
    <s v="Gotham"/>
    <x v="0"/>
    <n v="1"/>
    <x v="33"/>
    <m/>
    <x v="3"/>
    <m/>
  </r>
  <r>
    <n v="71"/>
    <n v="20250107"/>
    <n v="39000965926"/>
    <s v="Mumbai"/>
    <x v="5"/>
    <n v="1"/>
    <x v="17"/>
    <m/>
    <x v="3"/>
    <m/>
  </r>
  <r>
    <n v="72"/>
    <n v="20250106"/>
    <n v="39000281164"/>
    <s v="House Stark"/>
    <x v="8"/>
    <n v="1"/>
    <x v="16"/>
    <m/>
    <x v="3"/>
    <m/>
  </r>
  <r>
    <n v="73"/>
    <n v="20250107"/>
    <n v="39000963014"/>
    <s v="Mumbai"/>
    <x v="5"/>
    <n v="1"/>
    <x v="3"/>
    <m/>
    <x v="3"/>
    <m/>
  </r>
  <r>
    <n v="74"/>
    <n v="20250226"/>
    <n v="39000228020"/>
    <s v="Metropolis"/>
    <x v="0"/>
    <n v="1"/>
    <x v="10"/>
    <m/>
    <x v="3"/>
    <m/>
  </r>
  <r>
    <n v="75"/>
    <n v="20250205"/>
    <n v="39000202462"/>
    <s v="Gotham"/>
    <x v="0"/>
    <n v="-0.25"/>
    <x v="28"/>
    <m/>
    <x v="3"/>
    <m/>
  </r>
  <r>
    <n v="76"/>
    <n v="20250306"/>
    <n v="39000196638"/>
    <s v="Gotham"/>
    <x v="0"/>
    <n v="1"/>
    <x v="39"/>
    <m/>
    <x v="3"/>
    <m/>
  </r>
  <r>
    <n v="77"/>
    <n v="20250128"/>
    <n v="39000971204"/>
    <s v="Mumbai"/>
    <x v="5"/>
    <n v="3"/>
    <x v="0"/>
    <m/>
    <x v="3"/>
    <m/>
  </r>
  <r>
    <n v="78"/>
    <n v="20250103"/>
    <n v="39000281658"/>
    <s v="House Stark"/>
    <x v="8"/>
    <n v="1"/>
    <x v="4"/>
    <m/>
    <x v="3"/>
    <m/>
  </r>
  <r>
    <n v="79"/>
    <n v="20250109"/>
    <n v="39001117298"/>
    <s v="House Stark"/>
    <x v="8"/>
    <n v="1"/>
    <x v="18"/>
    <m/>
    <x v="3"/>
    <m/>
  </r>
  <r>
    <n v="81"/>
    <n v="20250227"/>
    <n v="39002654145"/>
    <s v="Hoth"/>
    <x v="4"/>
    <n v="1"/>
    <x v="17"/>
    <m/>
    <x v="3"/>
    <m/>
  </r>
  <r>
    <n v="249"/>
    <n v="20250103"/>
    <n v="39002654145"/>
    <s v="Hoth"/>
    <x v="4"/>
    <n v="4"/>
    <x v="41"/>
    <m/>
    <x v="3"/>
    <m/>
  </r>
  <r>
    <n v="82"/>
    <n v="20250307"/>
    <n v="39000271297"/>
    <s v="The Wall"/>
    <x v="8"/>
    <n v="1"/>
    <x v="46"/>
    <m/>
    <x v="3"/>
    <m/>
  </r>
  <r>
    <n v="84"/>
    <n v="20250306"/>
    <n v="39002320500"/>
    <s v="Santas Workshop"/>
    <x v="9"/>
    <n v="1"/>
    <x v="26"/>
    <m/>
    <x v="3"/>
    <m/>
  </r>
  <r>
    <n v="322"/>
    <n v="20250109"/>
    <n v="39002320500"/>
    <s v="Santas Workshop"/>
    <x v="9"/>
    <n v="1"/>
    <x v="30"/>
    <m/>
    <x v="3"/>
    <m/>
  </r>
  <r>
    <n v="85"/>
    <n v="20250206"/>
    <n v="39000956319"/>
    <s v="Mumbai"/>
    <x v="5"/>
    <n v="2"/>
    <x v="0"/>
    <m/>
    <x v="3"/>
    <m/>
  </r>
  <r>
    <n v="86"/>
    <n v="20250304"/>
    <n v="39000221728"/>
    <s v="Gotham"/>
    <x v="0"/>
    <n v="1"/>
    <x v="26"/>
    <m/>
    <x v="3"/>
    <m/>
  </r>
  <r>
    <n v="87"/>
    <n v="20250304"/>
    <n v="39000589134"/>
    <s v="Rio de Janiero"/>
    <x v="2"/>
    <n v="2"/>
    <x v="17"/>
    <m/>
    <x v="3"/>
    <m/>
  </r>
  <r>
    <n v="88"/>
    <n v="20250122"/>
    <n v="39001488487"/>
    <s v="Summer House"/>
    <x v="6"/>
    <n v="1"/>
    <x v="30"/>
    <m/>
    <x v="3"/>
    <m/>
  </r>
  <r>
    <n v="89"/>
    <n v="20250210"/>
    <n v="39000222599"/>
    <s v="Gotham"/>
    <x v="0"/>
    <n v="2"/>
    <x v="10"/>
    <m/>
    <x v="3"/>
    <m/>
  </r>
  <r>
    <n v="90"/>
    <n v="20250212"/>
    <n v="39000749892"/>
    <s v="Hoth"/>
    <x v="4"/>
    <n v="1"/>
    <x v="47"/>
    <m/>
    <x v="3"/>
    <m/>
  </r>
  <r>
    <n v="91"/>
    <n v="20250304"/>
    <n v="39000213980"/>
    <s v="Metropolis"/>
    <x v="0"/>
    <n v="1"/>
    <x v="14"/>
    <m/>
    <x v="3"/>
    <m/>
  </r>
  <r>
    <n v="92"/>
    <n v="20250227"/>
    <n v="39002126254"/>
    <s v="Red Outpost"/>
    <x v="7"/>
    <n v="1"/>
    <x v="48"/>
    <m/>
    <x v="3"/>
    <m/>
  </r>
  <r>
    <n v="93"/>
    <n v="20250121"/>
    <n v="39000585975"/>
    <s v="Rio de Janiero"/>
    <x v="2"/>
    <n v="2"/>
    <x v="34"/>
    <m/>
    <x v="3"/>
    <m/>
  </r>
  <r>
    <n v="94"/>
    <n v="20250206"/>
    <n v="39000214175"/>
    <s v="Metropolis"/>
    <x v="0"/>
    <n v="-3"/>
    <x v="18"/>
    <m/>
    <x v="3"/>
    <m/>
  </r>
  <r>
    <n v="95"/>
    <n v="20250103"/>
    <n v="39002227537"/>
    <s v="Santas Workshop"/>
    <x v="9"/>
    <n v="1"/>
    <x v="49"/>
    <m/>
    <x v="3"/>
    <m/>
  </r>
  <r>
    <n v="96"/>
    <n v="20250214"/>
    <n v="39000667108"/>
    <s v="Hoth"/>
    <x v="4"/>
    <n v="1"/>
    <x v="16"/>
    <m/>
    <x v="3"/>
    <m/>
  </r>
  <r>
    <n v="97"/>
    <n v="20250210"/>
    <n v="39000215163"/>
    <s v="Gotham"/>
    <x v="0"/>
    <n v="5"/>
    <x v="34"/>
    <m/>
    <x v="3"/>
    <m/>
  </r>
  <r>
    <n v="98"/>
    <n v="20250205"/>
    <n v="39000959088"/>
    <s v="Mumbai"/>
    <x v="5"/>
    <n v="1"/>
    <x v="50"/>
    <m/>
    <x v="3"/>
    <m/>
  </r>
  <r>
    <n v="99"/>
    <n v="20250218"/>
    <n v="39001453881"/>
    <s v="Summer House"/>
    <x v="6"/>
    <n v="1"/>
    <x v="11"/>
    <m/>
    <x v="3"/>
    <m/>
  </r>
  <r>
    <n v="100"/>
    <n v="20250225"/>
    <n v="39000346164"/>
    <s v="Red Outpost"/>
    <x v="7"/>
    <n v="1"/>
    <x v="45"/>
    <m/>
    <x v="3"/>
    <m/>
  </r>
  <r>
    <n v="101"/>
    <n v="20250213"/>
    <n v="39000337272"/>
    <s v="Red Outpost"/>
    <x v="7"/>
    <n v="1"/>
    <x v="13"/>
    <m/>
    <x v="3"/>
    <m/>
  </r>
  <r>
    <n v="102"/>
    <n v="20250310"/>
    <n v="39000263549"/>
    <s v="The Wall"/>
    <x v="8"/>
    <n v="1"/>
    <x v="11"/>
    <m/>
    <x v="3"/>
    <m/>
  </r>
  <r>
    <n v="103"/>
    <n v="20250305"/>
    <n v="39001709643"/>
    <s v="Casa Amor"/>
    <x v="1"/>
    <n v="1"/>
    <x v="15"/>
    <m/>
    <x v="3"/>
    <m/>
  </r>
  <r>
    <n v="462"/>
    <n v="20250226"/>
    <n v="39001709643"/>
    <s v="Casa Amor"/>
    <x v="1"/>
    <n v="1"/>
    <x v="45"/>
    <m/>
    <x v="3"/>
    <m/>
  </r>
  <r>
    <n v="104"/>
    <n v="20250307"/>
    <n v="39000282308"/>
    <s v="House Stark"/>
    <x v="8"/>
    <n v="1"/>
    <x v="11"/>
    <m/>
    <x v="3"/>
    <m/>
  </r>
  <r>
    <n v="107"/>
    <n v="20250108"/>
    <n v="39000662987"/>
    <s v="Hoth"/>
    <x v="4"/>
    <n v="2"/>
    <x v="5"/>
    <m/>
    <x v="3"/>
    <m/>
  </r>
  <r>
    <n v="108"/>
    <n v="20250310"/>
    <n v="39000284505"/>
    <s v="House Stark"/>
    <x v="8"/>
    <n v="1"/>
    <x v="12"/>
    <m/>
    <x v="3"/>
    <m/>
  </r>
  <r>
    <n v="109"/>
    <n v="20250121"/>
    <n v="39001520168"/>
    <s v="Scranton"/>
    <x v="3"/>
    <n v="2"/>
    <x v="34"/>
    <m/>
    <x v="3"/>
    <m/>
  </r>
  <r>
    <n v="110"/>
    <n v="20250310"/>
    <n v="39000220324"/>
    <s v="Metropolis"/>
    <x v="0"/>
    <n v="1"/>
    <x v="51"/>
    <m/>
    <x v="3"/>
    <m/>
  </r>
  <r>
    <n v="194"/>
    <n v="20250115"/>
    <n v="39000220324"/>
    <s v="Metropolis"/>
    <x v="0"/>
    <n v="6"/>
    <x v="13"/>
    <m/>
    <x v="3"/>
    <m/>
  </r>
  <r>
    <n v="111"/>
    <n v="20250203"/>
    <n v="39001707966"/>
    <s v="Casa Amor"/>
    <x v="1"/>
    <n v="1"/>
    <x v="49"/>
    <m/>
    <x v="3"/>
    <m/>
  </r>
  <r>
    <n v="112"/>
    <n v="20250115"/>
    <n v="39000348946"/>
    <s v="Red Outpost"/>
    <x v="7"/>
    <n v="1"/>
    <x v="27"/>
    <m/>
    <x v="3"/>
    <m/>
  </r>
  <r>
    <n v="113"/>
    <n v="20250218"/>
    <n v="39001525277"/>
    <s v="Scranton"/>
    <x v="3"/>
    <n v="1"/>
    <x v="4"/>
    <m/>
    <x v="3"/>
    <m/>
  </r>
  <r>
    <n v="114"/>
    <n v="20250213"/>
    <n v="39000221624"/>
    <s v="Gotham"/>
    <x v="0"/>
    <n v="1"/>
    <x v="43"/>
    <m/>
    <x v="3"/>
    <m/>
  </r>
  <r>
    <n v="115"/>
    <n v="20250116"/>
    <n v="39000592800"/>
    <s v="Rio de Janiero"/>
    <x v="2"/>
    <n v="1"/>
    <x v="16"/>
    <m/>
    <x v="3"/>
    <m/>
  </r>
  <r>
    <n v="117"/>
    <n v="20250116"/>
    <n v="39000239031"/>
    <s v="Metropolis"/>
    <x v="0"/>
    <n v="1"/>
    <x v="15"/>
    <m/>
    <x v="3"/>
    <m/>
  </r>
  <r>
    <n v="118"/>
    <n v="20250107"/>
    <n v="39000761228"/>
    <s v="Hoth"/>
    <x v="4"/>
    <n v="1"/>
    <x v="45"/>
    <m/>
    <x v="3"/>
    <m/>
  </r>
  <r>
    <n v="119"/>
    <n v="20250129"/>
    <n v="39002244762"/>
    <s v="Santas Workshop"/>
    <x v="9"/>
    <n v="1"/>
    <x v="7"/>
    <m/>
    <x v="3"/>
    <m/>
  </r>
  <r>
    <n v="120"/>
    <n v="20250115"/>
    <n v="39000239733"/>
    <s v="Gotham"/>
    <x v="0"/>
    <n v="1"/>
    <x v="45"/>
    <m/>
    <x v="3"/>
    <m/>
  </r>
  <r>
    <n v="121"/>
    <n v="20250211"/>
    <n v="39000336648"/>
    <s v="Red Outpost"/>
    <x v="7"/>
    <n v="1"/>
    <x v="52"/>
    <m/>
    <x v="3"/>
    <m/>
  </r>
  <r>
    <n v="459"/>
    <n v="20250218"/>
    <n v="39000336648"/>
    <s v="Red Outpost"/>
    <x v="7"/>
    <n v="1"/>
    <x v="53"/>
    <m/>
    <x v="3"/>
    <m/>
  </r>
  <r>
    <n v="122"/>
    <n v="20250109"/>
    <n v="39000959153"/>
    <s v="Mumbai"/>
    <x v="5"/>
    <n v="1"/>
    <x v="18"/>
    <m/>
    <x v="3"/>
    <m/>
  </r>
  <r>
    <n v="123"/>
    <n v="20250114"/>
    <n v="39001719250"/>
    <s v="Casa Amor"/>
    <x v="1"/>
    <n v="-8.3000000000000004E-2"/>
    <x v="30"/>
    <m/>
    <x v="3"/>
    <m/>
  </r>
  <r>
    <n v="124"/>
    <n v="20250207"/>
    <n v="39001461187"/>
    <s v="Scranton"/>
    <x v="3"/>
    <n v="1"/>
    <x v="16"/>
    <m/>
    <x v="3"/>
    <m/>
  </r>
  <r>
    <n v="454"/>
    <n v="20250207"/>
    <n v="39001461187"/>
    <s v="Scranton"/>
    <x v="3"/>
    <n v="1"/>
    <x v="21"/>
    <m/>
    <x v="3"/>
    <m/>
  </r>
  <r>
    <n v="125"/>
    <n v="20250227"/>
    <n v="39001626248"/>
    <s v="Scranton"/>
    <x v="3"/>
    <n v="1"/>
    <x v="46"/>
    <m/>
    <x v="3"/>
    <m/>
  </r>
  <r>
    <n v="126"/>
    <n v="20250227"/>
    <n v="39000657163"/>
    <s v="Hoth"/>
    <x v="4"/>
    <n v="1"/>
    <x v="54"/>
    <m/>
    <x v="3"/>
    <m/>
  </r>
  <r>
    <n v="127"/>
    <n v="20250221"/>
    <n v="39000667004"/>
    <s v="Hoth"/>
    <x v="4"/>
    <n v="1"/>
    <x v="0"/>
    <m/>
    <x v="3"/>
    <m/>
  </r>
  <r>
    <n v="293"/>
    <n v="20250217"/>
    <n v="39000667004"/>
    <s v="Hoth"/>
    <x v="4"/>
    <n v="1"/>
    <x v="11"/>
    <m/>
    <x v="3"/>
    <m/>
  </r>
  <r>
    <n v="128"/>
    <n v="20250226"/>
    <n v="39000344175"/>
    <s v="Red Outpost"/>
    <x v="7"/>
    <n v="1"/>
    <x v="55"/>
    <m/>
    <x v="3"/>
    <m/>
  </r>
  <r>
    <n v="129"/>
    <n v="20250207"/>
    <n v="39000234767"/>
    <s v="Metropolis"/>
    <x v="0"/>
    <n v="3"/>
    <x v="7"/>
    <m/>
    <x v="3"/>
    <m/>
  </r>
  <r>
    <n v="130"/>
    <n v="20250219"/>
    <n v="39001774942"/>
    <s v="Red Outpost"/>
    <x v="7"/>
    <n v="2"/>
    <x v="27"/>
    <m/>
    <x v="3"/>
    <m/>
  </r>
  <r>
    <n v="131"/>
    <n v="20250304"/>
    <n v="39001707004"/>
    <s v="Casa Amor"/>
    <x v="1"/>
    <n v="-0.79200000000000004"/>
    <x v="28"/>
    <m/>
    <x v="3"/>
    <m/>
  </r>
  <r>
    <n v="133"/>
    <n v="20250121"/>
    <n v="39001686464"/>
    <s v="The Wall"/>
    <x v="8"/>
    <n v="3"/>
    <x v="7"/>
    <m/>
    <x v="3"/>
    <m/>
  </r>
  <r>
    <n v="134"/>
    <n v="20250225"/>
    <n v="39000590902"/>
    <s v="Rio de Janiero"/>
    <x v="2"/>
    <n v="3"/>
    <x v="26"/>
    <m/>
    <x v="3"/>
    <m/>
  </r>
  <r>
    <n v="135"/>
    <n v="20250121"/>
    <n v="39000588783"/>
    <s v="Rio de Janiero"/>
    <x v="2"/>
    <n v="1"/>
    <x v="56"/>
    <m/>
    <x v="3"/>
    <m/>
  </r>
  <r>
    <n v="136"/>
    <n v="20250213"/>
    <n v="39000201838"/>
    <s v="Metropolis"/>
    <x v="0"/>
    <n v="1"/>
    <x v="9"/>
    <m/>
    <x v="3"/>
    <m/>
  </r>
  <r>
    <n v="137"/>
    <n v="20250131"/>
    <n v="39000221156"/>
    <s v="Gotham"/>
    <x v="0"/>
    <n v="1"/>
    <x v="16"/>
    <m/>
    <x v="3"/>
    <m/>
  </r>
  <r>
    <n v="138"/>
    <n v="20250304"/>
    <n v="39001969994"/>
    <s v="Gotham"/>
    <x v="0"/>
    <n v="2"/>
    <x v="39"/>
    <m/>
    <x v="3"/>
    <m/>
  </r>
  <r>
    <n v="139"/>
    <n v="20250131"/>
    <n v="39002780388"/>
    <s v="Rio de Janiero"/>
    <x v="2"/>
    <n v="1"/>
    <x v="12"/>
    <m/>
    <x v="3"/>
    <m/>
  </r>
  <r>
    <n v="140"/>
    <n v="20250227"/>
    <n v="39001957995"/>
    <s v="Scranton"/>
    <x v="3"/>
    <n v="1"/>
    <x v="1"/>
    <m/>
    <x v="3"/>
    <m/>
  </r>
  <r>
    <n v="141"/>
    <n v="20250214"/>
    <n v="39002766062"/>
    <s v="Red Outpost"/>
    <x v="7"/>
    <n v="1"/>
    <x v="3"/>
    <m/>
    <x v="3"/>
    <m/>
  </r>
  <r>
    <n v="142"/>
    <n v="20250107"/>
    <n v="39000658632"/>
    <s v="Hoth"/>
    <x v="4"/>
    <n v="1"/>
    <x v="57"/>
    <m/>
    <x v="3"/>
    <m/>
  </r>
  <r>
    <n v="143"/>
    <n v="20250109"/>
    <n v="39000197405"/>
    <s v="Gotham"/>
    <x v="0"/>
    <n v="7"/>
    <x v="7"/>
    <m/>
    <x v="3"/>
    <m/>
  </r>
  <r>
    <n v="144"/>
    <n v="20250304"/>
    <n v="39001431339"/>
    <s v="Scranton"/>
    <x v="3"/>
    <n v="1"/>
    <x v="26"/>
    <m/>
    <x v="3"/>
    <m/>
  </r>
  <r>
    <n v="145"/>
    <n v="20250213"/>
    <n v="39001431456"/>
    <s v="Scranton"/>
    <x v="3"/>
    <n v="1"/>
    <x v="0"/>
    <m/>
    <x v="3"/>
    <m/>
  </r>
  <r>
    <n v="146"/>
    <n v="20250227"/>
    <n v="39000217412"/>
    <s v="Gotham"/>
    <x v="0"/>
    <n v="1"/>
    <x v="31"/>
    <m/>
    <x v="3"/>
    <m/>
  </r>
  <r>
    <n v="270"/>
    <n v="20250123"/>
    <n v="39000217412"/>
    <s v="Gotham"/>
    <x v="0"/>
    <n v="1"/>
    <x v="22"/>
    <m/>
    <x v="3"/>
    <m/>
  </r>
  <r>
    <n v="147"/>
    <n v="20250218"/>
    <n v="39000285064"/>
    <s v="House Stark"/>
    <x v="8"/>
    <n v="2"/>
    <x v="58"/>
    <m/>
    <x v="3"/>
    <m/>
  </r>
  <r>
    <n v="229"/>
    <n v="20250218"/>
    <n v="39000285064"/>
    <s v="House Stark"/>
    <x v="8"/>
    <n v="2"/>
    <x v="59"/>
    <m/>
    <x v="3"/>
    <m/>
  </r>
  <r>
    <n v="148"/>
    <n v="20250103"/>
    <n v="39000979888"/>
    <s v="Mumbai"/>
    <x v="5"/>
    <n v="1"/>
    <x v="16"/>
    <m/>
    <x v="3"/>
    <m/>
  </r>
  <r>
    <n v="149"/>
    <n v="20250127"/>
    <n v="39000667225"/>
    <s v="Hoth"/>
    <x v="4"/>
    <n v="1"/>
    <x v="25"/>
    <m/>
    <x v="3"/>
    <m/>
  </r>
  <r>
    <n v="150"/>
    <n v="20250131"/>
    <n v="39000984841"/>
    <s v="Mumbai"/>
    <x v="5"/>
    <n v="1"/>
    <x v="4"/>
    <m/>
    <x v="3"/>
    <m/>
  </r>
  <r>
    <n v="151"/>
    <n v="20250129"/>
    <n v="39000202956"/>
    <s v="Metropolis"/>
    <x v="0"/>
    <n v="2"/>
    <x v="7"/>
    <m/>
    <x v="3"/>
    <m/>
  </r>
  <r>
    <n v="152"/>
    <n v="20250106"/>
    <n v="39000261079"/>
    <s v="The Wall"/>
    <x v="8"/>
    <n v="1"/>
    <x v="16"/>
    <m/>
    <x v="3"/>
    <m/>
  </r>
  <r>
    <n v="153"/>
    <n v="20250218"/>
    <n v="39000344214"/>
    <s v="Red Outpost"/>
    <x v="7"/>
    <n v="1"/>
    <x v="18"/>
    <m/>
    <x v="3"/>
    <m/>
  </r>
  <r>
    <n v="154"/>
    <n v="20250225"/>
    <n v="39000217191"/>
    <s v="Gotham"/>
    <x v="0"/>
    <n v="1"/>
    <x v="1"/>
    <m/>
    <x v="3"/>
    <m/>
  </r>
  <r>
    <n v="155"/>
    <n v="20250110"/>
    <n v="39000203905"/>
    <s v="Gotham"/>
    <x v="0"/>
    <n v="1"/>
    <x v="4"/>
    <m/>
    <x v="3"/>
    <m/>
  </r>
  <r>
    <n v="156"/>
    <n v="20250228"/>
    <n v="39000590109"/>
    <s v="Rio de Janiero"/>
    <x v="2"/>
    <n v="1"/>
    <x v="45"/>
    <m/>
    <x v="3"/>
    <m/>
  </r>
  <r>
    <n v="157"/>
    <n v="20250110"/>
    <n v="39001549691"/>
    <s v="Nashua"/>
    <x v="3"/>
    <n v="1"/>
    <x v="60"/>
    <m/>
    <x v="3"/>
    <m/>
  </r>
  <r>
    <n v="158"/>
    <n v="20250213"/>
    <n v="39000282022"/>
    <s v="House Stark"/>
    <x v="8"/>
    <n v="1"/>
    <x v="49"/>
    <m/>
    <x v="3"/>
    <m/>
  </r>
  <r>
    <n v="159"/>
    <n v="20250218"/>
    <n v="39000266903"/>
    <s v="The Wall"/>
    <x v="8"/>
    <n v="1"/>
    <x v="10"/>
    <m/>
    <x v="3"/>
    <m/>
  </r>
  <r>
    <n v="160"/>
    <n v="20250305"/>
    <n v="39000284427"/>
    <s v="House Stark"/>
    <x v="8"/>
    <n v="1"/>
    <x v="19"/>
    <m/>
    <x v="3"/>
    <m/>
  </r>
  <r>
    <n v="161"/>
    <n v="20250117"/>
    <n v="39001384110"/>
    <s v="Hoth"/>
    <x v="4"/>
    <n v="2"/>
    <x v="11"/>
    <m/>
    <x v="3"/>
    <m/>
  </r>
  <r>
    <n v="162"/>
    <n v="20250109"/>
    <n v="39000240019"/>
    <s v="Metropolis"/>
    <x v="0"/>
    <n v="1"/>
    <x v="15"/>
    <m/>
    <x v="3"/>
    <m/>
  </r>
  <r>
    <n v="163"/>
    <n v="20250121"/>
    <n v="39000202397"/>
    <s v="Metropolis"/>
    <x v="0"/>
    <n v="1"/>
    <x v="26"/>
    <m/>
    <x v="3"/>
    <m/>
  </r>
  <r>
    <n v="164"/>
    <n v="20250113"/>
    <n v="39000963352"/>
    <s v="Mumbai"/>
    <x v="5"/>
    <n v="2"/>
    <x v="9"/>
    <m/>
    <x v="3"/>
    <m/>
  </r>
  <r>
    <n v="165"/>
    <n v="20250218"/>
    <n v="39000211835"/>
    <s v="Metropolis"/>
    <x v="0"/>
    <n v="1"/>
    <x v="4"/>
    <m/>
    <x v="3"/>
    <m/>
  </r>
  <r>
    <n v="166"/>
    <n v="20250113"/>
    <n v="39000336973"/>
    <s v="Red Outpost"/>
    <x v="7"/>
    <n v="1"/>
    <x v="0"/>
    <m/>
    <x v="3"/>
    <m/>
  </r>
  <r>
    <n v="167"/>
    <n v="20250117"/>
    <n v="39000238433"/>
    <s v="Metropolis"/>
    <x v="0"/>
    <n v="1"/>
    <x v="9"/>
    <m/>
    <x v="3"/>
    <m/>
  </r>
  <r>
    <n v="168"/>
    <n v="20250307"/>
    <n v="39001417403"/>
    <s v="Scranton"/>
    <x v="3"/>
    <n v="1"/>
    <x v="61"/>
    <m/>
    <x v="3"/>
    <m/>
  </r>
  <r>
    <n v="169"/>
    <n v="20250214"/>
    <n v="39000207025"/>
    <s v="Gotham"/>
    <x v="0"/>
    <n v="1"/>
    <x v="34"/>
    <m/>
    <x v="3"/>
    <m/>
  </r>
  <r>
    <n v="170"/>
    <n v="20250102"/>
    <n v="39001711905"/>
    <s v="Casa Amor"/>
    <x v="1"/>
    <n v="1"/>
    <x v="56"/>
    <m/>
    <x v="3"/>
    <m/>
  </r>
  <r>
    <n v="171"/>
    <n v="20250224"/>
    <n v="39000660595"/>
    <s v="Hoth"/>
    <x v="4"/>
    <n v="1"/>
    <x v="45"/>
    <m/>
    <x v="3"/>
    <m/>
  </r>
  <r>
    <n v="172"/>
    <n v="20250218"/>
    <n v="39000585923"/>
    <s v="Rio de Janiero"/>
    <x v="2"/>
    <n v="1"/>
    <x v="3"/>
    <m/>
    <x v="3"/>
    <m/>
  </r>
  <r>
    <n v="173"/>
    <n v="20250107"/>
    <n v="39000207402"/>
    <s v="Metropolis"/>
    <x v="0"/>
    <n v="1"/>
    <x v="62"/>
    <m/>
    <x v="3"/>
    <m/>
  </r>
  <r>
    <n v="174"/>
    <n v="20250117"/>
    <n v="39000585286"/>
    <s v="Rio de Janiero"/>
    <x v="2"/>
    <n v="1"/>
    <x v="9"/>
    <m/>
    <x v="3"/>
    <m/>
  </r>
  <r>
    <n v="175"/>
    <n v="20250303"/>
    <n v="39000585364"/>
    <s v="Rio de Janiero"/>
    <x v="2"/>
    <n v="1"/>
    <x v="61"/>
    <m/>
    <x v="3"/>
    <m/>
  </r>
  <r>
    <n v="176"/>
    <n v="20250124"/>
    <n v="39000199121"/>
    <s v="Metropolis"/>
    <x v="0"/>
    <n v="1"/>
    <x v="22"/>
    <m/>
    <x v="3"/>
    <m/>
  </r>
  <r>
    <n v="177"/>
    <n v="20250206"/>
    <n v="39000767533"/>
    <s v="Red Outpost"/>
    <x v="7"/>
    <n v="2"/>
    <x v="26"/>
    <m/>
    <x v="3"/>
    <m/>
  </r>
  <r>
    <n v="178"/>
    <n v="20250117"/>
    <n v="39000283439"/>
    <s v="House Stark"/>
    <x v="8"/>
    <n v="-0.58299999999999996"/>
    <x v="0"/>
    <m/>
    <x v="3"/>
    <m/>
  </r>
  <r>
    <n v="179"/>
    <n v="20250306"/>
    <n v="39001719159"/>
    <s v="Casa Amor"/>
    <x v="1"/>
    <n v="-4.2000000000000003E-2"/>
    <x v="63"/>
    <m/>
    <x v="3"/>
    <m/>
  </r>
  <r>
    <n v="180"/>
    <n v="20250127"/>
    <n v="39000329979"/>
    <s v="Red Outpost"/>
    <x v="7"/>
    <n v="1"/>
    <x v="25"/>
    <m/>
    <x v="3"/>
    <m/>
  </r>
  <r>
    <n v="181"/>
    <n v="20250124"/>
    <n v="39000217243"/>
    <s v="Gotham"/>
    <x v="0"/>
    <n v="1"/>
    <x v="4"/>
    <m/>
    <x v="3"/>
    <m/>
  </r>
  <r>
    <n v="182"/>
    <n v="20250226"/>
    <n v="39000662974"/>
    <s v="Hoth"/>
    <x v="4"/>
    <n v="1"/>
    <x v="18"/>
    <m/>
    <x v="3"/>
    <m/>
  </r>
  <r>
    <n v="183"/>
    <n v="20250204"/>
    <n v="39002263885"/>
    <s v="Santas Workshop"/>
    <x v="9"/>
    <n v="1"/>
    <x v="7"/>
    <m/>
    <x v="3"/>
    <m/>
  </r>
  <r>
    <n v="184"/>
    <n v="20250123"/>
    <n v="39000237003"/>
    <s v="Gotham"/>
    <x v="0"/>
    <n v="1"/>
    <x v="7"/>
    <m/>
    <x v="3"/>
    <m/>
  </r>
  <r>
    <n v="185"/>
    <n v="20250128"/>
    <n v="39000223964"/>
    <s v="Metropolis"/>
    <x v="0"/>
    <n v="1"/>
    <x v="7"/>
    <m/>
    <x v="3"/>
    <m/>
  </r>
  <r>
    <n v="186"/>
    <n v="20250131"/>
    <n v="39001488500"/>
    <s v="Summer House"/>
    <x v="6"/>
    <n v="1"/>
    <x v="26"/>
    <m/>
    <x v="3"/>
    <m/>
  </r>
  <r>
    <n v="187"/>
    <n v="20250204"/>
    <n v="39000663182"/>
    <s v="Hoth"/>
    <x v="4"/>
    <n v="1"/>
    <x v="34"/>
    <m/>
    <x v="3"/>
    <m/>
  </r>
  <r>
    <n v="188"/>
    <n v="20250114"/>
    <n v="39000281489"/>
    <s v="House Stark"/>
    <x v="8"/>
    <n v="3"/>
    <x v="0"/>
    <m/>
    <x v="3"/>
    <m/>
  </r>
  <r>
    <n v="189"/>
    <n v="20250227"/>
    <n v="39000591591"/>
    <s v="Rio de Janiero"/>
    <x v="2"/>
    <n v="1"/>
    <x v="12"/>
    <m/>
    <x v="3"/>
    <m/>
  </r>
  <r>
    <n v="190"/>
    <n v="20250108"/>
    <n v="39002659917"/>
    <s v="House Stark"/>
    <x v="8"/>
    <n v="2"/>
    <x v="18"/>
    <m/>
    <x v="3"/>
    <m/>
  </r>
  <r>
    <n v="191"/>
    <n v="20250205"/>
    <n v="39000970541"/>
    <s v="Mumbai"/>
    <x v="5"/>
    <n v="-4.2000000000000003E-2"/>
    <x v="34"/>
    <m/>
    <x v="3"/>
    <m/>
  </r>
  <r>
    <n v="192"/>
    <n v="20250305"/>
    <n v="39002120898"/>
    <s v="Scranton"/>
    <x v="3"/>
    <n v="1"/>
    <x v="9"/>
    <m/>
    <x v="3"/>
    <m/>
  </r>
  <r>
    <n v="193"/>
    <n v="20250220"/>
    <n v="39002178501"/>
    <s v="Scranton"/>
    <x v="3"/>
    <n v="1"/>
    <x v="30"/>
    <m/>
    <x v="3"/>
    <m/>
  </r>
  <r>
    <n v="195"/>
    <n v="20250204"/>
    <n v="39001519752"/>
    <s v="Scranton"/>
    <x v="3"/>
    <n v="5"/>
    <x v="34"/>
    <m/>
    <x v="3"/>
    <m/>
  </r>
  <r>
    <n v="196"/>
    <n v="20250116"/>
    <n v="39000220766"/>
    <s v="Metropolis"/>
    <x v="0"/>
    <n v="1"/>
    <x v="29"/>
    <m/>
    <x v="3"/>
    <m/>
  </r>
  <r>
    <n v="474"/>
    <n v="20250224"/>
    <n v="39000220766"/>
    <s v="Metropolis"/>
    <x v="0"/>
    <n v="1"/>
    <x v="16"/>
    <m/>
    <x v="3"/>
    <m/>
  </r>
  <r>
    <n v="197"/>
    <n v="20250124"/>
    <n v="39000236418"/>
    <s v="Gotham"/>
    <x v="0"/>
    <n v="2"/>
    <x v="22"/>
    <m/>
    <x v="3"/>
    <m/>
  </r>
  <r>
    <n v="198"/>
    <n v="20250224"/>
    <n v="39001707901"/>
    <s v="Casa Amor"/>
    <x v="1"/>
    <n v="8"/>
    <x v="34"/>
    <m/>
    <x v="3"/>
    <m/>
  </r>
  <r>
    <n v="200"/>
    <n v="20250116"/>
    <n v="39000239928"/>
    <s v="Gotham"/>
    <x v="0"/>
    <n v="-1"/>
    <x v="7"/>
    <m/>
    <x v="3"/>
    <m/>
  </r>
  <r>
    <n v="201"/>
    <n v="20250103"/>
    <n v="39001386333"/>
    <s v="Scranton"/>
    <x v="3"/>
    <n v="2"/>
    <x v="24"/>
    <m/>
    <x v="3"/>
    <m/>
  </r>
  <r>
    <n v="202"/>
    <n v="20250124"/>
    <n v="39000592722"/>
    <s v="Rio de Janiero"/>
    <x v="2"/>
    <n v="1"/>
    <x v="0"/>
    <m/>
    <x v="3"/>
    <m/>
  </r>
  <r>
    <n v="203"/>
    <n v="20250129"/>
    <n v="39001588327"/>
    <s v="Scranton"/>
    <x v="3"/>
    <n v="1"/>
    <x v="0"/>
    <m/>
    <x v="3"/>
    <m/>
  </r>
  <r>
    <n v="204"/>
    <n v="20250305"/>
    <n v="39000217230"/>
    <s v="Metropolis"/>
    <x v="0"/>
    <n v="1"/>
    <x v="55"/>
    <m/>
    <x v="3"/>
    <m/>
  </r>
  <r>
    <n v="205"/>
    <n v="20250206"/>
    <n v="39000956215"/>
    <s v="Mumbai"/>
    <x v="5"/>
    <n v="2"/>
    <x v="9"/>
    <m/>
    <x v="3"/>
    <m/>
  </r>
  <r>
    <n v="206"/>
    <n v="20250226"/>
    <n v="39000669708"/>
    <s v="Hoth"/>
    <x v="4"/>
    <n v="2"/>
    <x v="46"/>
    <m/>
    <x v="3"/>
    <m/>
  </r>
  <r>
    <n v="207"/>
    <n v="20250121"/>
    <n v="39000342680"/>
    <s v="Red Outpost"/>
    <x v="7"/>
    <n v="1"/>
    <x v="28"/>
    <m/>
    <x v="3"/>
    <m/>
  </r>
  <r>
    <n v="208"/>
    <n v="20250108"/>
    <n v="39000338754"/>
    <s v="Red Outpost"/>
    <x v="7"/>
    <n v="5"/>
    <x v="7"/>
    <m/>
    <x v="3"/>
    <m/>
  </r>
  <r>
    <n v="209"/>
    <n v="20250310"/>
    <n v="39000592631"/>
    <s v="Rio de Janiero"/>
    <x v="2"/>
    <n v="1"/>
    <x v="61"/>
    <m/>
    <x v="3"/>
    <m/>
  </r>
  <r>
    <n v="210"/>
    <n v="20250109"/>
    <n v="39000332163"/>
    <s v="Red Outpost"/>
    <x v="7"/>
    <n v="1"/>
    <x v="64"/>
    <m/>
    <x v="3"/>
    <m/>
  </r>
  <r>
    <n v="211"/>
    <n v="20250206"/>
    <n v="39000658229"/>
    <s v="Hoth"/>
    <x v="4"/>
    <n v="6"/>
    <x v="7"/>
    <m/>
    <x v="3"/>
    <m/>
  </r>
  <r>
    <n v="213"/>
    <n v="20250306"/>
    <n v="39000595101"/>
    <s v="Rio de Janiero"/>
    <x v="2"/>
    <n v="1"/>
    <x v="5"/>
    <m/>
    <x v="3"/>
    <m/>
  </r>
  <r>
    <n v="214"/>
    <n v="20250218"/>
    <n v="39000426790"/>
    <s v="House Stark"/>
    <x v="8"/>
    <n v="1"/>
    <x v="10"/>
    <m/>
    <x v="3"/>
    <m/>
  </r>
  <r>
    <n v="215"/>
    <n v="20250225"/>
    <n v="39000220506"/>
    <s v="Gotham"/>
    <x v="0"/>
    <n v="1"/>
    <x v="51"/>
    <m/>
    <x v="3"/>
    <m/>
  </r>
  <r>
    <n v="216"/>
    <n v="20250107"/>
    <n v="39001470664"/>
    <s v="Scranton"/>
    <x v="3"/>
    <n v="-0.54200000000000004"/>
    <x v="65"/>
    <m/>
    <x v="3"/>
    <m/>
  </r>
  <r>
    <n v="217"/>
    <n v="20250207"/>
    <n v="39002433223"/>
    <s v="Rio de Janiero"/>
    <x v="2"/>
    <n v="1"/>
    <x v="16"/>
    <m/>
    <x v="3"/>
    <m/>
  </r>
  <r>
    <n v="218"/>
    <n v="20250203"/>
    <n v="39001379651"/>
    <s v="Salzburg"/>
    <x v="10"/>
    <n v="1"/>
    <x v="30"/>
    <m/>
    <x v="3"/>
    <m/>
  </r>
  <r>
    <n v="219"/>
    <n v="20250226"/>
    <n v="39000264836"/>
    <s v="The Wall"/>
    <x v="8"/>
    <n v="1"/>
    <x v="31"/>
    <m/>
    <x v="3"/>
    <m/>
  </r>
  <r>
    <n v="220"/>
    <n v="20250113"/>
    <n v="39000661102"/>
    <s v="Hoth"/>
    <x v="4"/>
    <n v="1"/>
    <x v="11"/>
    <m/>
    <x v="3"/>
    <m/>
  </r>
  <r>
    <n v="221"/>
    <n v="20250203"/>
    <n v="39000263705"/>
    <s v="The Wall"/>
    <x v="8"/>
    <n v="1"/>
    <x v="26"/>
    <m/>
    <x v="3"/>
    <m/>
  </r>
  <r>
    <n v="222"/>
    <n v="20250127"/>
    <n v="39002365467"/>
    <s v="Hoth"/>
    <x v="4"/>
    <n v="1"/>
    <x v="11"/>
    <m/>
    <x v="3"/>
    <m/>
  </r>
  <r>
    <n v="223"/>
    <n v="20250117"/>
    <n v="39000198159"/>
    <s v="Metropolis"/>
    <x v="0"/>
    <n v="1"/>
    <x v="26"/>
    <m/>
    <x v="3"/>
    <m/>
  </r>
  <r>
    <n v="224"/>
    <n v="20250227"/>
    <n v="39001520506"/>
    <s v="Scranton"/>
    <x v="3"/>
    <n v="1"/>
    <x v="66"/>
    <m/>
    <x v="3"/>
    <m/>
  </r>
  <r>
    <n v="225"/>
    <n v="20250206"/>
    <n v="39000660699"/>
    <s v="Hoth"/>
    <x v="4"/>
    <n v="1"/>
    <x v="39"/>
    <m/>
    <x v="3"/>
    <m/>
  </r>
  <r>
    <n v="226"/>
    <n v="20250219"/>
    <n v="39000671281"/>
    <s v="Hoth"/>
    <x v="4"/>
    <n v="1"/>
    <x v="11"/>
    <m/>
    <x v="3"/>
    <m/>
  </r>
  <r>
    <n v="227"/>
    <n v="20250117"/>
    <n v="39000227981"/>
    <s v="Gotham"/>
    <x v="0"/>
    <n v="2"/>
    <x v="64"/>
    <m/>
    <x v="3"/>
    <m/>
  </r>
  <r>
    <n v="228"/>
    <n v="20250124"/>
    <n v="39000211029"/>
    <s v="Gotham"/>
    <x v="0"/>
    <n v="1"/>
    <x v="26"/>
    <m/>
    <x v="3"/>
    <m/>
  </r>
  <r>
    <n v="230"/>
    <n v="20250303"/>
    <n v="39002747732"/>
    <s v="Red Outpost"/>
    <x v="7"/>
    <n v="1"/>
    <x v="0"/>
    <m/>
    <x v="3"/>
    <m/>
  </r>
  <r>
    <n v="231"/>
    <n v="20250226"/>
    <n v="39000587769"/>
    <s v="Rio de Janiero"/>
    <x v="2"/>
    <n v="1"/>
    <x v="9"/>
    <m/>
    <x v="3"/>
    <m/>
  </r>
  <r>
    <n v="232"/>
    <n v="20250304"/>
    <n v="39000197730"/>
    <s v="Gotham"/>
    <x v="0"/>
    <n v="1"/>
    <x v="48"/>
    <m/>
    <x v="3"/>
    <m/>
  </r>
  <r>
    <n v="233"/>
    <n v="20250127"/>
    <n v="39000337857"/>
    <s v="Red Outpost"/>
    <x v="7"/>
    <n v="1"/>
    <x v="29"/>
    <m/>
    <x v="3"/>
    <m/>
  </r>
  <r>
    <n v="234"/>
    <n v="20250220"/>
    <n v="39002306343"/>
    <s v="Santas Workshop"/>
    <x v="9"/>
    <n v="1"/>
    <x v="25"/>
    <m/>
    <x v="3"/>
    <m/>
  </r>
  <r>
    <n v="235"/>
    <n v="20250114"/>
    <n v="39000209092"/>
    <s v="Gotham"/>
    <x v="0"/>
    <n v="1"/>
    <x v="9"/>
    <m/>
    <x v="3"/>
    <m/>
  </r>
  <r>
    <n v="236"/>
    <n v="20250228"/>
    <n v="39001506297"/>
    <s v="Nashua"/>
    <x v="3"/>
    <n v="1"/>
    <x v="25"/>
    <m/>
    <x v="3"/>
    <m/>
  </r>
  <r>
    <n v="237"/>
    <n v="20250303"/>
    <n v="39000595764"/>
    <s v="Rio de Janiero"/>
    <x v="2"/>
    <n v="1"/>
    <x v="26"/>
    <m/>
    <x v="3"/>
    <m/>
  </r>
  <r>
    <n v="238"/>
    <n v="20250217"/>
    <n v="39001501643"/>
    <s v="Scranton"/>
    <x v="3"/>
    <n v="1"/>
    <x v="45"/>
    <m/>
    <x v="3"/>
    <m/>
  </r>
  <r>
    <n v="239"/>
    <n v="20250108"/>
    <n v="39000230568"/>
    <s v="Gotham"/>
    <x v="0"/>
    <n v="1"/>
    <x v="43"/>
    <m/>
    <x v="3"/>
    <m/>
  </r>
  <r>
    <n v="240"/>
    <n v="20250310"/>
    <n v="39000666965"/>
    <s v="Hoth"/>
    <x v="4"/>
    <n v="1"/>
    <x v="5"/>
    <m/>
    <x v="3"/>
    <m/>
  </r>
  <r>
    <n v="241"/>
    <n v="20250102"/>
    <n v="39001460810"/>
    <s v="Scranton"/>
    <x v="3"/>
    <n v="1"/>
    <x v="45"/>
    <m/>
    <x v="3"/>
    <m/>
  </r>
  <r>
    <n v="243"/>
    <n v="20250117"/>
    <n v="39002236403"/>
    <s v="Santas Workshop"/>
    <x v="9"/>
    <n v="1"/>
    <x v="4"/>
    <m/>
    <x v="3"/>
    <m/>
  </r>
  <r>
    <n v="244"/>
    <n v="20250106"/>
    <n v="39000948792"/>
    <s v="Mumbai"/>
    <x v="5"/>
    <n v="1"/>
    <x v="34"/>
    <m/>
    <x v="3"/>
    <m/>
  </r>
  <r>
    <n v="245"/>
    <n v="20250206"/>
    <n v="39000201279"/>
    <s v="Gotham"/>
    <x v="0"/>
    <n v="1"/>
    <x v="1"/>
    <m/>
    <x v="3"/>
    <m/>
  </r>
  <r>
    <n v="246"/>
    <n v="20250117"/>
    <n v="39000337727"/>
    <s v="Red Outpost"/>
    <x v="7"/>
    <n v="1"/>
    <x v="1"/>
    <m/>
    <x v="3"/>
    <m/>
  </r>
  <r>
    <n v="247"/>
    <n v="20250130"/>
    <n v="39002280252"/>
    <s v="Santas Workshop"/>
    <x v="9"/>
    <n v="2"/>
    <x v="7"/>
    <m/>
    <x v="3"/>
    <m/>
  </r>
  <r>
    <n v="248"/>
    <n v="20250212"/>
    <n v="39000961688"/>
    <s v="Mumbai"/>
    <x v="5"/>
    <n v="2"/>
    <x v="26"/>
    <m/>
    <x v="3"/>
    <m/>
  </r>
  <r>
    <n v="250"/>
    <n v="20250130"/>
    <n v="39000198289"/>
    <s v="Gotham"/>
    <x v="0"/>
    <n v="1"/>
    <x v="30"/>
    <m/>
    <x v="3"/>
    <m/>
  </r>
  <r>
    <n v="251"/>
    <n v="20250131"/>
    <n v="39001541683"/>
    <s v="Scranton"/>
    <x v="3"/>
    <n v="1"/>
    <x v="5"/>
    <m/>
    <x v="3"/>
    <m/>
  </r>
  <r>
    <n v="252"/>
    <n v="20250116"/>
    <n v="39000203320"/>
    <s v="Gotham"/>
    <x v="0"/>
    <n v="1"/>
    <x v="35"/>
    <m/>
    <x v="3"/>
    <m/>
  </r>
  <r>
    <n v="253"/>
    <n v="20250307"/>
    <n v="39000592709"/>
    <s v="Rio de Janiero"/>
    <x v="2"/>
    <n v="2"/>
    <x v="24"/>
    <m/>
    <x v="3"/>
    <m/>
  </r>
  <r>
    <n v="254"/>
    <n v="20250221"/>
    <n v="39000955617"/>
    <s v="Mumbai"/>
    <x v="5"/>
    <n v="2"/>
    <x v="7"/>
    <m/>
    <x v="3"/>
    <m/>
  </r>
  <r>
    <n v="255"/>
    <n v="20250123"/>
    <n v="39000948207"/>
    <s v="Mumbai"/>
    <x v="5"/>
    <n v="4"/>
    <x v="7"/>
    <m/>
    <x v="3"/>
    <m/>
  </r>
  <r>
    <n v="256"/>
    <n v="20250224"/>
    <n v="39001431677"/>
    <s v="Scranton"/>
    <x v="3"/>
    <n v="1"/>
    <x v="12"/>
    <m/>
    <x v="3"/>
    <m/>
  </r>
  <r>
    <n v="257"/>
    <n v="20250305"/>
    <n v="39002225184"/>
    <s v="Santas Workshop"/>
    <x v="9"/>
    <n v="-0.375"/>
    <x v="21"/>
    <m/>
    <x v="3"/>
    <m/>
  </r>
  <r>
    <n v="258"/>
    <n v="20250310"/>
    <n v="39001488682"/>
    <s v="Summer House"/>
    <x v="6"/>
    <n v="2"/>
    <x v="11"/>
    <m/>
    <x v="3"/>
    <m/>
  </r>
  <r>
    <n v="259"/>
    <n v="20250116"/>
    <n v="39001489813"/>
    <s v="Summer House"/>
    <x v="6"/>
    <n v="1"/>
    <x v="23"/>
    <m/>
    <x v="3"/>
    <m/>
  </r>
  <r>
    <n v="260"/>
    <n v="20250122"/>
    <n v="39002333422"/>
    <s v="Gotham"/>
    <x v="0"/>
    <n v="1"/>
    <x v="27"/>
    <m/>
    <x v="3"/>
    <m/>
  </r>
  <r>
    <n v="261"/>
    <n v="20250226"/>
    <n v="39000217360"/>
    <s v="Metropolis"/>
    <x v="0"/>
    <n v="1"/>
    <x v="54"/>
    <m/>
    <x v="3"/>
    <m/>
  </r>
  <r>
    <n v="262"/>
    <n v="20250131"/>
    <n v="39000661037"/>
    <s v="Hoth"/>
    <x v="4"/>
    <n v="1"/>
    <x v="67"/>
    <m/>
    <x v="3"/>
    <m/>
  </r>
  <r>
    <n v="263"/>
    <n v="20250212"/>
    <n v="39001393262"/>
    <s v="Scranton"/>
    <x v="3"/>
    <n v="1"/>
    <x v="15"/>
    <m/>
    <x v="3"/>
    <m/>
  </r>
  <r>
    <n v="264"/>
    <n v="20250129"/>
    <n v="39000592332"/>
    <s v="Rio de Janiero"/>
    <x v="2"/>
    <n v="1"/>
    <x v="30"/>
    <m/>
    <x v="3"/>
    <m/>
  </r>
  <r>
    <n v="265"/>
    <n v="20250220"/>
    <n v="39000663195"/>
    <s v="Hoth"/>
    <x v="4"/>
    <n v="2"/>
    <x v="0"/>
    <m/>
    <x v="3"/>
    <m/>
  </r>
  <r>
    <n v="266"/>
    <n v="20250110"/>
    <n v="39002287740"/>
    <s v="Santas Workshop"/>
    <x v="9"/>
    <n v="1"/>
    <x v="21"/>
    <m/>
    <x v="3"/>
    <m/>
  </r>
  <r>
    <n v="267"/>
    <n v="20250206"/>
    <n v="39000201695"/>
    <s v="Metropolis"/>
    <x v="0"/>
    <n v="1"/>
    <x v="1"/>
    <m/>
    <x v="3"/>
    <m/>
  </r>
  <r>
    <n v="268"/>
    <n v="20250211"/>
    <n v="39001387633"/>
    <s v="Summer House"/>
    <x v="6"/>
    <n v="1"/>
    <x v="45"/>
    <m/>
    <x v="3"/>
    <m/>
  </r>
  <r>
    <n v="269"/>
    <n v="20250226"/>
    <n v="39001482104"/>
    <s v="Scranton"/>
    <x v="3"/>
    <n v="2"/>
    <x v="48"/>
    <m/>
    <x v="3"/>
    <m/>
  </r>
  <r>
    <n v="271"/>
    <n v="20250203"/>
    <n v="39002684474"/>
    <s v="Salzburg"/>
    <x v="10"/>
    <n v="1"/>
    <x v="4"/>
    <m/>
    <x v="3"/>
    <m/>
  </r>
  <r>
    <n v="272"/>
    <n v="20250106"/>
    <n v="39000284921"/>
    <s v="House Stark"/>
    <x v="8"/>
    <n v="2"/>
    <x v="17"/>
    <m/>
    <x v="3"/>
    <m/>
  </r>
  <r>
    <n v="273"/>
    <n v="20250305"/>
    <n v="39000220454"/>
    <s v="Gotham"/>
    <x v="0"/>
    <n v="8"/>
    <x v="38"/>
    <m/>
    <x v="3"/>
    <m/>
  </r>
  <r>
    <n v="274"/>
    <n v="20250121"/>
    <n v="39000264043"/>
    <s v="The Wall"/>
    <x v="8"/>
    <n v="1"/>
    <x v="9"/>
    <m/>
    <x v="3"/>
    <m/>
  </r>
  <r>
    <n v="275"/>
    <n v="20250219"/>
    <n v="39002698189"/>
    <s v="Red Outpost"/>
    <x v="7"/>
    <n v="1"/>
    <x v="34"/>
    <m/>
    <x v="3"/>
    <m/>
  </r>
  <r>
    <n v="276"/>
    <n v="20250107"/>
    <n v="39000217477"/>
    <s v="Gotham"/>
    <x v="0"/>
    <n v="1"/>
    <x v="27"/>
    <m/>
    <x v="3"/>
    <m/>
  </r>
  <r>
    <n v="277"/>
    <n v="20250204"/>
    <n v="39002422394"/>
    <s v="Scranton"/>
    <x v="3"/>
    <n v="-1"/>
    <x v="15"/>
    <m/>
    <x v="3"/>
    <m/>
  </r>
  <r>
    <n v="278"/>
    <n v="20250218"/>
    <n v="39000278447"/>
    <s v="House Stark"/>
    <x v="8"/>
    <n v="1"/>
    <x v="9"/>
    <m/>
    <x v="3"/>
    <m/>
  </r>
  <r>
    <n v="279"/>
    <n v="20250116"/>
    <n v="39001687660"/>
    <s v="Casa Amor"/>
    <x v="1"/>
    <n v="-0.25"/>
    <x v="68"/>
    <m/>
    <x v="3"/>
    <m/>
  </r>
  <r>
    <n v="280"/>
    <n v="20250310"/>
    <n v="39000212771"/>
    <s v="Gotham"/>
    <x v="0"/>
    <n v="2"/>
    <x v="59"/>
    <m/>
    <x v="3"/>
    <m/>
  </r>
  <r>
    <n v="281"/>
    <n v="20250127"/>
    <n v="39000659711"/>
    <s v="Hoth"/>
    <x v="4"/>
    <n v="1"/>
    <x v="23"/>
    <m/>
    <x v="3"/>
    <m/>
  </r>
  <r>
    <n v="282"/>
    <n v="20250127"/>
    <n v="39000235820"/>
    <s v="Gotham"/>
    <x v="0"/>
    <n v="1"/>
    <x v="43"/>
    <m/>
    <x v="3"/>
    <m/>
  </r>
  <r>
    <n v="283"/>
    <n v="20250127"/>
    <n v="39001547416"/>
    <s v="Nashua"/>
    <x v="3"/>
    <n v="1"/>
    <x v="11"/>
    <m/>
    <x v="3"/>
    <m/>
  </r>
  <r>
    <n v="284"/>
    <n v="20250307"/>
    <n v="39000962182"/>
    <s v="Mumbai"/>
    <x v="5"/>
    <n v="2"/>
    <x v="31"/>
    <m/>
    <x v="3"/>
    <m/>
  </r>
  <r>
    <n v="285"/>
    <n v="20250103"/>
    <n v="39001520285"/>
    <s v="Scranton"/>
    <x v="3"/>
    <n v="1"/>
    <x v="69"/>
    <m/>
    <x v="3"/>
    <m/>
  </r>
  <r>
    <n v="286"/>
    <n v="20250303"/>
    <n v="39001549743"/>
    <s v="Scranton"/>
    <x v="3"/>
    <n v="1"/>
    <x v="55"/>
    <m/>
    <x v="3"/>
    <m/>
  </r>
  <r>
    <n v="287"/>
    <n v="20250131"/>
    <n v="39000220753"/>
    <s v="Gotham"/>
    <x v="0"/>
    <n v="1"/>
    <x v="7"/>
    <m/>
    <x v="3"/>
    <m/>
  </r>
  <r>
    <n v="288"/>
    <n v="20250221"/>
    <n v="39001537809"/>
    <s v="Scranton"/>
    <x v="3"/>
    <n v="1"/>
    <x v="24"/>
    <m/>
    <x v="3"/>
    <m/>
  </r>
  <r>
    <n v="289"/>
    <n v="20250228"/>
    <n v="39000964834"/>
    <s v="Mumbai"/>
    <x v="5"/>
    <n v="1"/>
    <x v="7"/>
    <m/>
    <x v="3"/>
    <m/>
  </r>
  <r>
    <n v="290"/>
    <n v="20250109"/>
    <n v="39000590642"/>
    <s v="Rio de Janiero"/>
    <x v="2"/>
    <n v="2"/>
    <x v="27"/>
    <m/>
    <x v="3"/>
    <m/>
  </r>
  <r>
    <n v="359"/>
    <n v="20250306"/>
    <n v="39000590642"/>
    <s v="Rio de Janiero"/>
    <x v="2"/>
    <n v="2"/>
    <x v="54"/>
    <m/>
    <x v="3"/>
    <m/>
  </r>
  <r>
    <n v="291"/>
    <n v="20250109"/>
    <n v="39000242281"/>
    <s v="Gotham"/>
    <x v="0"/>
    <n v="2"/>
    <x v="45"/>
    <m/>
    <x v="3"/>
    <m/>
  </r>
  <r>
    <n v="292"/>
    <n v="20250220"/>
    <n v="39001784666"/>
    <s v="Rio de Janiero"/>
    <x v="2"/>
    <n v="4"/>
    <x v="11"/>
    <m/>
    <x v="3"/>
    <m/>
  </r>
  <r>
    <n v="294"/>
    <n v="20250106"/>
    <n v="39000215241"/>
    <s v="Metropolis"/>
    <x v="0"/>
    <n v="1"/>
    <x v="40"/>
    <m/>
    <x v="3"/>
    <m/>
  </r>
  <r>
    <n v="295"/>
    <n v="20250213"/>
    <n v="39000221195"/>
    <s v="Metropolis"/>
    <x v="0"/>
    <n v="1"/>
    <x v="1"/>
    <m/>
    <x v="3"/>
    <m/>
  </r>
  <r>
    <n v="296"/>
    <n v="20250219"/>
    <n v="39000228124"/>
    <s v="Gotham"/>
    <x v="0"/>
    <n v="1"/>
    <x v="16"/>
    <m/>
    <x v="3"/>
    <m/>
  </r>
  <r>
    <n v="297"/>
    <n v="20250219"/>
    <n v="39000203138"/>
    <s v="Metropolis"/>
    <x v="0"/>
    <n v="1"/>
    <x v="67"/>
    <m/>
    <x v="3"/>
    <m/>
  </r>
  <r>
    <n v="298"/>
    <n v="20250307"/>
    <n v="39000948740"/>
    <s v="Mumbai"/>
    <x v="5"/>
    <n v="2"/>
    <x v="31"/>
    <m/>
    <x v="3"/>
    <m/>
  </r>
  <r>
    <n v="300"/>
    <n v="20250102"/>
    <n v="39000220857"/>
    <s v="Gotham"/>
    <x v="0"/>
    <n v="1"/>
    <x v="8"/>
    <m/>
    <x v="3"/>
    <m/>
  </r>
  <r>
    <n v="301"/>
    <n v="20250103"/>
    <n v="39000213252"/>
    <s v="Gotham"/>
    <x v="0"/>
    <n v="1"/>
    <x v="45"/>
    <m/>
    <x v="3"/>
    <m/>
  </r>
  <r>
    <n v="302"/>
    <n v="20250213"/>
    <n v="39000213213"/>
    <s v="Metropolis"/>
    <x v="0"/>
    <n v="-2"/>
    <x v="27"/>
    <m/>
    <x v="3"/>
    <m/>
  </r>
  <r>
    <n v="303"/>
    <n v="20250210"/>
    <n v="39000592384"/>
    <s v="Rio de Janiero"/>
    <x v="2"/>
    <n v="1"/>
    <x v="14"/>
    <m/>
    <x v="3"/>
    <m/>
  </r>
  <r>
    <n v="304"/>
    <n v="20250103"/>
    <n v="39000215449"/>
    <s v="Gotham"/>
    <x v="0"/>
    <n v="1"/>
    <x v="49"/>
    <m/>
    <x v="3"/>
    <m/>
  </r>
  <r>
    <n v="305"/>
    <n v="20250227"/>
    <n v="39000232284"/>
    <s v="Metropolis"/>
    <x v="0"/>
    <n v="1"/>
    <x v="6"/>
    <m/>
    <x v="3"/>
    <m/>
  </r>
  <r>
    <n v="306"/>
    <n v="20250127"/>
    <n v="39000584766"/>
    <s v="Rio de Janiero"/>
    <x v="2"/>
    <n v="1"/>
    <x v="30"/>
    <m/>
    <x v="3"/>
    <m/>
  </r>
  <r>
    <n v="307"/>
    <n v="20250204"/>
    <n v="39001675934"/>
    <s v="Scranton"/>
    <x v="3"/>
    <n v="1"/>
    <x v="28"/>
    <m/>
    <x v="3"/>
    <m/>
  </r>
  <r>
    <n v="309"/>
    <n v="20250221"/>
    <n v="39000264199"/>
    <s v="The Wall"/>
    <x v="8"/>
    <n v="4"/>
    <x v="7"/>
    <m/>
    <x v="3"/>
    <m/>
  </r>
  <r>
    <n v="310"/>
    <n v="20250124"/>
    <n v="39000336232"/>
    <s v="Red Outpost"/>
    <x v="7"/>
    <n v="1"/>
    <x v="25"/>
    <m/>
    <x v="3"/>
    <m/>
  </r>
  <r>
    <n v="311"/>
    <n v="20250127"/>
    <n v="39002406742"/>
    <s v="Rio de Janiero"/>
    <x v="2"/>
    <n v="1"/>
    <x v="70"/>
    <m/>
    <x v="3"/>
    <m/>
  </r>
  <r>
    <n v="312"/>
    <n v="20250304"/>
    <n v="39000226681"/>
    <s v="Gotham"/>
    <x v="0"/>
    <n v="1"/>
    <x v="48"/>
    <m/>
    <x v="3"/>
    <m/>
  </r>
  <r>
    <n v="313"/>
    <n v="20250206"/>
    <n v="39002793232"/>
    <s v="Salzburg"/>
    <x v="10"/>
    <n v="3"/>
    <x v="7"/>
    <m/>
    <x v="3"/>
    <m/>
  </r>
  <r>
    <n v="314"/>
    <n v="20250226"/>
    <n v="39002753322"/>
    <s v="The Wall"/>
    <x v="8"/>
    <n v="1"/>
    <x v="34"/>
    <m/>
    <x v="3"/>
    <m/>
  </r>
  <r>
    <n v="315"/>
    <n v="20250304"/>
    <n v="39000263848"/>
    <s v="The Wall"/>
    <x v="8"/>
    <n v="1"/>
    <x v="26"/>
    <m/>
    <x v="3"/>
    <m/>
  </r>
  <r>
    <n v="316"/>
    <n v="20250129"/>
    <n v="39000282438"/>
    <s v="House Stark"/>
    <x v="8"/>
    <n v="1"/>
    <x v="40"/>
    <m/>
    <x v="3"/>
    <m/>
  </r>
  <r>
    <n v="317"/>
    <n v="20250228"/>
    <n v="39001719055"/>
    <s v="Casa Amor"/>
    <x v="1"/>
    <n v="1"/>
    <x v="31"/>
    <m/>
    <x v="3"/>
    <m/>
  </r>
  <r>
    <n v="318"/>
    <n v="20250115"/>
    <n v="39000208442"/>
    <s v="Gotham"/>
    <x v="0"/>
    <n v="2"/>
    <x v="0"/>
    <m/>
    <x v="3"/>
    <m/>
  </r>
  <r>
    <n v="319"/>
    <n v="20250219"/>
    <n v="39000220285"/>
    <s v="Metropolis"/>
    <x v="0"/>
    <n v="2"/>
    <x v="60"/>
    <m/>
    <x v="3"/>
    <m/>
  </r>
  <r>
    <n v="320"/>
    <n v="20250219"/>
    <n v="39000957164"/>
    <s v="Mumbai"/>
    <x v="5"/>
    <n v="1"/>
    <x v="26"/>
    <m/>
    <x v="3"/>
    <m/>
  </r>
  <r>
    <n v="321"/>
    <n v="20250219"/>
    <n v="39001586832"/>
    <s v="Scranton"/>
    <x v="3"/>
    <n v="2"/>
    <x v="3"/>
    <m/>
    <x v="3"/>
    <m/>
  </r>
  <r>
    <n v="323"/>
    <n v="20250121"/>
    <n v="39001955655"/>
    <s v="Metropolis"/>
    <x v="0"/>
    <n v="1"/>
    <x v="11"/>
    <m/>
    <x v="3"/>
    <m/>
  </r>
  <r>
    <n v="324"/>
    <n v="20250306"/>
    <n v="39001519583"/>
    <s v="Scranton"/>
    <x v="3"/>
    <n v="1"/>
    <x v="14"/>
    <m/>
    <x v="3"/>
    <m/>
  </r>
  <r>
    <n v="325"/>
    <n v="20250123"/>
    <n v="39000657267"/>
    <s v="Hoth"/>
    <x v="4"/>
    <n v="2"/>
    <x v="33"/>
    <m/>
    <x v="3"/>
    <m/>
  </r>
  <r>
    <n v="326"/>
    <n v="20250128"/>
    <n v="39000218257"/>
    <s v="Metropolis"/>
    <x v="0"/>
    <n v="1"/>
    <x v="15"/>
    <m/>
    <x v="3"/>
    <m/>
  </r>
  <r>
    <n v="327"/>
    <n v="20250304"/>
    <n v="39000264381"/>
    <s v="The Wall"/>
    <x v="8"/>
    <n v="1"/>
    <x v="28"/>
    <m/>
    <x v="3"/>
    <m/>
  </r>
  <r>
    <n v="328"/>
    <n v="20250206"/>
    <n v="39000284765"/>
    <s v="House Stark"/>
    <x v="8"/>
    <n v="1"/>
    <x v="10"/>
    <m/>
    <x v="3"/>
    <m/>
  </r>
  <r>
    <n v="329"/>
    <n v="20250303"/>
    <n v="39000587405"/>
    <s v="Rio de Janiero"/>
    <x v="2"/>
    <n v="1"/>
    <x v="46"/>
    <m/>
    <x v="3"/>
    <m/>
  </r>
  <r>
    <n v="330"/>
    <n v="20250107"/>
    <n v="39002180204"/>
    <s v="Casa Amor"/>
    <x v="1"/>
    <n v="1"/>
    <x v="1"/>
    <m/>
    <x v="3"/>
    <m/>
  </r>
  <r>
    <n v="331"/>
    <n v="20250129"/>
    <n v="39000338676"/>
    <s v="Red Outpost"/>
    <x v="7"/>
    <n v="1"/>
    <x v="4"/>
    <m/>
    <x v="3"/>
    <m/>
  </r>
  <r>
    <n v="332"/>
    <n v="20250110"/>
    <n v="39002389387"/>
    <s v="Red Outpost"/>
    <x v="7"/>
    <n v="1"/>
    <x v="1"/>
    <m/>
    <x v="3"/>
    <m/>
  </r>
  <r>
    <n v="333"/>
    <n v="20250305"/>
    <n v="39001766349"/>
    <s v="Red Outpost"/>
    <x v="7"/>
    <n v="2"/>
    <x v="45"/>
    <m/>
    <x v="3"/>
    <m/>
  </r>
  <r>
    <n v="334"/>
    <n v="20250109"/>
    <n v="39001761019"/>
    <s v="The Wall"/>
    <x v="8"/>
    <n v="1"/>
    <x v="45"/>
    <m/>
    <x v="3"/>
    <m/>
  </r>
  <r>
    <n v="335"/>
    <n v="20250109"/>
    <n v="39000668213"/>
    <s v="Hoth"/>
    <x v="4"/>
    <n v="2"/>
    <x v="18"/>
    <m/>
    <x v="3"/>
    <m/>
  </r>
  <r>
    <n v="336"/>
    <n v="20250123"/>
    <n v="39000954824"/>
    <s v="Mumbai"/>
    <x v="5"/>
    <n v="1"/>
    <x v="4"/>
    <m/>
    <x v="3"/>
    <m/>
  </r>
  <r>
    <n v="337"/>
    <n v="20250212"/>
    <n v="39002389283"/>
    <s v="Red Outpost"/>
    <x v="7"/>
    <n v="2"/>
    <x v="4"/>
    <m/>
    <x v="3"/>
    <m/>
  </r>
  <r>
    <n v="338"/>
    <n v="20250225"/>
    <n v="39000957294"/>
    <s v="Mumbai"/>
    <x v="5"/>
    <n v="1"/>
    <x v="49"/>
    <m/>
    <x v="3"/>
    <m/>
  </r>
  <r>
    <n v="339"/>
    <n v="20250116"/>
    <n v="39001548274"/>
    <s v="Scranton"/>
    <x v="3"/>
    <n v="1"/>
    <x v="46"/>
    <m/>
    <x v="3"/>
    <m/>
  </r>
  <r>
    <n v="340"/>
    <n v="20250304"/>
    <n v="39002401633"/>
    <s v="Red Outpost"/>
    <x v="7"/>
    <n v="1"/>
    <x v="11"/>
    <m/>
    <x v="3"/>
    <m/>
  </r>
  <r>
    <n v="341"/>
    <n v="20250228"/>
    <n v="39001967849"/>
    <s v="The Wall"/>
    <x v="8"/>
    <n v="2"/>
    <x v="0"/>
    <m/>
    <x v="3"/>
    <m/>
  </r>
  <r>
    <n v="342"/>
    <n v="20250129"/>
    <n v="39000979550"/>
    <s v="Mumbai"/>
    <x v="5"/>
    <n v="1"/>
    <x v="27"/>
    <m/>
    <x v="3"/>
    <m/>
  </r>
  <r>
    <n v="441"/>
    <n v="20250115"/>
    <n v="39000979550"/>
    <s v="Mumbai"/>
    <x v="5"/>
    <n v="-0.83299999999999996"/>
    <x v="65"/>
    <m/>
    <x v="3"/>
    <m/>
  </r>
  <r>
    <n v="343"/>
    <n v="20250113"/>
    <n v="39000264576"/>
    <s v="The Wall"/>
    <x v="8"/>
    <n v="1"/>
    <x v="71"/>
    <m/>
    <x v="3"/>
    <m/>
  </r>
  <r>
    <n v="344"/>
    <n v="20250211"/>
    <n v="39001481792"/>
    <s v="Scranton"/>
    <x v="3"/>
    <n v="1"/>
    <x v="11"/>
    <m/>
    <x v="3"/>
    <m/>
  </r>
  <r>
    <n v="345"/>
    <n v="20250117"/>
    <n v="39000340873"/>
    <s v="Red Outpost"/>
    <x v="7"/>
    <n v="5"/>
    <x v="7"/>
    <m/>
    <x v="3"/>
    <m/>
  </r>
  <r>
    <n v="346"/>
    <n v="20250123"/>
    <n v="39001535950"/>
    <s v="Nashua"/>
    <x v="3"/>
    <n v="1"/>
    <x v="18"/>
    <m/>
    <x v="3"/>
    <m/>
  </r>
  <r>
    <n v="348"/>
    <n v="20250228"/>
    <n v="39000333216"/>
    <s v="Red Outpost"/>
    <x v="7"/>
    <n v="1"/>
    <x v="2"/>
    <m/>
    <x v="3"/>
    <m/>
  </r>
  <r>
    <n v="349"/>
    <n v="20250211"/>
    <n v="39000666653"/>
    <s v="Hoth"/>
    <x v="4"/>
    <n v="1"/>
    <x v="0"/>
    <m/>
    <x v="3"/>
    <m/>
  </r>
  <r>
    <n v="350"/>
    <n v="20250219"/>
    <n v="39000240643"/>
    <s v="Gotham"/>
    <x v="0"/>
    <n v="1"/>
    <x v="27"/>
    <m/>
    <x v="3"/>
    <m/>
  </r>
  <r>
    <n v="351"/>
    <n v="20250219"/>
    <n v="39000280306"/>
    <s v="House Stark"/>
    <x v="8"/>
    <n v="4"/>
    <x v="7"/>
    <m/>
    <x v="3"/>
    <m/>
  </r>
  <r>
    <n v="352"/>
    <n v="20250115"/>
    <n v="39000228917"/>
    <s v="Gotham"/>
    <x v="0"/>
    <n v="1"/>
    <x v="21"/>
    <m/>
    <x v="3"/>
    <m/>
  </r>
  <r>
    <n v="353"/>
    <n v="20250227"/>
    <n v="39001955590"/>
    <s v="Metropolis"/>
    <x v="0"/>
    <n v="2"/>
    <x v="34"/>
    <m/>
    <x v="3"/>
    <m/>
  </r>
  <r>
    <n v="354"/>
    <n v="20250130"/>
    <n v="39000284869"/>
    <s v="House Stark"/>
    <x v="8"/>
    <n v="1"/>
    <x v="51"/>
    <m/>
    <x v="3"/>
    <m/>
  </r>
  <r>
    <n v="355"/>
    <n v="20250225"/>
    <n v="39000212849"/>
    <s v="Gotham"/>
    <x v="0"/>
    <n v="-0.125"/>
    <x v="27"/>
    <m/>
    <x v="3"/>
    <m/>
  </r>
  <r>
    <n v="356"/>
    <n v="20250228"/>
    <n v="39000655525"/>
    <s v="Hoth"/>
    <x v="4"/>
    <n v="1"/>
    <x v="46"/>
    <m/>
    <x v="3"/>
    <m/>
  </r>
  <r>
    <n v="357"/>
    <n v="20250307"/>
    <n v="39001716754"/>
    <s v="Casa Amor"/>
    <x v="1"/>
    <n v="2"/>
    <x v="25"/>
    <m/>
    <x v="3"/>
    <m/>
  </r>
  <r>
    <n v="358"/>
    <n v="20250206"/>
    <n v="39000590759"/>
    <s v="Rio de Janiero"/>
    <x v="2"/>
    <n v="1"/>
    <x v="12"/>
    <m/>
    <x v="3"/>
    <m/>
  </r>
  <r>
    <n v="360"/>
    <n v="20250113"/>
    <n v="39000334191"/>
    <s v="Red Outpost"/>
    <x v="7"/>
    <n v="1"/>
    <x v="27"/>
    <m/>
    <x v="3"/>
    <m/>
  </r>
  <r>
    <n v="361"/>
    <n v="20250307"/>
    <n v="39000338468"/>
    <s v="Red Outpost"/>
    <x v="7"/>
    <n v="1"/>
    <x v="46"/>
    <m/>
    <x v="3"/>
    <m/>
  </r>
  <r>
    <n v="362"/>
    <n v="20250305"/>
    <n v="39000234585"/>
    <s v="Gotham"/>
    <x v="0"/>
    <n v="-8.3000000000000004E-2"/>
    <x v="25"/>
    <m/>
    <x v="3"/>
    <m/>
  </r>
  <r>
    <n v="363"/>
    <n v="20250228"/>
    <n v="39000592592"/>
    <s v="Rio de Janiero"/>
    <x v="2"/>
    <n v="1"/>
    <x v="61"/>
    <m/>
    <x v="3"/>
    <m/>
  </r>
  <r>
    <n v="364"/>
    <n v="20250224"/>
    <n v="39000282191"/>
    <s v="House Stark"/>
    <x v="8"/>
    <n v="1"/>
    <x v="9"/>
    <m/>
    <x v="3"/>
    <m/>
  </r>
  <r>
    <n v="365"/>
    <n v="20250228"/>
    <n v="39000415987"/>
    <s v="Red Outpost"/>
    <x v="7"/>
    <n v="1"/>
    <x v="48"/>
    <m/>
    <x v="3"/>
    <m/>
  </r>
  <r>
    <n v="366"/>
    <n v="20250107"/>
    <n v="39000659282"/>
    <s v="Hoth"/>
    <x v="4"/>
    <n v="1"/>
    <x v="1"/>
    <m/>
    <x v="3"/>
    <m/>
  </r>
  <r>
    <n v="367"/>
    <n v="20250110"/>
    <n v="39001393002"/>
    <s v="Scranton"/>
    <x v="3"/>
    <n v="2"/>
    <x v="43"/>
    <m/>
    <x v="3"/>
    <m/>
  </r>
  <r>
    <n v="368"/>
    <n v="20250214"/>
    <n v="39000661817"/>
    <s v="Hoth"/>
    <x v="4"/>
    <n v="-1.167"/>
    <x v="34"/>
    <m/>
    <x v="3"/>
    <m/>
  </r>
  <r>
    <n v="369"/>
    <n v="20250305"/>
    <n v="39001782040"/>
    <s v="Casa Amor"/>
    <x v="1"/>
    <n v="-0.91700000000000004"/>
    <x v="5"/>
    <m/>
    <x v="3"/>
    <m/>
  </r>
  <r>
    <n v="370"/>
    <n v="20250106"/>
    <n v="39000271544"/>
    <s v="The Wall"/>
    <x v="8"/>
    <n v="1"/>
    <x v="18"/>
    <m/>
    <x v="3"/>
    <m/>
  </r>
  <r>
    <n v="371"/>
    <n v="20250226"/>
    <n v="39000661765"/>
    <s v="Hoth"/>
    <x v="4"/>
    <n v="1"/>
    <x v="61"/>
    <m/>
    <x v="3"/>
    <m/>
  </r>
  <r>
    <n v="372"/>
    <n v="20250221"/>
    <n v="39001488617"/>
    <s v="Scranton"/>
    <x v="3"/>
    <n v="1"/>
    <x v="3"/>
    <m/>
    <x v="3"/>
    <m/>
  </r>
  <r>
    <n v="373"/>
    <n v="20250213"/>
    <n v="39001520155"/>
    <s v="Scranton"/>
    <x v="3"/>
    <n v="1"/>
    <x v="60"/>
    <m/>
    <x v="3"/>
    <m/>
  </r>
  <r>
    <n v="374"/>
    <n v="20250103"/>
    <n v="39000238043"/>
    <s v="Gotham"/>
    <x v="0"/>
    <n v="1"/>
    <x v="56"/>
    <m/>
    <x v="3"/>
    <m/>
  </r>
  <r>
    <n v="375"/>
    <n v="20250115"/>
    <n v="39000203346"/>
    <s v="Gotham"/>
    <x v="0"/>
    <n v="1"/>
    <x v="64"/>
    <m/>
    <x v="3"/>
    <m/>
  </r>
  <r>
    <n v="376"/>
    <n v="20250102"/>
    <n v="39000412009"/>
    <s v="Red Outpost"/>
    <x v="7"/>
    <n v="1"/>
    <x v="34"/>
    <m/>
    <x v="3"/>
    <m/>
  </r>
  <r>
    <n v="377"/>
    <n v="20250212"/>
    <n v="39000341939"/>
    <s v="Red Outpost"/>
    <x v="7"/>
    <n v="1"/>
    <x v="3"/>
    <m/>
    <x v="3"/>
    <m/>
  </r>
  <r>
    <n v="378"/>
    <n v="20250306"/>
    <n v="39001690559"/>
    <s v="Casa Amor"/>
    <x v="1"/>
    <n v="2"/>
    <x v="16"/>
    <m/>
    <x v="3"/>
    <m/>
  </r>
  <r>
    <n v="379"/>
    <n v="20250213"/>
    <n v="39000206414"/>
    <s v="Gotham"/>
    <x v="0"/>
    <n v="3"/>
    <x v="0"/>
    <m/>
    <x v="3"/>
    <m/>
  </r>
  <r>
    <n v="380"/>
    <n v="20250225"/>
    <n v="39000667043"/>
    <s v="Hoth"/>
    <x v="4"/>
    <n v="2"/>
    <x v="1"/>
    <m/>
    <x v="3"/>
    <m/>
  </r>
  <r>
    <n v="381"/>
    <n v="20250226"/>
    <n v="39001674543"/>
    <s v="Hoth"/>
    <x v="4"/>
    <n v="2"/>
    <x v="55"/>
    <m/>
    <x v="3"/>
    <m/>
  </r>
  <r>
    <n v="382"/>
    <n v="20250123"/>
    <n v="39000957047"/>
    <s v="Mumbai"/>
    <x v="5"/>
    <n v="1"/>
    <x v="34"/>
    <m/>
    <x v="3"/>
    <m/>
  </r>
  <r>
    <n v="383"/>
    <n v="20250310"/>
    <n v="39000657813"/>
    <s v="Hoth"/>
    <x v="4"/>
    <n v="1"/>
    <x v="48"/>
    <m/>
    <x v="3"/>
    <m/>
  </r>
  <r>
    <n v="384"/>
    <n v="20250305"/>
    <n v="39000197158"/>
    <s v="Gotham"/>
    <x v="0"/>
    <n v="2"/>
    <x v="2"/>
    <m/>
    <x v="3"/>
    <m/>
  </r>
  <r>
    <n v="385"/>
    <n v="20250217"/>
    <n v="39000662168"/>
    <s v="Hoth"/>
    <x v="4"/>
    <n v="1"/>
    <x v="45"/>
    <m/>
    <x v="3"/>
    <m/>
  </r>
  <r>
    <n v="386"/>
    <n v="20250305"/>
    <n v="39000951353"/>
    <s v="Mumbai"/>
    <x v="5"/>
    <n v="1"/>
    <x v="6"/>
    <m/>
    <x v="3"/>
    <m/>
  </r>
  <r>
    <n v="387"/>
    <n v="20250210"/>
    <n v="39001520233"/>
    <s v="Scranton"/>
    <x v="3"/>
    <n v="1"/>
    <x v="10"/>
    <m/>
    <x v="3"/>
    <m/>
  </r>
  <r>
    <n v="388"/>
    <n v="20250219"/>
    <n v="39000658554"/>
    <s v="Hoth"/>
    <x v="4"/>
    <n v="1"/>
    <x v="16"/>
    <m/>
    <x v="3"/>
    <m/>
  </r>
  <r>
    <n v="389"/>
    <n v="20250307"/>
    <n v="39000968721"/>
    <s v="Mumbai"/>
    <x v="5"/>
    <n v="1"/>
    <x v="55"/>
    <m/>
    <x v="3"/>
    <m/>
  </r>
  <r>
    <n v="390"/>
    <n v="20250212"/>
    <n v="39000229970"/>
    <s v="Gotham"/>
    <x v="0"/>
    <n v="2"/>
    <x v="28"/>
    <m/>
    <x v="3"/>
    <m/>
  </r>
  <r>
    <n v="391"/>
    <n v="20250121"/>
    <n v="39001537796"/>
    <s v="Nashua"/>
    <x v="3"/>
    <n v="1"/>
    <x v="34"/>
    <m/>
    <x v="3"/>
    <m/>
  </r>
  <r>
    <n v="392"/>
    <n v="20250213"/>
    <n v="39000732069"/>
    <s v="Salzburg"/>
    <x v="10"/>
    <n v="1"/>
    <x v="1"/>
    <m/>
    <x v="3"/>
    <m/>
  </r>
  <r>
    <n v="393"/>
    <n v="20250205"/>
    <n v="39000219817"/>
    <s v="Gotham"/>
    <x v="0"/>
    <n v="-4.2000000000000003E-2"/>
    <x v="5"/>
    <m/>
    <x v="3"/>
    <m/>
  </r>
  <r>
    <n v="394"/>
    <n v="20250102"/>
    <n v="39000232570"/>
    <s v="Gotham"/>
    <x v="0"/>
    <n v="1"/>
    <x v="0"/>
    <m/>
    <x v="3"/>
    <m/>
  </r>
  <r>
    <n v="395"/>
    <n v="20250102"/>
    <n v="39002314208"/>
    <s v="Santas Workshop"/>
    <x v="9"/>
    <n v="-0.5"/>
    <x v="71"/>
    <m/>
    <x v="3"/>
    <m/>
  </r>
  <r>
    <n v="396"/>
    <n v="20250106"/>
    <n v="39000657020"/>
    <s v="Hoth"/>
    <x v="4"/>
    <n v="1"/>
    <x v="72"/>
    <m/>
    <x v="3"/>
    <m/>
  </r>
  <r>
    <n v="397"/>
    <n v="20250206"/>
    <n v="39002398123"/>
    <s v="Rio de Janiero"/>
    <x v="2"/>
    <n v="2"/>
    <x v="34"/>
    <m/>
    <x v="3"/>
    <m/>
  </r>
  <r>
    <n v="398"/>
    <n v="20250218"/>
    <n v="39000342589"/>
    <s v="Red Outpost"/>
    <x v="7"/>
    <n v="1"/>
    <x v="24"/>
    <m/>
    <x v="3"/>
    <m/>
  </r>
  <r>
    <n v="399"/>
    <n v="20250106"/>
    <n v="39000958997"/>
    <s v="Mumbai"/>
    <x v="5"/>
    <n v="1"/>
    <x v="45"/>
    <m/>
    <x v="3"/>
    <m/>
  </r>
  <r>
    <n v="400"/>
    <n v="20250221"/>
    <n v="39001519609"/>
    <s v="Scranton"/>
    <x v="3"/>
    <n v="2"/>
    <x v="0"/>
    <m/>
    <x v="3"/>
    <m/>
  </r>
  <r>
    <n v="401"/>
    <n v="20250213"/>
    <n v="39001120119"/>
    <s v="Salzburg"/>
    <x v="10"/>
    <n v="1"/>
    <x v="73"/>
    <m/>
    <x v="3"/>
    <m/>
  </r>
  <r>
    <n v="402"/>
    <n v="20250225"/>
    <n v="39000221416"/>
    <s v="Gotham"/>
    <x v="0"/>
    <n v="2"/>
    <x v="7"/>
    <m/>
    <x v="3"/>
    <m/>
  </r>
  <r>
    <n v="404"/>
    <n v="20250307"/>
    <n v="39001726114"/>
    <s v="Scranton"/>
    <x v="3"/>
    <n v="1"/>
    <x v="3"/>
    <m/>
    <x v="3"/>
    <m/>
  </r>
  <r>
    <n v="405"/>
    <n v="20250122"/>
    <n v="39000221533"/>
    <s v="Gotham"/>
    <x v="0"/>
    <n v="1"/>
    <x v="50"/>
    <m/>
    <x v="3"/>
    <m/>
  </r>
  <r>
    <n v="406"/>
    <n v="20250210"/>
    <n v="39000666848"/>
    <s v="Hoth"/>
    <x v="4"/>
    <n v="1"/>
    <x v="10"/>
    <m/>
    <x v="3"/>
    <m/>
  </r>
  <r>
    <n v="407"/>
    <n v="20250210"/>
    <n v="39001689285"/>
    <s v="Casa Amor"/>
    <x v="1"/>
    <n v="2"/>
    <x v="26"/>
    <m/>
    <x v="3"/>
    <m/>
  </r>
  <r>
    <n v="408"/>
    <n v="20250102"/>
    <n v="39000955435"/>
    <s v="Mumbai"/>
    <x v="5"/>
    <n v="1"/>
    <x v="0"/>
    <m/>
    <x v="3"/>
    <m/>
  </r>
  <r>
    <n v="409"/>
    <n v="20250306"/>
    <n v="39000592774"/>
    <s v="Rio de Janiero"/>
    <x v="2"/>
    <n v="1"/>
    <x v="34"/>
    <m/>
    <x v="3"/>
    <m/>
  </r>
  <r>
    <n v="410"/>
    <n v="20250206"/>
    <n v="39000206089"/>
    <s v="Gotham"/>
    <x v="0"/>
    <n v="1"/>
    <x v="25"/>
    <m/>
    <x v="3"/>
    <m/>
  </r>
  <r>
    <n v="411"/>
    <n v="20250213"/>
    <n v="39000587756"/>
    <s v="Rio de Janiero"/>
    <x v="2"/>
    <n v="2"/>
    <x v="0"/>
    <m/>
    <x v="3"/>
    <m/>
  </r>
  <r>
    <n v="412"/>
    <n v="20250128"/>
    <n v="39000338598"/>
    <s v="Red Outpost"/>
    <x v="7"/>
    <n v="2"/>
    <x v="45"/>
    <m/>
    <x v="3"/>
    <m/>
  </r>
  <r>
    <n v="413"/>
    <n v="20250220"/>
    <n v="39001712828"/>
    <s v="Casa Amor"/>
    <x v="1"/>
    <n v="1"/>
    <x v="10"/>
    <m/>
    <x v="3"/>
    <m/>
  </r>
  <r>
    <n v="414"/>
    <n v="20250109"/>
    <n v="39000284934"/>
    <s v="House Stark"/>
    <x v="8"/>
    <n v="1"/>
    <x v="36"/>
    <m/>
    <x v="3"/>
    <m/>
  </r>
  <r>
    <n v="415"/>
    <n v="20250211"/>
    <n v="39002660879"/>
    <s v="Casa Amor"/>
    <x v="1"/>
    <n v="1"/>
    <x v="16"/>
    <m/>
    <x v="3"/>
    <m/>
  </r>
  <r>
    <n v="416"/>
    <n v="20250221"/>
    <n v="39000340678"/>
    <s v="Red Outpost"/>
    <x v="7"/>
    <n v="1"/>
    <x v="7"/>
    <m/>
    <x v="3"/>
    <m/>
  </r>
  <r>
    <n v="417"/>
    <n v="20250205"/>
    <n v="39000659789"/>
    <s v="Hoth"/>
    <x v="4"/>
    <n v="2"/>
    <x v="23"/>
    <m/>
    <x v="3"/>
    <m/>
  </r>
  <r>
    <n v="418"/>
    <n v="20250127"/>
    <n v="39001700959"/>
    <s v="Casa Amor"/>
    <x v="1"/>
    <n v="1"/>
    <x v="39"/>
    <m/>
    <x v="3"/>
    <m/>
  </r>
  <r>
    <n v="419"/>
    <n v="20250130"/>
    <n v="39000222352"/>
    <s v="Gotham"/>
    <x v="0"/>
    <n v="1"/>
    <x v="24"/>
    <m/>
    <x v="3"/>
    <m/>
  </r>
  <r>
    <n v="420"/>
    <n v="20250117"/>
    <n v="39000344942"/>
    <s v="Red Outpost"/>
    <x v="7"/>
    <n v="1"/>
    <x v="16"/>
    <m/>
    <x v="3"/>
    <m/>
  </r>
  <r>
    <n v="421"/>
    <n v="20250124"/>
    <n v="39001467791"/>
    <s v="Scranton"/>
    <x v="3"/>
    <n v="4"/>
    <x v="7"/>
    <m/>
    <x v="3"/>
    <m/>
  </r>
  <r>
    <n v="424"/>
    <n v="20250123"/>
    <n v="39001519661"/>
    <s v="Scranton"/>
    <x v="3"/>
    <n v="1"/>
    <x v="45"/>
    <m/>
    <x v="3"/>
    <m/>
  </r>
  <r>
    <n v="425"/>
    <n v="20250129"/>
    <n v="39000956072"/>
    <s v="Mumbai"/>
    <x v="5"/>
    <n v="1"/>
    <x v="23"/>
    <m/>
    <x v="3"/>
    <m/>
  </r>
  <r>
    <n v="427"/>
    <n v="20250226"/>
    <n v="39000586001"/>
    <s v="Rio de Janiero"/>
    <x v="2"/>
    <n v="1"/>
    <x v="28"/>
    <m/>
    <x v="3"/>
    <m/>
  </r>
  <r>
    <n v="428"/>
    <n v="20250305"/>
    <n v="39001772030"/>
    <s v="Metropolis"/>
    <x v="0"/>
    <n v="2"/>
    <x v="2"/>
    <m/>
    <x v="3"/>
    <m/>
  </r>
  <r>
    <n v="429"/>
    <n v="20250218"/>
    <n v="39000963742"/>
    <s v="Mumbai"/>
    <x v="5"/>
    <n v="1"/>
    <x v="18"/>
    <m/>
    <x v="3"/>
    <m/>
  </r>
  <r>
    <n v="430"/>
    <n v="20250212"/>
    <n v="39002261480"/>
    <s v="Santas Workshop"/>
    <x v="9"/>
    <n v="1"/>
    <x v="10"/>
    <m/>
    <x v="3"/>
    <m/>
  </r>
  <r>
    <n v="431"/>
    <n v="20250210"/>
    <n v="39000334698"/>
    <s v="Red Outpost"/>
    <x v="7"/>
    <n v="2"/>
    <x v="0"/>
    <m/>
    <x v="3"/>
    <m/>
  </r>
  <r>
    <n v="432"/>
    <n v="20250211"/>
    <n v="39000264589"/>
    <s v="The Wall"/>
    <x v="8"/>
    <n v="1"/>
    <x v="66"/>
    <m/>
    <x v="3"/>
    <m/>
  </r>
  <r>
    <n v="433"/>
    <n v="20250102"/>
    <n v="39001520064"/>
    <s v="Scranton"/>
    <x v="3"/>
    <n v="1"/>
    <x v="72"/>
    <m/>
    <x v="3"/>
    <m/>
  </r>
  <r>
    <n v="434"/>
    <n v="20250211"/>
    <n v="39000599690"/>
    <s v="Rio de Janiero"/>
    <x v="2"/>
    <n v="-8.3000000000000004E-2"/>
    <x v="49"/>
    <m/>
    <x v="3"/>
    <m/>
  </r>
  <r>
    <n v="435"/>
    <n v="20250107"/>
    <n v="39001488448"/>
    <s v="Summer House"/>
    <x v="6"/>
    <n v="2"/>
    <x v="34"/>
    <m/>
    <x v="3"/>
    <m/>
  </r>
  <r>
    <n v="436"/>
    <n v="20250113"/>
    <n v="39000341484"/>
    <s v="Red Outpost"/>
    <x v="7"/>
    <n v="1"/>
    <x v="26"/>
    <m/>
    <x v="3"/>
    <m/>
  </r>
  <r>
    <n v="437"/>
    <n v="20250207"/>
    <n v="39000269854"/>
    <s v="The Wall"/>
    <x v="8"/>
    <n v="1"/>
    <x v="10"/>
    <m/>
    <x v="3"/>
    <m/>
  </r>
  <r>
    <n v="438"/>
    <n v="20250124"/>
    <n v="39000201292"/>
    <s v="Gotham"/>
    <x v="0"/>
    <n v="1"/>
    <x v="4"/>
    <m/>
    <x v="3"/>
    <m/>
  </r>
  <r>
    <n v="439"/>
    <n v="20250304"/>
    <n v="39000340769"/>
    <s v="Red Outpost"/>
    <x v="7"/>
    <n v="1"/>
    <x v="0"/>
    <m/>
    <x v="3"/>
    <m/>
  </r>
  <r>
    <n v="440"/>
    <n v="20250122"/>
    <n v="39000241059"/>
    <s v="Gotham"/>
    <x v="0"/>
    <n v="1"/>
    <x v="9"/>
    <m/>
    <x v="3"/>
    <m/>
  </r>
  <r>
    <n v="442"/>
    <n v="20250203"/>
    <n v="39002768155"/>
    <s v="Santas Workshop"/>
    <x v="9"/>
    <n v="2"/>
    <x v="39"/>
    <m/>
    <x v="3"/>
    <m/>
  </r>
  <r>
    <n v="443"/>
    <n v="20250131"/>
    <n v="39001431612"/>
    <s v="Nashua"/>
    <x v="3"/>
    <n v="2"/>
    <x v="10"/>
    <m/>
    <x v="3"/>
    <m/>
  </r>
  <r>
    <n v="444"/>
    <n v="20250304"/>
    <n v="39001520116"/>
    <s v="Scranton"/>
    <x v="3"/>
    <n v="2"/>
    <x v="17"/>
    <m/>
    <x v="3"/>
    <m/>
  </r>
  <r>
    <n v="445"/>
    <n v="20250115"/>
    <n v="39000948818"/>
    <s v="Mumbai"/>
    <x v="5"/>
    <n v="2"/>
    <x v="45"/>
    <m/>
    <x v="3"/>
    <m/>
  </r>
  <r>
    <n v="446"/>
    <n v="20250114"/>
    <n v="39001379001"/>
    <s v="Hoth"/>
    <x v="4"/>
    <n v="1"/>
    <x v="9"/>
    <m/>
    <x v="3"/>
    <m/>
  </r>
  <r>
    <n v="447"/>
    <n v="20250219"/>
    <n v="39000197249"/>
    <s v="Gotham"/>
    <x v="0"/>
    <n v="1"/>
    <x v="27"/>
    <m/>
    <x v="3"/>
    <m/>
  </r>
  <r>
    <n v="448"/>
    <n v="20250203"/>
    <n v="39000198094"/>
    <s v="Gotham"/>
    <x v="0"/>
    <n v="4"/>
    <x v="0"/>
    <m/>
    <x v="3"/>
    <m/>
  </r>
  <r>
    <n v="449"/>
    <n v="20250226"/>
    <n v="39000586183"/>
    <s v="Rio de Janiero"/>
    <x v="2"/>
    <n v="1"/>
    <x v="30"/>
    <m/>
    <x v="3"/>
    <m/>
  </r>
  <r>
    <n v="450"/>
    <n v="20250224"/>
    <n v="39000665067"/>
    <s v="Hoth"/>
    <x v="4"/>
    <n v="6"/>
    <x v="46"/>
    <m/>
    <x v="3"/>
    <m/>
  </r>
  <r>
    <n v="452"/>
    <n v="20250210"/>
    <n v="39000590629"/>
    <s v="Rio de Janiero"/>
    <x v="2"/>
    <n v="1"/>
    <x v="45"/>
    <m/>
    <x v="3"/>
    <m/>
  </r>
  <r>
    <n v="455"/>
    <n v="20250305"/>
    <n v="39000348413"/>
    <s v="Red Outpost"/>
    <x v="7"/>
    <n v="2"/>
    <x v="55"/>
    <m/>
    <x v="3"/>
    <m/>
  </r>
  <r>
    <n v="456"/>
    <n v="20250117"/>
    <n v="39000592085"/>
    <s v="Rio de Janiero"/>
    <x v="2"/>
    <n v="1"/>
    <x v="3"/>
    <m/>
    <x v="3"/>
    <m/>
  </r>
  <r>
    <n v="457"/>
    <n v="20250303"/>
    <n v="39002257359"/>
    <s v="Santas Workshop"/>
    <x v="9"/>
    <n v="1"/>
    <x v="7"/>
    <m/>
    <x v="3"/>
    <m/>
  </r>
  <r>
    <n v="458"/>
    <n v="20250217"/>
    <n v="39000661219"/>
    <s v="Hoth"/>
    <x v="4"/>
    <n v="3"/>
    <x v="34"/>
    <m/>
    <x v="3"/>
    <m/>
  </r>
  <r>
    <n v="460"/>
    <n v="20250213"/>
    <n v="39000586898"/>
    <s v="Rio de Janiero"/>
    <x v="2"/>
    <n v="1"/>
    <x v="0"/>
    <m/>
    <x v="3"/>
    <m/>
  </r>
  <r>
    <n v="461"/>
    <n v="20250205"/>
    <n v="39000423449"/>
    <s v="Red Outpost"/>
    <x v="7"/>
    <n v="2"/>
    <x v="11"/>
    <m/>
    <x v="3"/>
    <m/>
  </r>
  <r>
    <n v="463"/>
    <n v="20250221"/>
    <n v="39000280280"/>
    <s v="House Stark"/>
    <x v="8"/>
    <n v="1"/>
    <x v="27"/>
    <m/>
    <x v="3"/>
    <m/>
  </r>
  <r>
    <n v="464"/>
    <n v="20250124"/>
    <n v="39001431313"/>
    <s v="Scranton"/>
    <x v="3"/>
    <n v="1"/>
    <x v="9"/>
    <m/>
    <x v="3"/>
    <m/>
  </r>
  <r>
    <n v="465"/>
    <n v="20250227"/>
    <n v="39000212979"/>
    <s v="Gotham"/>
    <x v="0"/>
    <n v="1"/>
    <x v="18"/>
    <m/>
    <x v="3"/>
    <m/>
  </r>
  <r>
    <n v="466"/>
    <n v="20250103"/>
    <n v="39000338663"/>
    <s v="Red Outpost"/>
    <x v="7"/>
    <n v="1"/>
    <x v="64"/>
    <m/>
    <x v="3"/>
    <m/>
  </r>
  <r>
    <n v="467"/>
    <n v="20250121"/>
    <n v="39002175732"/>
    <s v="Gotham"/>
    <x v="0"/>
    <n v="1"/>
    <x v="57"/>
    <m/>
    <x v="3"/>
    <m/>
  </r>
  <r>
    <n v="468"/>
    <n v="20250228"/>
    <n v="39000964912"/>
    <s v="Mumbai"/>
    <x v="5"/>
    <n v="1"/>
    <x v="55"/>
    <m/>
    <x v="3"/>
    <m/>
  </r>
  <r>
    <n v="469"/>
    <n v="20250206"/>
    <n v="39000657098"/>
    <s v="Hoth"/>
    <x v="4"/>
    <n v="1"/>
    <x v="13"/>
    <m/>
    <x v="3"/>
    <m/>
  </r>
  <r>
    <n v="470"/>
    <n v="20250220"/>
    <n v="39000658710"/>
    <s v="Hoth"/>
    <x v="4"/>
    <n v="1"/>
    <x v="67"/>
    <m/>
    <x v="3"/>
    <m/>
  </r>
  <r>
    <n v="472"/>
    <n v="20250227"/>
    <n v="39000218114"/>
    <s v="Metropolis"/>
    <x v="0"/>
    <n v="1"/>
    <x v="34"/>
    <m/>
    <x v="3"/>
    <m/>
  </r>
  <r>
    <n v="473"/>
    <n v="20250103"/>
    <n v="39000212407"/>
    <s v="Gotham"/>
    <x v="0"/>
    <n v="1"/>
    <x v="16"/>
    <m/>
    <x v="3"/>
    <m/>
  </r>
  <r>
    <n v="475"/>
    <n v="20250218"/>
    <n v="39000955760"/>
    <s v="Mumbai"/>
    <x v="5"/>
    <n v="1"/>
    <x v="45"/>
    <m/>
    <x v="3"/>
    <m/>
  </r>
  <r>
    <n v="476"/>
    <n v="20250224"/>
    <n v="39000220337"/>
    <s v="Gotham"/>
    <x v="0"/>
    <n v="1"/>
    <x v="34"/>
    <m/>
    <x v="3"/>
    <m/>
  </r>
  <r>
    <n v="477"/>
    <n v="20250221"/>
    <n v="39000198003"/>
    <s v="Gotham"/>
    <x v="0"/>
    <n v="6"/>
    <x v="7"/>
    <m/>
    <x v="3"/>
    <m/>
  </r>
  <r>
    <n v="478"/>
    <n v="20250228"/>
    <n v="39000330031"/>
    <s v="Red Outpost"/>
    <x v="7"/>
    <n v="1"/>
    <x v="48"/>
    <m/>
    <x v="3"/>
    <m/>
  </r>
  <r>
    <n v="479"/>
    <n v="20250127"/>
    <n v="39000590057"/>
    <s v="Rio de Janiero"/>
    <x v="2"/>
    <n v="1"/>
    <x v="18"/>
    <m/>
    <x v="3"/>
    <m/>
  </r>
  <r>
    <n v="480"/>
    <n v="20250211"/>
    <n v="39001434628"/>
    <s v="Scranton"/>
    <x v="3"/>
    <n v="-1"/>
    <x v="27"/>
    <m/>
    <x v="3"/>
    <m/>
  </r>
  <r>
    <n v="481"/>
    <n v="20250306"/>
    <n v="39000217061"/>
    <s v="Gotham"/>
    <x v="0"/>
    <n v="1"/>
    <x v="3"/>
    <m/>
    <x v="3"/>
    <m/>
  </r>
  <r>
    <n v="482"/>
    <n v="20250117"/>
    <n v="39001392196"/>
    <s v="Scranton"/>
    <x v="3"/>
    <n v="1"/>
    <x v="12"/>
    <m/>
    <x v="3"/>
    <m/>
  </r>
  <r>
    <n v="483"/>
    <n v="20250203"/>
    <n v="39001718886"/>
    <s v="Casa Amor"/>
    <x v="1"/>
    <n v="1"/>
    <x v="10"/>
    <m/>
    <x v="3"/>
    <m/>
  </r>
  <r>
    <n v="484"/>
    <n v="20250121"/>
    <n v="39000263770"/>
    <s v="The Wall"/>
    <x v="8"/>
    <n v="1"/>
    <x v="30"/>
    <m/>
    <x v="3"/>
    <m/>
  </r>
  <r>
    <n v="485"/>
    <n v="20250131"/>
    <n v="39001516281"/>
    <s v="Scranton"/>
    <x v="3"/>
    <n v="4"/>
    <x v="34"/>
    <m/>
    <x v="3"/>
    <m/>
  </r>
  <r>
    <n v="486"/>
    <n v="20250108"/>
    <n v="39000964652"/>
    <s v="Mumbai"/>
    <x v="5"/>
    <n v="1"/>
    <x v="18"/>
    <m/>
    <x v="3"/>
    <m/>
  </r>
  <r>
    <n v="487"/>
    <n v="20250102"/>
    <n v="39001457560"/>
    <s v="Scranton"/>
    <x v="3"/>
    <n v="1"/>
    <x v="16"/>
    <m/>
    <x v="3"/>
    <m/>
  </r>
  <r>
    <n v="489"/>
    <n v="20250122"/>
    <n v="39001417949"/>
    <s v="Scranton"/>
    <x v="3"/>
    <n v="1"/>
    <x v="26"/>
    <m/>
    <x v="3"/>
    <m/>
  </r>
  <r>
    <n v="490"/>
    <n v="20250304"/>
    <n v="39000952458"/>
    <s v="Mumbai"/>
    <x v="5"/>
    <n v="1"/>
    <x v="55"/>
    <m/>
    <x v="3"/>
    <m/>
  </r>
  <r>
    <n v="491"/>
    <n v="20250221"/>
    <n v="39000199563"/>
    <s v="Metropolis"/>
    <x v="0"/>
    <n v="-0.16700000000000001"/>
    <x v="34"/>
    <m/>
    <x v="3"/>
    <m/>
  </r>
  <r>
    <n v="493"/>
    <n v="20250124"/>
    <n v="39001435096"/>
    <s v="Scranton"/>
    <x v="3"/>
    <n v="1"/>
    <x v="16"/>
    <m/>
    <x v="3"/>
    <m/>
  </r>
  <r>
    <n v="494"/>
    <n v="20250206"/>
    <n v="39000280761"/>
    <s v="House Stark"/>
    <x v="8"/>
    <n v="-0.125"/>
    <x v="34"/>
    <m/>
    <x v="3"/>
    <m/>
  </r>
  <r>
    <n v="495"/>
    <n v="20250129"/>
    <n v="39002666001"/>
    <s v="Hoth"/>
    <x v="4"/>
    <n v="1"/>
    <x v="4"/>
    <m/>
    <x v="3"/>
    <m/>
  </r>
  <r>
    <n v="496"/>
    <n v="20250225"/>
    <n v="39000213005"/>
    <s v="Gotham"/>
    <x v="0"/>
    <n v="1"/>
    <x v="24"/>
    <m/>
    <x v="3"/>
    <m/>
  </r>
  <r>
    <n v="497"/>
    <n v="20250115"/>
    <n v="39000201708"/>
    <s v="Gotham"/>
    <x v="0"/>
    <n v="2"/>
    <x v="34"/>
    <m/>
    <x v="3"/>
    <m/>
  </r>
  <r>
    <n v="498"/>
    <n v="20250110"/>
    <n v="39000336531"/>
    <s v="Red Outpost"/>
    <x v="7"/>
    <n v="1"/>
    <x v="9"/>
    <m/>
    <x v="3"/>
    <m/>
  </r>
  <r>
    <n v="499"/>
    <n v="20250124"/>
    <n v="39000237523"/>
    <s v="Gotham"/>
    <x v="0"/>
    <n v="1"/>
    <x v="12"/>
    <m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0"/>
    <s v="20250129"/>
    <n v="39000590031"/>
    <s v="Rio de Janiero"/>
    <x v="0"/>
    <n v="1"/>
    <s v="PICKLE JUICE 12OZ LS"/>
    <x v="0"/>
  </r>
  <r>
    <n v="1"/>
    <s v="20250117"/>
    <n v="39000592644"/>
    <s v="Rio de Janiero"/>
    <x v="0"/>
    <n v="1"/>
    <s v="DIET SODA 12OZ LS"/>
    <x v="1"/>
  </r>
  <r>
    <n v="2"/>
    <s v="20250304"/>
    <n v="39002246465"/>
    <s v="Santas Workshop"/>
    <x v="1"/>
    <n v="1"/>
    <s v="SF SUSHI ROLL 8.4OZ LS"/>
    <x v="2"/>
  </r>
  <r>
    <n v="3"/>
    <s v="20250224"/>
    <n v="39000592761"/>
    <s v="Rio de Janiero"/>
    <x v="0"/>
    <n v="-0.83299999999999996"/>
    <s v="SF MAPLE SYRUP 8.4OZ 4P"/>
    <x v="3"/>
  </r>
  <r>
    <n v="4"/>
    <s v="20250218"/>
    <n v="39000965848"/>
    <s v="Mumbai"/>
    <x v="2"/>
    <n v="1"/>
    <s v="BLUEBERRY SMOOTHIE 8.4OZ LS"/>
    <x v="4"/>
  </r>
  <r>
    <n v="5"/>
    <s v="20250304"/>
    <n v="39000200135"/>
    <s v="Gotham"/>
    <x v="3"/>
    <n v="2"/>
    <s v="SPICY MEATBALL 16OZ LS"/>
    <x v="5"/>
  </r>
  <r>
    <n v="6"/>
    <s v="20250130"/>
    <n v="39000270530"/>
    <s v="The Wall"/>
    <x v="4"/>
    <n v="1"/>
    <s v="SF ICE CREAM 12OZ LS"/>
    <x v="6"/>
  </r>
  <r>
    <n v="7"/>
    <s v="20250224"/>
    <n v="39000086008"/>
    <s v="Casa Amor"/>
    <x v="5"/>
    <n v="1"/>
    <s v="SF MAPLE SYRUP 12OZ LS"/>
    <x v="3"/>
  </r>
  <r>
    <n v="8"/>
    <s v="20250122"/>
    <n v="39000338741"/>
    <s v="Red Outpost"/>
    <x v="6"/>
    <n v="1"/>
    <s v="DIET COOKIE 20OZ LS"/>
    <x v="7"/>
  </r>
  <r>
    <n v="9"/>
    <s v="20250217"/>
    <n v="39000338247"/>
    <s v="Red Outpost"/>
    <x v="6"/>
    <n v="2"/>
    <s v="DIET COOKIE 8.4OZ 12PK"/>
    <x v="7"/>
  </r>
  <r>
    <n v="10"/>
    <s v="20250102"/>
    <n v="39001721837"/>
    <s v="Casa Amor"/>
    <x v="5"/>
    <n v="1"/>
    <s v="PICKLE JUICE 12OZ LS"/>
    <x v="0"/>
  </r>
  <r>
    <n v="11"/>
    <s v="20250107"/>
    <n v="39000593008"/>
    <s v="Rio de Janiero"/>
    <x v="0"/>
    <n v="1"/>
    <s v="DIET SODA 12OZ LS"/>
    <x v="1"/>
  </r>
  <r>
    <n v="12"/>
    <s v="20250206"/>
    <n v="39000661479"/>
    <s v="Hoth"/>
    <x v="7"/>
    <n v="3"/>
    <s v="SPICY MEATBALL 12OZ LS"/>
    <x v="5"/>
  </r>
  <r>
    <n v="13"/>
    <s v="20250225"/>
    <n v="39000588380"/>
    <s v="Rio de Janiero"/>
    <x v="0"/>
    <n v="1"/>
    <s v="WASABI BANANA PUDDING 12OZ LS"/>
    <x v="8"/>
  </r>
  <r>
    <n v="14"/>
    <s v="20250106"/>
    <n v="39000589030"/>
    <s v="Rio de Janiero"/>
    <x v="0"/>
    <n v="1"/>
    <s v="SPICY MEATBALL 20oz LS"/>
    <x v="5"/>
  </r>
  <r>
    <n v="15"/>
    <s v="20250117"/>
    <n v="39000227929"/>
    <s v="Gotham"/>
    <x v="3"/>
    <n v="1"/>
    <s v="DIET COOKIE 20OZ LS"/>
    <x v="7"/>
  </r>
  <r>
    <n v="16"/>
    <s v="20250102"/>
    <n v="39000214487"/>
    <s v="Metropolis"/>
    <x v="3"/>
    <n v="2"/>
    <s v="DIET COOKIE 12oz"/>
    <x v="9"/>
  </r>
  <r>
    <n v="17"/>
    <s v="20250220"/>
    <n v="39000233038"/>
    <s v="Gotham"/>
    <x v="3"/>
    <n v="1"/>
    <s v="DIET COOKIE 8.4OZ LS"/>
    <x v="7"/>
  </r>
  <r>
    <n v="18"/>
    <s v="20250121"/>
    <n v="39000659945"/>
    <s v="Hoth"/>
    <x v="7"/>
    <n v="1"/>
    <s v="DIET SODA 12OZ LS"/>
    <x v="1"/>
  </r>
  <r>
    <n v="19"/>
    <s v="20250306"/>
    <n v="39000343330"/>
    <s v="Red Outpost"/>
    <x v="6"/>
    <n v="1"/>
    <s v="SF SUSHI ROLL 8.4OZ LS"/>
    <x v="2"/>
  </r>
  <r>
    <n v="20"/>
    <s v="20250131"/>
    <n v="39000667238"/>
    <s v="Hoth"/>
    <x v="7"/>
    <n v="1"/>
    <s v="SUSHI ROLL 12OZ 4PK"/>
    <x v="10"/>
  </r>
  <r>
    <n v="21"/>
    <s v="20250211"/>
    <n v="39000957619"/>
    <s v="Mumbai"/>
    <x v="2"/>
    <n v="1"/>
    <s v="DIET COOKIE 16OZ LS"/>
    <x v="7"/>
  </r>
  <r>
    <n v="22"/>
    <s v="20250305"/>
    <n v="39000658580"/>
    <s v="Hoth"/>
    <x v="7"/>
    <n v="2"/>
    <s v="LEMONADE 8.4OZ LS"/>
    <x v="11"/>
  </r>
  <r>
    <n v="23"/>
    <s v="20250227"/>
    <n v="39000338312"/>
    <s v="Red Outpost"/>
    <x v="6"/>
    <n v="1"/>
    <s v="SPICY MEATBALL 8.4OZ 12PK"/>
    <x v="5"/>
  </r>
  <r>
    <n v="24"/>
    <s v="20250310"/>
    <n v="39000220194"/>
    <s v="Gotham"/>
    <x v="3"/>
    <n v="1"/>
    <s v="MAPLE SYRUP 12OZ 4PK"/>
    <x v="12"/>
  </r>
  <r>
    <n v="25"/>
    <s v="20250214"/>
    <n v="39000343408"/>
    <s v="Red Outpost"/>
    <x v="6"/>
    <n v="2"/>
    <s v="SPICY MEATBALL 12OZ LS"/>
    <x v="5"/>
  </r>
  <r>
    <n v="26"/>
    <s v="20250219"/>
    <n v="39000196846"/>
    <s v="Gotham"/>
    <x v="3"/>
    <n v="1"/>
    <s v="COCONUT MILK 8.4OZ LS"/>
    <x v="13"/>
  </r>
  <r>
    <n v="27"/>
    <s v="20250206"/>
    <n v="39000197990"/>
    <s v="Metropolis"/>
    <x v="3"/>
    <n v="1"/>
    <s v="WASABI BANANA PUDDING 12OZ LS"/>
    <x v="8"/>
  </r>
  <r>
    <n v="28"/>
    <s v="20250227"/>
    <n v="39000337753"/>
    <s v="Red Outpost"/>
    <x v="6"/>
    <n v="1"/>
    <s v="KETCHUP 12OZ LS"/>
    <x v="14"/>
  </r>
  <r>
    <n v="29"/>
    <s v="20250129"/>
    <n v="39001725984"/>
    <s v="Scranton"/>
    <x v="8"/>
    <n v="1"/>
    <s v="KETCHUP 12OZ LS"/>
    <x v="14"/>
  </r>
  <r>
    <n v="30"/>
    <s v="20250221"/>
    <n v="39001434927"/>
    <s v="Scranton"/>
    <x v="8"/>
    <n v="2"/>
    <s v="SPICY MEATBALL 8.4OZ LS"/>
    <x v="5"/>
  </r>
  <r>
    <n v="31"/>
    <s v="20250225"/>
    <n v="39000594919"/>
    <s v="Rio de Janiero"/>
    <x v="0"/>
    <n v="1"/>
    <s v="SPICY MEATBALL 16OZ LS"/>
    <x v="5"/>
  </r>
  <r>
    <n v="32"/>
    <s v="20250211"/>
    <n v="39000217126"/>
    <s v="Gotham"/>
    <x v="3"/>
    <n v="1"/>
    <s v="KETCHUP 8.4OZ LS"/>
    <x v="14"/>
  </r>
  <r>
    <n v="33"/>
    <s v="20250219"/>
    <n v="39000336752"/>
    <s v="Red Outpost"/>
    <x v="6"/>
    <n v="1"/>
    <s v="WASABI BANANA PUDDING 12OZ LS"/>
    <x v="8"/>
  </r>
  <r>
    <n v="34"/>
    <s v="20250303"/>
    <n v="39000217074"/>
    <s v="Gotham"/>
    <x v="3"/>
    <n v="1"/>
    <s v="SF KETCHUP 8.4OZ 4P"/>
    <x v="15"/>
  </r>
  <r>
    <n v="35"/>
    <s v="20250103"/>
    <n v="39001417039"/>
    <s v="Scranton"/>
    <x v="8"/>
    <n v="1"/>
    <s v="COCONUT MILK 12oz LS"/>
    <x v="13"/>
  </r>
  <r>
    <n v="36"/>
    <s v="20250224"/>
    <n v="39000337532"/>
    <s v="Red Outpost"/>
    <x v="6"/>
    <n v="1"/>
    <s v="SF STRAWBERRY MILKSHAKE 12OZ 4PK"/>
    <x v="16"/>
  </r>
  <r>
    <n v="37"/>
    <s v="20250228"/>
    <n v="39001417507"/>
    <s v="Scranton"/>
    <x v="8"/>
    <n v="4"/>
    <s v="SPICY MEATBALL 12OZ LS"/>
    <x v="5"/>
  </r>
  <r>
    <n v="38"/>
    <s v="20250226"/>
    <n v="39000597025"/>
    <s v="Rio de Janiero"/>
    <x v="0"/>
    <n v="1"/>
    <s v="SF SUSHI ROLL 12OZ LS"/>
    <x v="2"/>
  </r>
  <r>
    <n v="39"/>
    <s v="20250214"/>
    <n v="39000234273"/>
    <s v="Gotham"/>
    <x v="3"/>
    <n v="1"/>
    <s v="PICKLE JUICE 12OZ LS"/>
    <x v="0"/>
  </r>
  <r>
    <n v="40"/>
    <s v="20250207"/>
    <n v="39001488136"/>
    <s v="Summer House"/>
    <x v="9"/>
    <n v="1"/>
    <s v="DIET SODA 12OZ LS"/>
    <x v="1"/>
  </r>
  <r>
    <n v="41"/>
    <s v="20250115"/>
    <n v="39000203164"/>
    <s v="Gotham"/>
    <x v="3"/>
    <n v="1"/>
    <s v="DIET COOKIE 8.4OZ LS"/>
    <x v="7"/>
  </r>
  <r>
    <n v="42"/>
    <s v="20250210"/>
    <n v="39000664963"/>
    <s v="Hoth"/>
    <x v="7"/>
    <n v="1"/>
    <s v="STRAWBERRY MILKSHAKE 12OZ 4PK"/>
    <x v="17"/>
  </r>
  <r>
    <n v="43"/>
    <s v="20250211"/>
    <n v="39000280943"/>
    <s v="House Stark"/>
    <x v="4"/>
    <n v="1"/>
    <s v="DIET COOKIE 8.4OZ LS"/>
    <x v="7"/>
  </r>
  <r>
    <n v="44"/>
    <s v="20250205"/>
    <n v="39001619709"/>
    <s v="Summer House"/>
    <x v="9"/>
    <n v="1"/>
    <s v="DIET SODA 12OZ LS"/>
    <x v="1"/>
  </r>
  <r>
    <n v="45"/>
    <s v="20250304"/>
    <n v="39000220714"/>
    <s v="Gotham"/>
    <x v="3"/>
    <n v="4"/>
    <s v="LEMONADE 12OZ 4PK"/>
    <x v="11"/>
  </r>
  <r>
    <n v="46"/>
    <s v="20250106"/>
    <n v="39001587833"/>
    <s v="Scranton"/>
    <x v="8"/>
    <n v="5"/>
    <s v="SPICY MEATBALL 12OZ LS"/>
    <x v="5"/>
  </r>
  <r>
    <n v="47"/>
    <s v="20250310"/>
    <n v="39000585429"/>
    <s v="Rio de Janiero"/>
    <x v="0"/>
    <n v="1"/>
    <s v="SUSHI ROLL 8.4OZ LS"/>
    <x v="10"/>
  </r>
  <r>
    <n v="48"/>
    <s v="20250123"/>
    <n v="39002665507"/>
    <s v="House Stark"/>
    <x v="4"/>
    <n v="1"/>
    <s v="SUSHI ROLL 8.4OZ LS"/>
    <x v="10"/>
  </r>
  <r>
    <n v="49"/>
    <s v="20250307"/>
    <n v="39000585663"/>
    <s v="Rio de Janiero"/>
    <x v="0"/>
    <n v="-8.3000000000000004E-2"/>
    <s v="SPICY MEATBALL 20oz LS"/>
    <x v="5"/>
  </r>
  <r>
    <n v="50"/>
    <s v="20250220"/>
    <n v="39001542060"/>
    <s v="Scranton"/>
    <x v="8"/>
    <n v="2"/>
    <s v="DIET SODA 12OZ LS"/>
    <x v="1"/>
  </r>
  <r>
    <n v="51"/>
    <s v="20250221"/>
    <n v="39000592072"/>
    <s v="Rio de Janiero"/>
    <x v="0"/>
    <n v="1"/>
    <s v="KETCHUP 12OZ LS"/>
    <x v="14"/>
  </r>
  <r>
    <n v="52"/>
    <s v="20250115"/>
    <n v="39000233207"/>
    <s v="Gotham"/>
    <x v="3"/>
    <n v="1"/>
    <s v="PEACH COBBLER 12oz LS"/>
    <x v="18"/>
  </r>
  <r>
    <n v="53"/>
    <s v="20250226"/>
    <n v="39001549574"/>
    <s v="Scranton"/>
    <x v="8"/>
    <n v="1"/>
    <s v="DIET COOKIE 12OZ 4PK"/>
    <x v="7"/>
  </r>
  <r>
    <n v="54"/>
    <s v="20250107"/>
    <n v="39001434849"/>
    <s v="Scranton"/>
    <x v="8"/>
    <n v="2"/>
    <s v="SPICY MEATBALL 8.4OZ LS"/>
    <x v="5"/>
  </r>
  <r>
    <n v="55"/>
    <s v="20250217"/>
    <n v="39002246933"/>
    <s v="Santas Workshop"/>
    <x v="1"/>
    <n v="1"/>
    <s v="KETCHUP 12OZ LS"/>
    <x v="14"/>
  </r>
  <r>
    <n v="56"/>
    <s v="20250122"/>
    <n v="39001713088"/>
    <s v="Casa Amor"/>
    <x v="5"/>
    <n v="1"/>
    <s v="MAPLE SYRUP 12OZ LS"/>
    <x v="12"/>
  </r>
  <r>
    <n v="57"/>
    <s v="20250114"/>
    <n v="39000661856"/>
    <s v="Hoth"/>
    <x v="7"/>
    <n v="-3"/>
    <s v="DIET COOKIE 8.4OZ LS"/>
    <x v="7"/>
  </r>
  <r>
    <n v="58"/>
    <s v="20250107"/>
    <n v="39001712386"/>
    <s v="Casa Amor"/>
    <x v="5"/>
    <n v="1"/>
    <s v="AVOCADO TOAST 8.4oz 4p"/>
    <x v="19"/>
  </r>
  <r>
    <n v="59"/>
    <s v="20250127"/>
    <n v="39002363153"/>
    <s v="Hoth"/>
    <x v="7"/>
    <n v="2"/>
    <s v="SF ICE CREAM 12OZ LS"/>
    <x v="6"/>
  </r>
  <r>
    <n v="60"/>
    <s v="20250113"/>
    <n v="39001700140"/>
    <s v="Casa Amor"/>
    <x v="5"/>
    <n v="1"/>
    <s v="COCONUT MILK 12oz LS"/>
    <x v="13"/>
  </r>
  <r>
    <n v="61"/>
    <s v="20250210"/>
    <n v="39000949832"/>
    <s v="Mumbai"/>
    <x v="2"/>
    <n v="1"/>
    <s v="BLUEBERRY SMOOTHIE 8.4OZ LS"/>
    <x v="4"/>
  </r>
  <r>
    <n v="62"/>
    <s v="20250108"/>
    <n v="39000198731"/>
    <s v="Gotham"/>
    <x v="3"/>
    <n v="3"/>
    <s v="DIET SODA 8.4OZ LS"/>
    <x v="1"/>
  </r>
  <r>
    <n v="63"/>
    <s v="20250227"/>
    <n v="39000960986"/>
    <s v="Mumbai"/>
    <x v="2"/>
    <n v="1"/>
    <s v="STRAWBERRY MILKSHAKE 8.4OZ 4PK"/>
    <x v="17"/>
  </r>
  <r>
    <n v="64"/>
    <s v="20250123"/>
    <n v="39000662402"/>
    <s v="Hoth"/>
    <x v="7"/>
    <n v="2"/>
    <s v="WASABI BANANA PUDDING 12OZ LS"/>
    <x v="8"/>
  </r>
  <r>
    <n v="65"/>
    <s v="20250131"/>
    <n v="39001519713"/>
    <s v="Scranton"/>
    <x v="8"/>
    <n v="1"/>
    <s v="SPICY MEATBALL 8.4OZ LS"/>
    <x v="5"/>
  </r>
  <r>
    <n v="66"/>
    <s v="20250210"/>
    <n v="39001551628"/>
    <s v="Scranton"/>
    <x v="8"/>
    <n v="2"/>
    <s v="SPICY MEATBALL 8.4OZ LS"/>
    <x v="5"/>
  </r>
  <r>
    <n v="67"/>
    <s v="20250116"/>
    <n v="39001486329"/>
    <s v="Summer House"/>
    <x v="9"/>
    <n v="1"/>
    <s v="BLUEBERRY SMOOTHIE 12oz LS"/>
    <x v="4"/>
  </r>
  <r>
    <n v="68"/>
    <s v="20250115"/>
    <n v="39000240968"/>
    <s v="Gotham"/>
    <x v="3"/>
    <n v="1"/>
    <s v="SPICY MEATBALL 16OZ LS"/>
    <x v="5"/>
  </r>
  <r>
    <n v="69"/>
    <s v="20250117"/>
    <n v="39002192853"/>
    <s v="Santas Workshop"/>
    <x v="1"/>
    <n v="1"/>
    <s v="SPICY MEATBALL 8.4oz 4PK"/>
    <x v="5"/>
  </r>
  <r>
    <n v="70"/>
    <s v="20250224"/>
    <n v="39000226265"/>
    <s v="Gotham"/>
    <x v="3"/>
    <n v="1"/>
    <s v="COCONUT MILK 8.4OZ LS"/>
    <x v="13"/>
  </r>
  <r>
    <n v="71"/>
    <s v="20250107"/>
    <n v="39000965926"/>
    <s v="Mumbai"/>
    <x v="2"/>
    <n v="1"/>
    <s v="STRAWBERRY MILKSHAKE 12OZ LS"/>
    <x v="17"/>
  </r>
  <r>
    <n v="72"/>
    <s v="20250106"/>
    <n v="39000281164"/>
    <s v="House Stark"/>
    <x v="4"/>
    <n v="1"/>
    <s v="MAPLE SYRUP 12OZ LS"/>
    <x v="12"/>
  </r>
  <r>
    <n v="73"/>
    <s v="20250107"/>
    <n v="39000963014"/>
    <s v="Mumbai"/>
    <x v="2"/>
    <n v="1"/>
    <s v="COCONUT MILK 12oz LS"/>
    <x v="13"/>
  </r>
  <r>
    <n v="74"/>
    <s v="20250226"/>
    <n v="39000228020"/>
    <s v="Metropolis"/>
    <x v="3"/>
    <n v="1"/>
    <s v="SPICY MEATBALL 8.4oz 4PK"/>
    <x v="5"/>
  </r>
  <r>
    <n v="75"/>
    <s v="20250205"/>
    <n v="39000202462"/>
    <s v="Gotham"/>
    <x v="3"/>
    <n v="-0.25"/>
    <s v="DIET COOKIE 8.4OZ LS"/>
    <x v="7"/>
  </r>
  <r>
    <n v="76"/>
    <s v="20250306"/>
    <n v="39000196638"/>
    <s v="Gotham"/>
    <x v="3"/>
    <n v="1"/>
    <s v="SUSHI ROLL 8.4OZ LS"/>
    <x v="10"/>
  </r>
  <r>
    <n v="77"/>
    <s v="20250128"/>
    <n v="39000971204"/>
    <s v="Mumbai"/>
    <x v="2"/>
    <n v="3"/>
    <s v="SPICY MEATBALL 16OZ LS"/>
    <x v="5"/>
  </r>
  <r>
    <n v="78"/>
    <s v="20250103"/>
    <n v="39000281658"/>
    <s v="House Stark"/>
    <x v="4"/>
    <n v="1"/>
    <s v="KETCHUP 12OZ LS"/>
    <x v="14"/>
  </r>
  <r>
    <n v="79"/>
    <s v="20250109"/>
    <n v="39001117298"/>
    <s v="House Stark"/>
    <x v="4"/>
    <n v="1"/>
    <s v="DIET SODA 12OZ LS"/>
    <x v="1"/>
  </r>
  <r>
    <n v="80"/>
    <s v="20250121"/>
    <n v="39000223054"/>
    <s v="Metropolis"/>
    <x v="3"/>
    <n v="1"/>
    <s v="KETCHUP 8.4OZ LS"/>
    <x v="14"/>
  </r>
  <r>
    <n v="81"/>
    <s v="20250227"/>
    <n v="39002654145"/>
    <s v="Hoth"/>
    <x v="7"/>
    <n v="1"/>
    <s v="STRAWBERRY MILKSHAKE 12OZ LS"/>
    <x v="17"/>
  </r>
  <r>
    <n v="82"/>
    <s v="20250307"/>
    <n v="39000271297"/>
    <s v="The Wall"/>
    <x v="4"/>
    <n v="1"/>
    <s v="SF STRAWBERRY MILKSHAKE 12OZ LS"/>
    <x v="16"/>
  </r>
  <r>
    <n v="83"/>
    <s v="20250210"/>
    <n v="39000591344"/>
    <s v="Rio de Janiero"/>
    <x v="0"/>
    <n v="1"/>
    <s v="DIET COOKIE 12OZ 4PK"/>
    <x v="7"/>
  </r>
  <r>
    <n v="84"/>
    <s v="20250306"/>
    <n v="39002320500"/>
    <s v="Santas Workshop"/>
    <x v="1"/>
    <n v="1"/>
    <s v="SPICY MEATBALL 20oz LS"/>
    <x v="5"/>
  </r>
  <r>
    <n v="85"/>
    <s v="20250206"/>
    <n v="39000956319"/>
    <s v="Mumbai"/>
    <x v="2"/>
    <n v="2"/>
    <s v="SPICY MEATBALL 16OZ LS"/>
    <x v="5"/>
  </r>
  <r>
    <n v="86"/>
    <s v="20250304"/>
    <n v="39000221728"/>
    <s v="Gotham"/>
    <x v="3"/>
    <n v="1"/>
    <s v="SPICY MEATBALL 20oz LS"/>
    <x v="5"/>
  </r>
  <r>
    <n v="87"/>
    <s v="20250304"/>
    <n v="39000589134"/>
    <s v="Rio de Janiero"/>
    <x v="0"/>
    <n v="2"/>
    <s v="STRAWBERRY MILKSHAKE 12OZ LS"/>
    <x v="17"/>
  </r>
  <r>
    <n v="88"/>
    <s v="20250122"/>
    <n v="39001488487"/>
    <s v="Summer House"/>
    <x v="9"/>
    <n v="1"/>
    <s v="DIET COOKIE 16OZ LS"/>
    <x v="7"/>
  </r>
  <r>
    <n v="89"/>
    <s v="20250210"/>
    <n v="39000222599"/>
    <s v="Gotham"/>
    <x v="3"/>
    <n v="2"/>
    <s v="SPICY MEATBALL 8.4oz 4PK"/>
    <x v="5"/>
  </r>
  <r>
    <n v="90"/>
    <s v="20250212"/>
    <n v="39000749892"/>
    <s v="Hoth"/>
    <x v="7"/>
    <n v="1"/>
    <s v="SF MAPLE SYRUP 8.4OZ LS"/>
    <x v="3"/>
  </r>
  <r>
    <n v="91"/>
    <s v="20250304"/>
    <n v="39000213980"/>
    <s v="Metropolis"/>
    <x v="3"/>
    <n v="1"/>
    <s v="DIET COOKIE 8.4OZ 4PK"/>
    <x v="7"/>
  </r>
  <r>
    <n v="92"/>
    <s v="20250227"/>
    <n v="39002126254"/>
    <s v="Red Outpost"/>
    <x v="6"/>
    <n v="1"/>
    <s v="SF STRAWBERRY MILKSHAKE 8.4OZ LS"/>
    <x v="16"/>
  </r>
  <r>
    <n v="93"/>
    <s v="20250121"/>
    <n v="39000585975"/>
    <s v="Rio de Janiero"/>
    <x v="0"/>
    <n v="2"/>
    <s v="SPICY MEATBALL 8.4OZ LS"/>
    <x v="5"/>
  </r>
  <r>
    <n v="94"/>
    <s v="20250206"/>
    <n v="39000214175"/>
    <s v="Metropolis"/>
    <x v="3"/>
    <n v="-3"/>
    <s v="DIET SODA 12OZ LS"/>
    <x v="1"/>
  </r>
  <r>
    <n v="95"/>
    <s v="20250103"/>
    <n v="39002227537"/>
    <s v="Santas Workshop"/>
    <x v="1"/>
    <n v="1"/>
    <s v="SF KETCHUP 12OZ LS"/>
    <x v="15"/>
  </r>
  <r>
    <n v="96"/>
    <s v="20250214"/>
    <n v="39000667108"/>
    <s v="Hoth"/>
    <x v="7"/>
    <n v="1"/>
    <s v="MAPLE SYRUP 12OZ LS"/>
    <x v="12"/>
  </r>
  <r>
    <n v="97"/>
    <s v="20250210"/>
    <n v="39000215163"/>
    <s v="Gotham"/>
    <x v="3"/>
    <n v="5"/>
    <s v="SPICY MEATBALL 8.4OZ LS"/>
    <x v="5"/>
  </r>
  <r>
    <n v="98"/>
    <s v="20250205"/>
    <n v="39000959088"/>
    <s v="Mumbai"/>
    <x v="2"/>
    <n v="1"/>
    <s v="ICE CREAM 8.4OZ LS"/>
    <x v="20"/>
  </r>
  <r>
    <n v="99"/>
    <s v="20250218"/>
    <n v="39001453881"/>
    <s v="Summer House"/>
    <x v="9"/>
    <n v="1"/>
    <s v="SUSHI ROLL 12OZ LS"/>
    <x v="10"/>
  </r>
  <r>
    <n v="100"/>
    <s v="20250225"/>
    <n v="39000346164"/>
    <s v="Red Outpost"/>
    <x v="6"/>
    <n v="1"/>
    <s v="BLUEBERRY SMOOTHIE 12oz LS"/>
    <x v="4"/>
  </r>
  <r>
    <n v="101"/>
    <s v="20250213"/>
    <n v="39000337272"/>
    <s v="Red Outpost"/>
    <x v="6"/>
    <n v="1"/>
    <s v="SPICY MEATBALL 8.4OZ 12PK"/>
    <x v="5"/>
  </r>
  <r>
    <n v="102"/>
    <s v="20250310"/>
    <n v="39000263549"/>
    <s v="The Wall"/>
    <x v="4"/>
    <n v="1"/>
    <s v="SUSHI ROLL 12OZ LS"/>
    <x v="10"/>
  </r>
  <r>
    <n v="103"/>
    <s v="20250305"/>
    <n v="39001709643"/>
    <s v="Casa Amor"/>
    <x v="5"/>
    <n v="1"/>
    <s v="MAPLE SYRUP 8.4OZ LS"/>
    <x v="12"/>
  </r>
  <r>
    <n v="104"/>
    <s v="20250307"/>
    <n v="39000282308"/>
    <s v="House Stark"/>
    <x v="4"/>
    <n v="1"/>
    <s v="SUSHI ROLL 12OZ LS"/>
    <x v="10"/>
  </r>
  <r>
    <n v="105"/>
    <s v="20250114"/>
    <n v="39000665080"/>
    <s v="Hoth"/>
    <x v="7"/>
    <n v="1"/>
    <s v="PICKLE JUICE 12OZ LS"/>
    <x v="0"/>
  </r>
  <r>
    <n v="106"/>
    <s v="20250205"/>
    <n v="39000588588"/>
    <s v="Rio de Janiero"/>
    <x v="0"/>
    <n v="1"/>
    <s v="SPICY MEATBALL 8.4oz 4PK"/>
    <x v="5"/>
  </r>
  <r>
    <n v="107"/>
    <s v="20250108"/>
    <n v="39000662987"/>
    <s v="Hoth"/>
    <x v="7"/>
    <n v="2"/>
    <s v="KETCHUP 8.4OZ LS"/>
    <x v="14"/>
  </r>
  <r>
    <n v="108"/>
    <s v="20250310"/>
    <n v="39000284505"/>
    <s v="House Stark"/>
    <x v="4"/>
    <n v="1"/>
    <s v="PICKLE JUICE 8.4OZ LS"/>
    <x v="0"/>
  </r>
  <r>
    <n v="109"/>
    <s v="20250121"/>
    <n v="39001520168"/>
    <s v="Scranton"/>
    <x v="8"/>
    <n v="2"/>
    <s v="SPICY MEATBALL 8.4OZ LS"/>
    <x v="5"/>
  </r>
  <r>
    <n v="110"/>
    <s v="20250310"/>
    <n v="39000220324"/>
    <s v="Metropolis"/>
    <x v="3"/>
    <n v="1"/>
    <s v="SF KETCHUP 12OZ 4P"/>
    <x v="15"/>
  </r>
  <r>
    <n v="111"/>
    <s v="20250203"/>
    <n v="39001707966"/>
    <s v="Casa Amor"/>
    <x v="5"/>
    <n v="1"/>
    <s v="SF KETCHUP 12OZ LS"/>
    <x v="15"/>
  </r>
  <r>
    <n v="112"/>
    <s v="20250115"/>
    <n v="39000348946"/>
    <s v="Red Outpost"/>
    <x v="6"/>
    <n v="1"/>
    <s v="DIET COOKIE 12oz"/>
    <x v="9"/>
  </r>
  <r>
    <n v="113"/>
    <s v="20250218"/>
    <n v="39001525277"/>
    <s v="Scranton"/>
    <x v="8"/>
    <n v="1"/>
    <s v="KETCHUP 12OZ LS"/>
    <x v="14"/>
  </r>
  <r>
    <n v="114"/>
    <s v="20250213"/>
    <n v="39000221624"/>
    <s v="Gotham"/>
    <x v="3"/>
    <n v="1"/>
    <s v="DIET SODA 8.4OZ LS"/>
    <x v="1"/>
  </r>
  <r>
    <n v="115"/>
    <s v="20250116"/>
    <n v="39000592800"/>
    <s v="Rio de Janiero"/>
    <x v="0"/>
    <n v="1"/>
    <s v="MAPLE SYRUP 12OZ LS"/>
    <x v="12"/>
  </r>
  <r>
    <n v="116"/>
    <s v="20250113"/>
    <n v="39002246933"/>
    <s v="Santas Workshop"/>
    <x v="1"/>
    <n v="1"/>
    <s v="ICE CREAM 12OZ LS"/>
    <x v="20"/>
  </r>
  <r>
    <n v="117"/>
    <s v="20250116"/>
    <n v="39000239031"/>
    <s v="Metropolis"/>
    <x v="3"/>
    <n v="1"/>
    <s v="MAPLE SYRUP 8.4OZ LS"/>
    <x v="12"/>
  </r>
  <r>
    <n v="118"/>
    <s v="20250107"/>
    <n v="39000761228"/>
    <s v="Hoth"/>
    <x v="7"/>
    <n v="1"/>
    <s v="BLUEBERRY SMOOTHIE 12oz LS"/>
    <x v="4"/>
  </r>
  <r>
    <n v="119"/>
    <s v="20250129"/>
    <n v="39002244762"/>
    <s v="Santas Workshop"/>
    <x v="1"/>
    <n v="1"/>
    <s v="SPICY MEATBALL 12OZ LS"/>
    <x v="5"/>
  </r>
  <r>
    <n v="120"/>
    <s v="20250115"/>
    <n v="39000239733"/>
    <s v="Gotham"/>
    <x v="3"/>
    <n v="1"/>
    <s v="BLUEBERRY SMOOTHIE 12oz LS"/>
    <x v="4"/>
  </r>
  <r>
    <n v="121"/>
    <s v="20250211"/>
    <n v="39000336648"/>
    <s v="Red Outpost"/>
    <x v="6"/>
    <n v="1"/>
    <s v="PICKLE JUICE 8.4OZ 4PK"/>
    <x v="0"/>
  </r>
  <r>
    <n v="122"/>
    <s v="20250109"/>
    <n v="39000959153"/>
    <s v="Mumbai"/>
    <x v="2"/>
    <n v="1"/>
    <s v="DIET SODA 12OZ LS"/>
    <x v="1"/>
  </r>
  <r>
    <n v="123"/>
    <s v="20250114"/>
    <n v="39001719250"/>
    <s v="Casa Amor"/>
    <x v="5"/>
    <n v="-8.3000000000000004E-2"/>
    <s v="DIET COOKIE 16OZ LS"/>
    <x v="7"/>
  </r>
  <r>
    <n v="124"/>
    <s v="20250207"/>
    <n v="39001461187"/>
    <s v="Scranton"/>
    <x v="8"/>
    <n v="1"/>
    <s v="MAPLE SYRUP 12OZ LS"/>
    <x v="12"/>
  </r>
  <r>
    <n v="125"/>
    <s v="20250227"/>
    <n v="39001626248"/>
    <s v="Scranton"/>
    <x v="8"/>
    <n v="1"/>
    <s v="SF STRAWBERRY MILKSHAKE 12OZ LS"/>
    <x v="16"/>
  </r>
  <r>
    <n v="126"/>
    <s v="20250227"/>
    <n v="39000657163"/>
    <s v="Hoth"/>
    <x v="7"/>
    <n v="1"/>
    <s v="SF LEMONADE 12OZ LS"/>
    <x v="21"/>
  </r>
  <r>
    <n v="127"/>
    <s v="20250221"/>
    <n v="39000667004"/>
    <s v="Hoth"/>
    <x v="7"/>
    <n v="1"/>
    <s v="SPICY MEATBALL 16OZ LS"/>
    <x v="5"/>
  </r>
  <r>
    <n v="128"/>
    <s v="20250226"/>
    <n v="39000344175"/>
    <s v="Red Outpost"/>
    <x v="6"/>
    <n v="1"/>
    <s v="STRAWBERRY MILKSHAKE 8.4OZ LS"/>
    <x v="17"/>
  </r>
  <r>
    <n v="129"/>
    <s v="20250207"/>
    <n v="39000234767"/>
    <s v="Metropolis"/>
    <x v="3"/>
    <n v="3"/>
    <s v="SPICY MEATBALL 12OZ LS"/>
    <x v="5"/>
  </r>
  <r>
    <n v="130"/>
    <s v="20250219"/>
    <n v="39001774942"/>
    <s v="Red Outpost"/>
    <x v="6"/>
    <n v="2"/>
    <s v="DIET COOKIE 12oz"/>
    <x v="9"/>
  </r>
  <r>
    <n v="131"/>
    <s v="20250304"/>
    <n v="39001707004"/>
    <s v="Casa Amor"/>
    <x v="5"/>
    <n v="-0.79200000000000004"/>
    <s v="DIET COOKIE 8.4OZ LS"/>
    <x v="7"/>
  </r>
  <r>
    <n v="132"/>
    <s v="20250226"/>
    <n v="39000592683"/>
    <s v="Rio de Janiero"/>
    <x v="0"/>
    <n v="1"/>
    <s v="SUSHI ROLL 12OZ LS"/>
    <x v="10"/>
  </r>
  <r>
    <n v="133"/>
    <s v="20250121"/>
    <n v="39001686464"/>
    <s v="The Wall"/>
    <x v="4"/>
    <n v="3"/>
    <s v="SPICY MEATBALL 12OZ LS"/>
    <x v="5"/>
  </r>
  <r>
    <n v="134"/>
    <s v="20250225"/>
    <n v="39000590902"/>
    <s v="Rio de Janiero"/>
    <x v="0"/>
    <n v="3"/>
    <s v="SPICY MEATBALL 20oz LS"/>
    <x v="5"/>
  </r>
  <r>
    <n v="135"/>
    <s v="20250121"/>
    <n v="39000588783"/>
    <s v="Rio de Janiero"/>
    <x v="0"/>
    <n v="1"/>
    <s v="AVOCADO TOAST 12oz LS"/>
    <x v="19"/>
  </r>
  <r>
    <n v="136"/>
    <s v="20250213"/>
    <n v="39000201838"/>
    <s v="Metropolis"/>
    <x v="3"/>
    <n v="1"/>
    <s v="PICKLE JUICE 12OZ LS"/>
    <x v="0"/>
  </r>
  <r>
    <n v="137"/>
    <s v="20250131"/>
    <n v="39000221156"/>
    <s v="Gotham"/>
    <x v="3"/>
    <n v="1"/>
    <s v="MAPLE SYRUP 12OZ LS"/>
    <x v="12"/>
  </r>
  <r>
    <n v="138"/>
    <s v="20250304"/>
    <n v="39001969994"/>
    <s v="Gotham"/>
    <x v="3"/>
    <n v="2"/>
    <s v="SUSHI ROLL 8.4OZ LS"/>
    <x v="10"/>
  </r>
  <r>
    <n v="139"/>
    <s v="20250131"/>
    <n v="39002780388"/>
    <s v="Rio de Janiero"/>
    <x v="0"/>
    <n v="1"/>
    <s v="PICKLE JUICE 8.4OZ LS"/>
    <x v="0"/>
  </r>
  <r>
    <n v="140"/>
    <s v="20250227"/>
    <n v="39001957995"/>
    <s v="Scranton"/>
    <x v="8"/>
    <n v="1"/>
    <s v="SF MAPLE SYRUP 12OZ LS"/>
    <x v="3"/>
  </r>
  <r>
    <n v="141"/>
    <s v="20250214"/>
    <n v="39002766062"/>
    <s v="Red Outpost"/>
    <x v="6"/>
    <n v="1"/>
    <s v="COCONUT MILK 12oz LS"/>
    <x v="13"/>
  </r>
  <r>
    <n v="142"/>
    <s v="20250107"/>
    <n v="39000658632"/>
    <s v="Hoth"/>
    <x v="7"/>
    <n v="1"/>
    <s v="PEACH COBBLER 8.4oz LS"/>
    <x v="18"/>
  </r>
  <r>
    <n v="143"/>
    <s v="20250109"/>
    <n v="39000197405"/>
    <s v="Gotham"/>
    <x v="3"/>
    <n v="7"/>
    <s v="SPICY MEATBALL 12OZ LS"/>
    <x v="5"/>
  </r>
  <r>
    <n v="144"/>
    <s v="20250304"/>
    <n v="39001431339"/>
    <s v="Scranton"/>
    <x v="8"/>
    <n v="1"/>
    <s v="SPICY MEATBALL 20oz LS"/>
    <x v="5"/>
  </r>
  <r>
    <n v="145"/>
    <s v="20250213"/>
    <n v="39001431456"/>
    <s v="Scranton"/>
    <x v="8"/>
    <n v="1"/>
    <s v="SPICY MEATBALL 16OZ LS"/>
    <x v="5"/>
  </r>
  <r>
    <n v="146"/>
    <s v="20250227"/>
    <n v="39000217412"/>
    <s v="Gotham"/>
    <x v="3"/>
    <n v="1"/>
    <s v="LEMONADE 8.4OZ LS"/>
    <x v="11"/>
  </r>
  <r>
    <n v="147"/>
    <s v="20250218"/>
    <n v="39000285064"/>
    <s v="House Stark"/>
    <x v="4"/>
    <n v="2"/>
    <s v="BLUEBERRY SMOOTHIE 12OZ 4PK"/>
    <x v="4"/>
  </r>
  <r>
    <n v="148"/>
    <s v="20250103"/>
    <n v="39000979888"/>
    <s v="Mumbai"/>
    <x v="2"/>
    <n v="1"/>
    <s v="MAPLE SYRUP 12OZ LS"/>
    <x v="12"/>
  </r>
  <r>
    <n v="149"/>
    <s v="20250127"/>
    <n v="39000667225"/>
    <s v="Hoth"/>
    <x v="7"/>
    <n v="1"/>
    <s v="WASABI BANANA PUDDING 12OZ LS"/>
    <x v="8"/>
  </r>
  <r>
    <n v="150"/>
    <s v="20250131"/>
    <n v="39000984841"/>
    <s v="Mumbai"/>
    <x v="2"/>
    <n v="1"/>
    <s v="KETCHUP 12OZ LS"/>
    <x v="14"/>
  </r>
  <r>
    <n v="151"/>
    <s v="20250129"/>
    <n v="39000202956"/>
    <s v="Metropolis"/>
    <x v="3"/>
    <n v="2"/>
    <s v="SPICY MEATBALL 12OZ LS"/>
    <x v="5"/>
  </r>
  <r>
    <n v="152"/>
    <s v="20250106"/>
    <n v="39000261079"/>
    <s v="The Wall"/>
    <x v="4"/>
    <n v="1"/>
    <s v="MAPLE SYRUP 12OZ LS"/>
    <x v="12"/>
  </r>
  <r>
    <n v="153"/>
    <s v="20250218"/>
    <n v="39000344214"/>
    <s v="Red Outpost"/>
    <x v="6"/>
    <n v="1"/>
    <s v="DIET SODA 12OZ LS"/>
    <x v="1"/>
  </r>
  <r>
    <n v="154"/>
    <n v="20250225"/>
    <n v="39000217191"/>
    <s v="Gotham"/>
    <x v="3"/>
    <n v="1"/>
    <s v="SF MAPLE SYRUP 12OZ LS"/>
    <x v="3"/>
  </r>
  <r>
    <n v="155"/>
    <s v="20250110"/>
    <n v="39000203905"/>
    <s v="Gotham"/>
    <x v="3"/>
    <n v="1"/>
    <s v="KETCHUP 12OZ LS"/>
    <x v="14"/>
  </r>
  <r>
    <n v="156"/>
    <s v="20250228"/>
    <n v="39000590109"/>
    <s v="Rio de Janiero"/>
    <x v="0"/>
    <n v="1"/>
    <s v="BLUEBERRY SMOOTHIE 12oz LS"/>
    <x v="4"/>
  </r>
  <r>
    <n v="157"/>
    <s v="20250110"/>
    <n v="39001549691"/>
    <s v="Nashua"/>
    <x v="8"/>
    <n v="1"/>
    <s v="SPICY MEATBALL 12OZ 4PK"/>
    <x v="5"/>
  </r>
  <r>
    <n v="158"/>
    <s v="20250213"/>
    <n v="39000282022"/>
    <s v="House Stark"/>
    <x v="4"/>
    <n v="1"/>
    <s v="SF KETCHUP 12OZ LS"/>
    <x v="15"/>
  </r>
  <r>
    <n v="159"/>
    <s v="20250218"/>
    <n v="39000266903"/>
    <s v="The Wall"/>
    <x v="4"/>
    <n v="1"/>
    <s v="SPICY MEATBALL 8.4oz 4PK"/>
    <x v="5"/>
  </r>
  <r>
    <n v="160"/>
    <s v="20250305"/>
    <n v="39000284427"/>
    <s v="House Stark"/>
    <x v="4"/>
    <n v="1"/>
    <s v="SF SUSHI ROLL 8.4OZ LS"/>
    <x v="2"/>
  </r>
  <r>
    <n v="161"/>
    <s v="20250117"/>
    <n v="39001384110"/>
    <s v="Hoth"/>
    <x v="7"/>
    <n v="2"/>
    <s v="SUSHI ROLL 12OZ LS"/>
    <x v="10"/>
  </r>
  <r>
    <n v="162"/>
    <s v="20250109"/>
    <n v="39000240019"/>
    <s v="Metropolis"/>
    <x v="3"/>
    <n v="1"/>
    <s v="MAPLE SYRUP 8.4OZ LS"/>
    <x v="12"/>
  </r>
  <r>
    <n v="163"/>
    <s v="20250121"/>
    <n v="39000202397"/>
    <s v="Metropolis"/>
    <x v="3"/>
    <n v="1"/>
    <s v="SPICY MEATBALL 20oz LS"/>
    <x v="5"/>
  </r>
  <r>
    <n v="164"/>
    <s v="20250113"/>
    <n v="39000963352"/>
    <s v="Mumbai"/>
    <x v="2"/>
    <n v="2"/>
    <s v="PICKLE JUICE 12OZ LS"/>
    <x v="0"/>
  </r>
  <r>
    <n v="165"/>
    <s v="20250218"/>
    <n v="39000211835"/>
    <s v="Metropolis"/>
    <x v="3"/>
    <n v="1"/>
    <s v="KETCHUP 12OZ LS"/>
    <x v="14"/>
  </r>
  <r>
    <n v="166"/>
    <s v="20250113"/>
    <n v="39000336973"/>
    <s v="Red Outpost"/>
    <x v="6"/>
    <n v="1"/>
    <s v="SPICY MEATBALL 16OZ LS"/>
    <x v="5"/>
  </r>
  <r>
    <n v="167"/>
    <s v="20250117"/>
    <n v="39000238433"/>
    <s v="Metropolis"/>
    <x v="3"/>
    <n v="1"/>
    <s v="PICKLE JUICE 12OZ LS"/>
    <x v="0"/>
  </r>
  <r>
    <n v="168"/>
    <s v="20250307"/>
    <n v="39001417403"/>
    <s v="Scranton"/>
    <x v="8"/>
    <n v="1"/>
    <s v="SF LEMONADE 8.4OZ LS"/>
    <x v="21"/>
  </r>
  <r>
    <n v="169"/>
    <s v="20250214"/>
    <n v="39000207025"/>
    <s v="Gotham"/>
    <x v="3"/>
    <n v="1"/>
    <s v="SPICY MEATBALL 8.4OZ LS"/>
    <x v="5"/>
  </r>
  <r>
    <n v="170"/>
    <s v="20250102"/>
    <n v="39001711905"/>
    <s v="Casa Amor"/>
    <x v="5"/>
    <n v="1"/>
    <s v="AVOCADO TOAST 12oz LS"/>
    <x v="19"/>
  </r>
  <r>
    <n v="171"/>
    <s v="20250224"/>
    <n v="39000660595"/>
    <s v="Hoth"/>
    <x v="7"/>
    <n v="1"/>
    <s v="BLUEBERRY SMOOTHIE 12oz LS"/>
    <x v="4"/>
  </r>
  <r>
    <n v="172"/>
    <s v="20250218"/>
    <n v="39000585923"/>
    <s v="Rio de Janiero"/>
    <x v="0"/>
    <n v="1"/>
    <s v="COCONUT MILK 12oz LS"/>
    <x v="13"/>
  </r>
  <r>
    <n v="173"/>
    <s v="20250107"/>
    <n v="39000207402"/>
    <s v="Metropolis"/>
    <x v="3"/>
    <n v="1"/>
    <s v="KETCHUP 8.4oz 4PK"/>
    <x v="14"/>
  </r>
  <r>
    <n v="174"/>
    <s v="20250117"/>
    <n v="39000585286"/>
    <s v="Rio de Janiero"/>
    <x v="0"/>
    <n v="1"/>
    <s v="PICKLE JUICE 12OZ LS"/>
    <x v="0"/>
  </r>
  <r>
    <n v="175"/>
    <s v="20250303"/>
    <n v="39000585364"/>
    <s v="Rio de Janiero"/>
    <x v="0"/>
    <n v="1"/>
    <s v="SF LEMONADE 8.4OZ LS"/>
    <x v="21"/>
  </r>
  <r>
    <n v="176"/>
    <s v="20250124"/>
    <n v="39000199121"/>
    <s v="Metropolis"/>
    <x v="3"/>
    <n v="1"/>
    <s v="SF ICE CREAM 12OZ LS"/>
    <x v="6"/>
  </r>
  <r>
    <n v="177"/>
    <s v="20250206"/>
    <n v="39000767533"/>
    <s v="Red Outpost"/>
    <x v="6"/>
    <n v="2"/>
    <s v="SPICY MEATBALL 20oz LS"/>
    <x v="5"/>
  </r>
  <r>
    <n v="178"/>
    <s v="20250117"/>
    <n v="39000283439"/>
    <s v="House Stark"/>
    <x v="4"/>
    <n v="-0.58299999999999996"/>
    <s v="SPICY MEATBALL 16OZ LS"/>
    <x v="5"/>
  </r>
  <r>
    <n v="179"/>
    <s v="20250306"/>
    <n v="39001719159"/>
    <s v="Casa Amor"/>
    <x v="5"/>
    <n v="-4.2000000000000003E-2"/>
    <s v="ICE PC 8.4OZ LS"/>
    <x v="22"/>
  </r>
  <r>
    <n v="180"/>
    <s v="20250127"/>
    <n v="39000329979"/>
    <s v="Red Outpost"/>
    <x v="6"/>
    <n v="1"/>
    <s v="WASABI BANANA PUDDING 12OZ LS"/>
    <x v="8"/>
  </r>
  <r>
    <n v="181"/>
    <s v="20250124"/>
    <n v="39000217243"/>
    <s v="Gotham"/>
    <x v="3"/>
    <n v="1"/>
    <s v="KETCHUP 12OZ LS"/>
    <x v="14"/>
  </r>
  <r>
    <n v="182"/>
    <s v="20250226"/>
    <n v="39000662974"/>
    <s v="Hoth"/>
    <x v="7"/>
    <n v="1"/>
    <s v="DIET SODA 12OZ LS"/>
    <x v="1"/>
  </r>
  <r>
    <n v="183"/>
    <s v="20250204"/>
    <n v="39002263885"/>
    <s v="Santas Workshop"/>
    <x v="1"/>
    <n v="1"/>
    <s v="SPICY MEATBALL 12OZ LS"/>
    <x v="5"/>
  </r>
  <r>
    <n v="184"/>
    <s v="20250123"/>
    <n v="39000237003"/>
    <s v="Gotham"/>
    <x v="3"/>
    <n v="1"/>
    <s v="SPICY MEATBALL 12OZ LS"/>
    <x v="5"/>
  </r>
  <r>
    <n v="185"/>
    <s v="20250128"/>
    <n v="39000223964"/>
    <s v="Metropolis"/>
    <x v="3"/>
    <n v="1"/>
    <s v="SPICY MEATBALL 12OZ LS"/>
    <x v="5"/>
  </r>
  <r>
    <n v="186"/>
    <s v="20250131"/>
    <n v="39001488500"/>
    <s v="Summer House"/>
    <x v="9"/>
    <n v="1"/>
    <s v="SPICY MEATBALL 20oz LS"/>
    <x v="5"/>
  </r>
  <r>
    <n v="187"/>
    <s v="20250204"/>
    <n v="39000663182"/>
    <s v="Hoth"/>
    <x v="7"/>
    <n v="1"/>
    <s v="SPICY MEATBALL 8.4OZ LS"/>
    <x v="5"/>
  </r>
  <r>
    <n v="188"/>
    <s v="20250114"/>
    <n v="39000281489"/>
    <s v="House Stark"/>
    <x v="4"/>
    <n v="3"/>
    <s v="SPICY MEATBALL 16OZ LS"/>
    <x v="5"/>
  </r>
  <r>
    <n v="189"/>
    <s v="20250227"/>
    <n v="39000591591"/>
    <s v="Rio de Janiero"/>
    <x v="0"/>
    <n v="1"/>
    <s v="PICKLE JUICE 8.4OZ LS"/>
    <x v="0"/>
  </r>
  <r>
    <n v="190"/>
    <s v="20250108"/>
    <n v="39002659917"/>
    <s v="House Stark"/>
    <x v="4"/>
    <n v="2"/>
    <s v="DIET SODA 12OZ LS"/>
    <x v="1"/>
  </r>
  <r>
    <n v="191"/>
    <s v="20250205"/>
    <n v="39000970541"/>
    <s v="Mumbai"/>
    <x v="2"/>
    <n v="-4.2000000000000003E-2"/>
    <s v="SPICY MEATBALL 8.4OZ LS"/>
    <x v="5"/>
  </r>
  <r>
    <n v="192"/>
    <s v="20250305"/>
    <n v="39002120898"/>
    <s v="Scranton"/>
    <x v="8"/>
    <n v="1"/>
    <s v="PICKLE JUICE 12OZ LS"/>
    <x v="0"/>
  </r>
  <r>
    <n v="193"/>
    <s v="20250220"/>
    <n v="39002178501"/>
    <s v="Scranton"/>
    <x v="8"/>
    <n v="1"/>
    <s v="DIET COOKIE 16OZ LS"/>
    <x v="7"/>
  </r>
  <r>
    <n v="194"/>
    <s v="20250115"/>
    <n v="39000220324"/>
    <s v="Metropolis"/>
    <x v="3"/>
    <n v="6"/>
    <s v="SPICY MEATBALL 8.4OZ 12PK"/>
    <x v="5"/>
  </r>
  <r>
    <n v="195"/>
    <s v="20250204"/>
    <n v="39001519752"/>
    <s v="Scranton"/>
    <x v="8"/>
    <n v="5"/>
    <s v="SPICY MEATBALL 8.4OZ LS"/>
    <x v="5"/>
  </r>
  <r>
    <n v="196"/>
    <s v="20250116"/>
    <n v="39000220766"/>
    <s v="Metropolis"/>
    <x v="3"/>
    <n v="1"/>
    <s v="SUSHI ROLL 12OZ 4PK"/>
    <x v="10"/>
  </r>
  <r>
    <n v="197"/>
    <s v="20250124"/>
    <n v="39000236418"/>
    <s v="Gotham"/>
    <x v="3"/>
    <n v="2"/>
    <s v="SF ICE CREAM 12OZ LS"/>
    <x v="6"/>
  </r>
  <r>
    <n v="198"/>
    <s v="20250224"/>
    <n v="39001707901"/>
    <s v="Casa Amor"/>
    <x v="5"/>
    <n v="8"/>
    <s v="SPICY MEATBALL 8.4OZ LS"/>
    <x v="5"/>
  </r>
  <r>
    <n v="199"/>
    <s v="20250310"/>
    <n v="39000589394"/>
    <s v="Rio de Janiero"/>
    <x v="0"/>
    <n v="1"/>
    <s v="LEMONADE 12OZ LS"/>
    <x v="11"/>
  </r>
  <r>
    <n v="200"/>
    <s v="20250116"/>
    <n v="39000239928"/>
    <s v="Gotham"/>
    <x v="3"/>
    <n v="-1"/>
    <s v="SPICY MEATBALL 12OZ LS"/>
    <x v="5"/>
  </r>
  <r>
    <n v="201"/>
    <s v="20250103"/>
    <n v="39001386333"/>
    <s v="Scranton"/>
    <x v="8"/>
    <n v="2"/>
    <s v="DIET COOKIE 8.4OZ 12PK"/>
    <x v="7"/>
  </r>
  <r>
    <n v="202"/>
    <s v="20250124"/>
    <n v="39000592722"/>
    <s v="Rio de Janiero"/>
    <x v="0"/>
    <n v="1"/>
    <s v="SPICY MEATBALL 16OZ LS"/>
    <x v="5"/>
  </r>
  <r>
    <n v="203"/>
    <s v="20250129"/>
    <n v="39001588327"/>
    <s v="Scranton"/>
    <x v="8"/>
    <n v="1"/>
    <s v="SPICY MEATBALL 16OZ LS"/>
    <x v="5"/>
  </r>
  <r>
    <n v="204"/>
    <s v="20250305"/>
    <n v="39000217230"/>
    <s v="Metropolis"/>
    <x v="3"/>
    <n v="1"/>
    <s v="STRAWBERRY MILKSHAKE 8.4OZ LS"/>
    <x v="17"/>
  </r>
  <r>
    <n v="205"/>
    <s v="20250206"/>
    <n v="39000956215"/>
    <s v="Mumbai"/>
    <x v="2"/>
    <n v="2"/>
    <s v="PICKLE JUICE 12OZ LS"/>
    <x v="0"/>
  </r>
  <r>
    <n v="206"/>
    <s v="20250226"/>
    <n v="39000669708"/>
    <s v="Hoth"/>
    <x v="7"/>
    <n v="2"/>
    <s v="SF STRAWBERRY MILKSHAKE 12OZ LS"/>
    <x v="16"/>
  </r>
  <r>
    <n v="207"/>
    <s v="20250121"/>
    <n v="39000342680"/>
    <s v="Red Outpost"/>
    <x v="6"/>
    <n v="1"/>
    <s v="DIET COOKIE 8.4OZ LS"/>
    <x v="7"/>
  </r>
  <r>
    <n v="208"/>
    <s v="20250108"/>
    <n v="39000338754"/>
    <s v="Red Outpost"/>
    <x v="6"/>
    <n v="5"/>
    <s v="SPICY MEATBALL 12OZ LS"/>
    <x v="5"/>
  </r>
  <r>
    <n v="209"/>
    <s v="20250310"/>
    <n v="39000592631"/>
    <s v="Rio de Janiero"/>
    <x v="0"/>
    <n v="1"/>
    <s v="SF LEMONADE 8.4OZ LS"/>
    <x v="21"/>
  </r>
  <r>
    <n v="210"/>
    <s v="20250109"/>
    <n v="39000332163"/>
    <s v="Red Outpost"/>
    <x v="6"/>
    <n v="1"/>
    <s v="AVOCADO TOAST 8.4oz LS"/>
    <x v="19"/>
  </r>
  <r>
    <n v="211"/>
    <s v="20250206"/>
    <n v="39000658229"/>
    <s v="Hoth"/>
    <x v="7"/>
    <n v="6"/>
    <s v="SPICY MEATBALL 12OZ LS"/>
    <x v="5"/>
  </r>
  <r>
    <n v="212"/>
    <s v="20250219"/>
    <n v="39000203086"/>
    <s v="Gotham"/>
    <x v="3"/>
    <n v="1"/>
    <s v="PICKLE JUICE 8.4OZ LS"/>
    <x v="0"/>
  </r>
  <r>
    <n v="213"/>
    <s v="20250306"/>
    <n v="39000595101"/>
    <s v="Rio de Janiero"/>
    <x v="0"/>
    <n v="1"/>
    <s v="KETCHUP 8.4OZ LS"/>
    <x v="14"/>
  </r>
  <r>
    <n v="214"/>
    <s v="20250218"/>
    <n v="39000426790"/>
    <s v="House Stark"/>
    <x v="4"/>
    <n v="1"/>
    <s v="SPICY MEATBALL 8.4oz 4PK"/>
    <x v="5"/>
  </r>
  <r>
    <n v="215"/>
    <s v="20250225"/>
    <n v="39000220506"/>
    <s v="Gotham"/>
    <x v="3"/>
    <n v="1"/>
    <s v="SF KETCHUP 12OZ 4P"/>
    <x v="15"/>
  </r>
  <r>
    <n v="216"/>
    <s v="20250107"/>
    <n v="39001470664"/>
    <s v="Scranton"/>
    <x v="8"/>
    <n v="-0.54200000000000004"/>
    <s v="FLAT SODA 8.4OZ LS"/>
    <x v="23"/>
  </r>
  <r>
    <n v="217"/>
    <s v="20250207"/>
    <n v="39002433223"/>
    <s v="Rio de Janiero"/>
    <x v="0"/>
    <n v="1"/>
    <s v="MAPLE SYRUP 12OZ LS"/>
    <x v="12"/>
  </r>
  <r>
    <n v="218"/>
    <s v="20250203"/>
    <n v="39001379651"/>
    <s v="Salzburg"/>
    <x v="10"/>
    <n v="1"/>
    <s v="DIET COOKIE 16OZ LS"/>
    <x v="7"/>
  </r>
  <r>
    <n v="219"/>
    <s v="20250226"/>
    <n v="39000264836"/>
    <s v="The Wall"/>
    <x v="4"/>
    <n v="1"/>
    <s v="LEMONADE 8.4OZ LS"/>
    <x v="11"/>
  </r>
  <r>
    <n v="220"/>
    <s v="20250113"/>
    <n v="39000661102"/>
    <s v="Hoth"/>
    <x v="7"/>
    <n v="1"/>
    <s v="SUSHI ROLL 12OZ LS"/>
    <x v="10"/>
  </r>
  <r>
    <n v="221"/>
    <s v="20250203"/>
    <n v="39000263705"/>
    <s v="The Wall"/>
    <x v="4"/>
    <n v="1"/>
    <s v="SPICY MEATBALL 20oz LS"/>
    <x v="5"/>
  </r>
  <r>
    <n v="222"/>
    <s v="20250127"/>
    <n v="39002365467"/>
    <s v="Hoth"/>
    <x v="7"/>
    <n v="1"/>
    <s v="SUSHI ROLL 12OZ LS"/>
    <x v="10"/>
  </r>
  <r>
    <n v="223"/>
    <s v="20250117"/>
    <n v="39000198159"/>
    <s v="Metropolis"/>
    <x v="3"/>
    <n v="1"/>
    <s v="SPICY MEATBALL 20oz LS"/>
    <x v="5"/>
  </r>
  <r>
    <n v="224"/>
    <s v="20250227"/>
    <n v="39001520506"/>
    <s v="Scranton"/>
    <x v="8"/>
    <n v="1"/>
    <s v="SF VAR PK 8.4OZ 12P"/>
    <x v="24"/>
  </r>
  <r>
    <n v="225"/>
    <s v="20250206"/>
    <n v="39000660699"/>
    <s v="Hoth"/>
    <x v="7"/>
    <n v="1"/>
    <s v="SUSHI ROLL 8.4OZ LS"/>
    <x v="10"/>
  </r>
  <r>
    <n v="226"/>
    <s v="20250219"/>
    <n v="39000671281"/>
    <s v="Hoth"/>
    <x v="7"/>
    <n v="1"/>
    <s v="SUSHI ROLL 12OZ LS"/>
    <x v="10"/>
  </r>
  <r>
    <n v="227"/>
    <s v="20250117"/>
    <n v="39000227981"/>
    <s v="Gotham"/>
    <x v="3"/>
    <n v="2"/>
    <s v="AVOCADO TOAST 8.4oz LS"/>
    <x v="19"/>
  </r>
  <r>
    <n v="228"/>
    <s v="20250124"/>
    <n v="39000211029"/>
    <s v="Gotham"/>
    <x v="3"/>
    <n v="1"/>
    <s v="SPICY MEATBALL 20oz LS"/>
    <x v="5"/>
  </r>
  <r>
    <n v="229"/>
    <s v="20250218"/>
    <n v="39000285064"/>
    <s v="House Stark"/>
    <x v="4"/>
    <n v="2"/>
    <s v="VP Mint 8.4OZ 12PK"/>
    <x v="25"/>
  </r>
  <r>
    <n v="230"/>
    <s v="20250303"/>
    <n v="39002747732"/>
    <s v="Red Outpost"/>
    <x v="6"/>
    <n v="1"/>
    <s v="SPICY MEATBALL 16OZ LS"/>
    <x v="5"/>
  </r>
  <r>
    <n v="231"/>
    <s v="20250226"/>
    <n v="39000587769"/>
    <s v="Rio de Janiero"/>
    <x v="0"/>
    <n v="1"/>
    <s v="PICKLE JUICE 12OZ LS"/>
    <x v="0"/>
  </r>
  <r>
    <n v="232"/>
    <s v="20250304"/>
    <n v="39000197730"/>
    <s v="Gotham"/>
    <x v="3"/>
    <n v="1"/>
    <s v="SF STRAWBERRY MILKSHAKE 8.4OZ LS"/>
    <x v="16"/>
  </r>
  <r>
    <n v="233"/>
    <s v="20250127"/>
    <n v="39000337857"/>
    <s v="Red Outpost"/>
    <x v="6"/>
    <n v="1"/>
    <s v="SUSHI ROLL 12OZ 4PK"/>
    <x v="10"/>
  </r>
  <r>
    <n v="234"/>
    <s v="20250220"/>
    <n v="39002306343"/>
    <s v="Santas Workshop"/>
    <x v="1"/>
    <n v="1"/>
    <s v="WASABI BANANA PUDDING 12OZ LS"/>
    <x v="8"/>
  </r>
  <r>
    <n v="235"/>
    <s v="20250114"/>
    <n v="39000209092"/>
    <s v="Gotham"/>
    <x v="3"/>
    <n v="1"/>
    <s v="PICKLE JUICE 12OZ LS"/>
    <x v="0"/>
  </r>
  <r>
    <n v="236"/>
    <s v="20250228"/>
    <n v="39001506297"/>
    <s v="Nashua"/>
    <x v="8"/>
    <n v="1"/>
    <s v="WASABI BANANA PUDDING 12OZ LS"/>
    <x v="8"/>
  </r>
  <r>
    <n v="237"/>
    <s v="20250303"/>
    <n v="39000595764"/>
    <s v="Rio de Janiero"/>
    <x v="0"/>
    <n v="1"/>
    <s v="SPICY MEATBALL 20oz LS"/>
    <x v="5"/>
  </r>
  <r>
    <n v="238"/>
    <s v="20250217"/>
    <n v="39001501643"/>
    <s v="Scranton"/>
    <x v="8"/>
    <n v="1"/>
    <s v="BLUEBERRY SMOOTHIE 12oz LS"/>
    <x v="4"/>
  </r>
  <r>
    <n v="239"/>
    <s v="20250108"/>
    <n v="39000230568"/>
    <s v="Gotham"/>
    <x v="3"/>
    <n v="1"/>
    <s v="DIET SODA 8.4OZ LS"/>
    <x v="1"/>
  </r>
  <r>
    <n v="240"/>
    <s v="20250310"/>
    <n v="39000666965"/>
    <s v="Hoth"/>
    <x v="7"/>
    <n v="1"/>
    <s v="KETCHUP 8.4OZ LS"/>
    <x v="14"/>
  </r>
  <r>
    <n v="241"/>
    <s v="20250102"/>
    <n v="39001460810"/>
    <s v="Scranton"/>
    <x v="8"/>
    <n v="1"/>
    <s v="BLUEBERRY SMOOTHIE 12oz LS"/>
    <x v="4"/>
  </r>
  <r>
    <n v="242"/>
    <s v="20250117"/>
    <n v="39000591409"/>
    <s v="Rio de Janiero"/>
    <x v="0"/>
    <n v="1"/>
    <s v="SPICY MEATBALL 8.4OZ 12PK"/>
    <x v="5"/>
  </r>
  <r>
    <n v="243"/>
    <s v="20250117"/>
    <n v="39002236403"/>
    <s v="Santas Workshop"/>
    <x v="1"/>
    <n v="1"/>
    <s v="KETCHUP 12OZ LS"/>
    <x v="14"/>
  </r>
  <r>
    <n v="244"/>
    <s v="20250106"/>
    <n v="39000948792"/>
    <s v="Mumbai"/>
    <x v="2"/>
    <n v="1"/>
    <s v="SPICY MEATBALL 8.4OZ LS"/>
    <x v="5"/>
  </r>
  <r>
    <n v="245"/>
    <s v="20250206"/>
    <n v="39000201279"/>
    <s v="Gotham"/>
    <x v="3"/>
    <n v="1"/>
    <s v="SF MAPLE SYRUP 12OZ LS"/>
    <x v="3"/>
  </r>
  <r>
    <n v="246"/>
    <s v="20250117"/>
    <n v="39000337727"/>
    <s v="Red Outpost"/>
    <x v="6"/>
    <n v="1"/>
    <s v="SF MAPLE SYRUP 12OZ LS"/>
    <x v="3"/>
  </r>
  <r>
    <n v="247"/>
    <s v="20250130"/>
    <n v="39002280252"/>
    <s v="Santas Workshop"/>
    <x v="1"/>
    <n v="2"/>
    <s v="SPICY MEATBALL 12OZ LS"/>
    <x v="5"/>
  </r>
  <r>
    <n v="248"/>
    <s v="20250212"/>
    <n v="39000961688"/>
    <s v="Mumbai"/>
    <x v="2"/>
    <n v="2"/>
    <s v="SPICY MEATBALL 20oz LS"/>
    <x v="5"/>
  </r>
  <r>
    <n v="249"/>
    <s v="20250103"/>
    <n v="39002654145"/>
    <s v="Hoth"/>
    <x v="7"/>
    <n v="4"/>
    <s v="ICE CREAM 12OZ LS"/>
    <x v="20"/>
  </r>
  <r>
    <n v="250"/>
    <s v="20250130"/>
    <n v="39000198289"/>
    <s v="Gotham"/>
    <x v="3"/>
    <n v="1"/>
    <s v="DIET COOKIE 16OZ LS"/>
    <x v="7"/>
  </r>
  <r>
    <n v="251"/>
    <s v="20250131"/>
    <n v="39001541683"/>
    <s v="Scranton"/>
    <x v="8"/>
    <n v="1"/>
    <s v="KETCHUP 8.4OZ LS"/>
    <x v="14"/>
  </r>
  <r>
    <n v="252"/>
    <s v="20250116"/>
    <n v="39000203320"/>
    <s v="Gotham"/>
    <x v="3"/>
    <n v="1"/>
    <s v="SF KETCHUP 8.4OZ 4P"/>
    <x v="15"/>
  </r>
  <r>
    <n v="253"/>
    <s v="20250307"/>
    <n v="39000592709"/>
    <s v="Rio de Janiero"/>
    <x v="0"/>
    <n v="2"/>
    <s v="DIET COOKIE 8.4OZ 12PK"/>
    <x v="7"/>
  </r>
  <r>
    <n v="254"/>
    <s v="20250221"/>
    <n v="39000955617"/>
    <s v="Mumbai"/>
    <x v="2"/>
    <n v="2"/>
    <s v="SPICY MEATBALL 12OZ LS"/>
    <x v="5"/>
  </r>
  <r>
    <n v="255"/>
    <s v="20250123"/>
    <n v="39000948207"/>
    <s v="Mumbai"/>
    <x v="2"/>
    <n v="4"/>
    <s v="SPICY MEATBALL 12OZ LS"/>
    <x v="5"/>
  </r>
  <r>
    <n v="256"/>
    <s v="20250224"/>
    <n v="39001431677"/>
    <s v="Scranton"/>
    <x v="8"/>
    <n v="1"/>
    <s v="PICKLE JUICE 8.4OZ LS"/>
    <x v="0"/>
  </r>
  <r>
    <n v="257"/>
    <s v="20250305"/>
    <n v="39002225184"/>
    <s v="Santas Workshop"/>
    <x v="1"/>
    <n v="-0.375"/>
    <s v="BLUEBERRY SMOOTHIE 8.4OZ LS"/>
    <x v="4"/>
  </r>
  <r>
    <n v="258"/>
    <s v="20250310"/>
    <n v="39001488682"/>
    <s v="Summer House"/>
    <x v="9"/>
    <n v="2"/>
    <s v="SUSHI ROLL 12OZ LS"/>
    <x v="10"/>
  </r>
  <r>
    <n v="259"/>
    <s v="20250116"/>
    <n v="39001489813"/>
    <s v="Summer House"/>
    <x v="9"/>
    <n v="1"/>
    <s v="DIET COOKIE 20OZ LS"/>
    <x v="7"/>
  </r>
  <r>
    <n v="260"/>
    <s v="20250122"/>
    <n v="39002333422"/>
    <s v="Gotham"/>
    <x v="3"/>
    <n v="1"/>
    <s v="DIET COOKIE 12oz"/>
    <x v="9"/>
  </r>
  <r>
    <n v="261"/>
    <s v="20250226"/>
    <n v="39000217360"/>
    <s v="Metropolis"/>
    <x v="3"/>
    <n v="1"/>
    <s v="SF LEMONADE 12OZ LS"/>
    <x v="21"/>
  </r>
  <r>
    <n v="262"/>
    <s v="20250131"/>
    <n v="39000661037"/>
    <s v="Hoth"/>
    <x v="7"/>
    <n v="1"/>
    <s v="WASABI BANANA PUDDING 8.4OZ LS"/>
    <x v="8"/>
  </r>
  <r>
    <n v="263"/>
    <s v="20250212"/>
    <n v="39001393262"/>
    <s v="Scranton"/>
    <x v="8"/>
    <n v="1"/>
    <s v="MAPLE SYRUP 8.4OZ LS"/>
    <x v="12"/>
  </r>
  <r>
    <n v="264"/>
    <s v="20250129"/>
    <n v="39000592332"/>
    <s v="Rio de Janiero"/>
    <x v="0"/>
    <n v="1"/>
    <s v="DIET COOKIE 16OZ LS"/>
    <x v="7"/>
  </r>
  <r>
    <n v="265"/>
    <s v="20250220"/>
    <n v="39000663195"/>
    <s v="Hoth"/>
    <x v="7"/>
    <n v="2"/>
    <s v="SPICY MEATBALL 16OZ LS"/>
    <x v="5"/>
  </r>
  <r>
    <n v="266"/>
    <s v="20250110"/>
    <n v="39002287740"/>
    <s v="Santas Workshop"/>
    <x v="1"/>
    <n v="1"/>
    <s v="BLUEBERRY SMOOTHIE 8.4OZ LS"/>
    <x v="4"/>
  </r>
  <r>
    <n v="267"/>
    <s v="20250206"/>
    <n v="39000201695"/>
    <s v="Metropolis"/>
    <x v="3"/>
    <n v="1"/>
    <s v="SF MAPLE SYRUP 12OZ LS"/>
    <x v="3"/>
  </r>
  <r>
    <n v="268"/>
    <s v="20250211"/>
    <n v="39001387633"/>
    <s v="Summer House"/>
    <x v="9"/>
    <n v="1"/>
    <s v="BLUEBERRY SMOOTHIE 12oz LS"/>
    <x v="4"/>
  </r>
  <r>
    <n v="269"/>
    <s v="20250226"/>
    <n v="39001482104"/>
    <s v="Scranton"/>
    <x v="8"/>
    <n v="2"/>
    <s v="SF STRAWBERRY MILKSHAKE 8.4OZ LS"/>
    <x v="16"/>
  </r>
  <r>
    <n v="270"/>
    <s v="20250123"/>
    <n v="39000217412"/>
    <s v="Gotham"/>
    <x v="3"/>
    <n v="1"/>
    <s v="SF ICE CREAM 12OZ LS"/>
    <x v="6"/>
  </r>
  <r>
    <n v="271"/>
    <s v="20250203"/>
    <n v="39002684474"/>
    <s v="Salzburg"/>
    <x v="10"/>
    <n v="1"/>
    <s v="KETCHUP 12OZ LS"/>
    <x v="14"/>
  </r>
  <r>
    <n v="272"/>
    <s v="20250106"/>
    <n v="39000284921"/>
    <s v="House Stark"/>
    <x v="4"/>
    <n v="2"/>
    <s v="STRAWBERRY MILKSHAKE 12OZ LS"/>
    <x v="17"/>
  </r>
  <r>
    <n v="273"/>
    <s v="20250305"/>
    <n v="39000220454"/>
    <s v="Gotham"/>
    <x v="3"/>
    <n v="8"/>
    <s v="LEMONADE 12OZ 4PK"/>
    <x v="11"/>
  </r>
  <r>
    <n v="274"/>
    <s v="20250121"/>
    <n v="39000264043"/>
    <s v="The Wall"/>
    <x v="4"/>
    <n v="1"/>
    <s v="PICKLE JUICE 12OZ LS"/>
    <x v="0"/>
  </r>
  <r>
    <n v="275"/>
    <s v="20250219"/>
    <n v="39002698189"/>
    <s v="Red Outpost"/>
    <x v="6"/>
    <n v="1"/>
    <s v="SPICY MEATBALL 8.4OZ LS"/>
    <x v="5"/>
  </r>
  <r>
    <n v="276"/>
    <s v="20250107"/>
    <n v="39000217477"/>
    <s v="Gotham"/>
    <x v="3"/>
    <n v="1"/>
    <s v="DIET COOKIE 12oz"/>
    <x v="9"/>
  </r>
  <r>
    <n v="277"/>
    <s v="20250204"/>
    <n v="39002422394"/>
    <s v="Scranton"/>
    <x v="8"/>
    <n v="-1"/>
    <s v="MAPLE SYRUP 8.4OZ LS"/>
    <x v="12"/>
  </r>
  <r>
    <n v="278"/>
    <s v="20250218"/>
    <n v="39000278447"/>
    <s v="House Stark"/>
    <x v="4"/>
    <n v="1"/>
    <s v="PICKLE JUICE 12OZ LS"/>
    <x v="0"/>
  </r>
  <r>
    <n v="279"/>
    <s v="20250116"/>
    <n v="39001687660"/>
    <s v="Casa Amor"/>
    <x v="5"/>
    <n v="-0.25"/>
    <s v="WASABI 12OZ LS"/>
    <x v="26"/>
  </r>
  <r>
    <n v="280"/>
    <s v="20250310"/>
    <n v="39000212771"/>
    <s v="Gotham"/>
    <x v="3"/>
    <n v="2"/>
    <s v="VP Mint 8.4OZ 12PK"/>
    <x v="25"/>
  </r>
  <r>
    <n v="281"/>
    <s v="20250127"/>
    <n v="39000659711"/>
    <s v="Hoth"/>
    <x v="7"/>
    <n v="1"/>
    <s v="DIET COOKIE 20OZ LS"/>
    <x v="7"/>
  </r>
  <r>
    <n v="282"/>
    <s v="20250127"/>
    <n v="39000235820"/>
    <s v="Gotham"/>
    <x v="3"/>
    <n v="1"/>
    <s v="DIET SODA 8.4OZ LS"/>
    <x v="1"/>
  </r>
  <r>
    <n v="283"/>
    <s v="20250127"/>
    <n v="39001547416"/>
    <s v="Nashua"/>
    <x v="8"/>
    <n v="1"/>
    <s v="SUSHI ROLL 12OZ LS"/>
    <x v="10"/>
  </r>
  <r>
    <n v="284"/>
    <s v="20250307"/>
    <n v="39000962182"/>
    <s v="Mumbai"/>
    <x v="2"/>
    <n v="2"/>
    <s v="LEMONADE 8.4OZ LS"/>
    <x v="11"/>
  </r>
  <r>
    <n v="285"/>
    <s v="20250103"/>
    <n v="39001520285"/>
    <s v="Scranton"/>
    <x v="8"/>
    <n v="1"/>
    <s v="KETCHUP 12OZ 4PK"/>
    <x v="14"/>
  </r>
  <r>
    <n v="286"/>
    <s v="20250303"/>
    <n v="39001549743"/>
    <s v="Scranton"/>
    <x v="8"/>
    <n v="1"/>
    <s v="STRAWBERRY MILKSHAKE 8.4OZ LS"/>
    <x v="17"/>
  </r>
  <r>
    <n v="287"/>
    <s v="20250131"/>
    <n v="39000220753"/>
    <s v="Gotham"/>
    <x v="3"/>
    <n v="1"/>
    <s v="SPICY MEATBALL 12OZ LS"/>
    <x v="5"/>
  </r>
  <r>
    <n v="288"/>
    <s v="20250221"/>
    <n v="39001537809"/>
    <s v="Scranton"/>
    <x v="8"/>
    <n v="1"/>
    <s v="DIET COOKIE 8.4OZ 12PK"/>
    <x v="7"/>
  </r>
  <r>
    <n v="289"/>
    <s v="20250228"/>
    <n v="39000964834"/>
    <s v="Mumbai"/>
    <x v="2"/>
    <n v="1"/>
    <s v="SPICY MEATBALL 12OZ LS"/>
    <x v="5"/>
  </r>
  <r>
    <n v="290"/>
    <s v="20250109"/>
    <n v="39000590642"/>
    <s v="Rio de Janiero"/>
    <x v="0"/>
    <n v="2"/>
    <s v="DIET COOKIE 12oz"/>
    <x v="9"/>
  </r>
  <r>
    <n v="291"/>
    <s v="20250109"/>
    <n v="39000242281"/>
    <s v="Gotham"/>
    <x v="3"/>
    <n v="2"/>
    <s v="BLUEBERRY SMOOTHIE 12oz LS"/>
    <x v="4"/>
  </r>
  <r>
    <n v="292"/>
    <s v="20250220"/>
    <n v="39001784666"/>
    <s v="Rio de Janiero"/>
    <x v="0"/>
    <n v="4"/>
    <s v="SUSHI ROLL 12OZ LS"/>
    <x v="10"/>
  </r>
  <r>
    <n v="293"/>
    <s v="20250217"/>
    <n v="39000667004"/>
    <s v="Hoth"/>
    <x v="7"/>
    <n v="1"/>
    <s v="SUSHI ROLL 12OZ LS"/>
    <x v="10"/>
  </r>
  <r>
    <n v="294"/>
    <s v="20250106"/>
    <n v="39000215241"/>
    <s v="Metropolis"/>
    <x v="3"/>
    <n v="1"/>
    <s v="PEACH COBBLER 12oz LS"/>
    <x v="18"/>
  </r>
  <r>
    <n v="295"/>
    <s v="20250213"/>
    <n v="39000221195"/>
    <s v="Metropolis"/>
    <x v="3"/>
    <n v="1"/>
    <s v="SF MAPLE SYRUP 12OZ LS"/>
    <x v="3"/>
  </r>
  <r>
    <n v="296"/>
    <s v="20250219"/>
    <n v="39000228124"/>
    <s v="Gotham"/>
    <x v="3"/>
    <n v="1"/>
    <s v="MAPLE SYRUP 12OZ LS"/>
    <x v="12"/>
  </r>
  <r>
    <n v="297"/>
    <s v="20250219"/>
    <n v="39000203138"/>
    <s v="Metropolis"/>
    <x v="3"/>
    <n v="1"/>
    <s v="WASABI BANANA PUDDING 8.4OZ LS"/>
    <x v="8"/>
  </r>
  <r>
    <n v="298"/>
    <s v="20250307"/>
    <n v="39000948740"/>
    <s v="Mumbai"/>
    <x v="2"/>
    <n v="2"/>
    <s v="LEMONADE 8.4OZ LS"/>
    <x v="11"/>
  </r>
  <r>
    <n v="299"/>
    <s v="20250128"/>
    <n v="39000965029"/>
    <s v="Mumbai"/>
    <x v="2"/>
    <n v="2"/>
    <s v="PICKLE JUICE 12OZ LS"/>
    <x v="0"/>
  </r>
  <r>
    <n v="300"/>
    <s v="20250102"/>
    <n v="39000220857"/>
    <s v="Gotham"/>
    <x v="3"/>
    <n v="1"/>
    <s v="DIET COOKIE 12OZ 4PK"/>
    <x v="7"/>
  </r>
  <r>
    <n v="301"/>
    <s v="20250103"/>
    <n v="39000213252"/>
    <s v="Gotham"/>
    <x v="3"/>
    <n v="1"/>
    <s v="BLUEBERRY SMOOTHIE 12oz LS"/>
    <x v="4"/>
  </r>
  <r>
    <n v="302"/>
    <s v="20250213"/>
    <n v="39000213213"/>
    <s v="Metropolis"/>
    <x v="3"/>
    <n v="-2"/>
    <s v="DIET COOKIE 12oz"/>
    <x v="9"/>
  </r>
  <r>
    <n v="303"/>
    <s v="20250210"/>
    <n v="39000592384"/>
    <s v="Rio de Janiero"/>
    <x v="0"/>
    <n v="1"/>
    <s v="DIET COOKIE 8.4OZ 4PK"/>
    <x v="7"/>
  </r>
  <r>
    <n v="304"/>
    <s v="20250103"/>
    <n v="39000215449"/>
    <s v="Gotham"/>
    <x v="3"/>
    <n v="1"/>
    <s v="SF KETCHUP 12OZ LS"/>
    <x v="15"/>
  </r>
  <r>
    <n v="305"/>
    <s v="20250227"/>
    <n v="39000232284"/>
    <s v="Metropolis"/>
    <x v="3"/>
    <n v="1"/>
    <s v="SF SUSHI ROLL 12OZ LS"/>
    <x v="2"/>
  </r>
  <r>
    <n v="306"/>
    <s v="20250127"/>
    <n v="39000584766"/>
    <s v="Rio de Janiero"/>
    <x v="0"/>
    <n v="1"/>
    <s v="DIET COOKIE 16OZ LS"/>
    <x v="7"/>
  </r>
  <r>
    <n v="307"/>
    <s v="20250204"/>
    <n v="39001675934"/>
    <s v="Scranton"/>
    <x v="8"/>
    <n v="1"/>
    <s v="DIET COOKIE 8.4OZ LS"/>
    <x v="7"/>
  </r>
  <r>
    <n v="308"/>
    <s v="20250203"/>
    <n v="39000949832"/>
    <s v="Mumbai"/>
    <x v="2"/>
    <n v="1"/>
    <s v="COCONUT MILK 12oz LS"/>
    <x v="13"/>
  </r>
  <r>
    <n v="309"/>
    <s v="20250221"/>
    <n v="39000264199"/>
    <s v="The Wall"/>
    <x v="4"/>
    <n v="4"/>
    <s v="SPICY MEATBALL 12OZ LS"/>
    <x v="5"/>
  </r>
  <r>
    <n v="310"/>
    <s v="20250124"/>
    <n v="39000336232"/>
    <s v="Red Outpost"/>
    <x v="6"/>
    <n v="1"/>
    <s v="WASABI BANANA PUDDING 12OZ LS"/>
    <x v="8"/>
  </r>
  <r>
    <n v="311"/>
    <s v="20250127"/>
    <n v="39002406742"/>
    <s v="Rio de Janiero"/>
    <x v="0"/>
    <n v="1"/>
    <s v="SF ICE CREAM 8.4OZ LS"/>
    <x v="6"/>
  </r>
  <r>
    <n v="312"/>
    <s v="20250304"/>
    <n v="39000226681"/>
    <s v="Gotham"/>
    <x v="3"/>
    <n v="1"/>
    <s v="SF STRAWBERRY MILKSHAKE 8.4OZ LS"/>
    <x v="16"/>
  </r>
  <r>
    <n v="313"/>
    <s v="20250206"/>
    <n v="39002793232"/>
    <s v="Salzburg"/>
    <x v="10"/>
    <n v="3"/>
    <s v="SPICY MEATBALL 12OZ LS"/>
    <x v="5"/>
  </r>
  <r>
    <n v="314"/>
    <s v="20250226"/>
    <n v="39002753322"/>
    <s v="The Wall"/>
    <x v="4"/>
    <n v="1"/>
    <s v="SPICY MEATBALL 8.4OZ LS"/>
    <x v="5"/>
  </r>
  <r>
    <n v="315"/>
    <s v="20250304"/>
    <n v="39000263848"/>
    <s v="The Wall"/>
    <x v="4"/>
    <n v="1"/>
    <s v="SPICY MEATBALL 20oz LS"/>
    <x v="5"/>
  </r>
  <r>
    <n v="316"/>
    <s v="20250129"/>
    <n v="39000282438"/>
    <s v="House Stark"/>
    <x v="4"/>
    <n v="1"/>
    <s v="PEACH COBBLER 12oz LS"/>
    <x v="18"/>
  </r>
  <r>
    <n v="317"/>
    <s v="20250228"/>
    <n v="39001719055"/>
    <s v="Casa Amor"/>
    <x v="5"/>
    <n v="1"/>
    <s v="LEMONADE 8.4OZ LS"/>
    <x v="11"/>
  </r>
  <r>
    <n v="318"/>
    <s v="20250115"/>
    <n v="39000208442"/>
    <s v="Gotham"/>
    <x v="3"/>
    <n v="2"/>
    <s v="SPICY MEATBALL 16OZ LS"/>
    <x v="5"/>
  </r>
  <r>
    <n v="319"/>
    <s v="20250219"/>
    <n v="39000220285"/>
    <s v="Metropolis"/>
    <x v="3"/>
    <n v="2"/>
    <s v="SPICY MEATBALL 12OZ 4PK"/>
    <x v="5"/>
  </r>
  <r>
    <n v="320"/>
    <s v="20250219"/>
    <n v="39000957164"/>
    <s v="Mumbai"/>
    <x v="2"/>
    <n v="1"/>
    <s v="SPICY MEATBALL 20oz LS"/>
    <x v="5"/>
  </r>
  <r>
    <n v="321"/>
    <s v="20250219"/>
    <n v="39001586832"/>
    <s v="Scranton"/>
    <x v="8"/>
    <n v="2"/>
    <s v="COCONUT MILK 12oz LS"/>
    <x v="13"/>
  </r>
  <r>
    <n v="322"/>
    <s v="20250109"/>
    <n v="39002320500"/>
    <s v="Santas Workshop"/>
    <x v="1"/>
    <n v="1"/>
    <s v="DIET COOKIE 16OZ LS"/>
    <x v="7"/>
  </r>
  <r>
    <n v="323"/>
    <s v="20250121"/>
    <n v="39001955655"/>
    <s v="Metropolis"/>
    <x v="3"/>
    <n v="1"/>
    <s v="SUSHI ROLL 12OZ LS"/>
    <x v="10"/>
  </r>
  <r>
    <n v="324"/>
    <s v="20250306"/>
    <n v="39001519583"/>
    <s v="Scranton"/>
    <x v="8"/>
    <n v="1"/>
    <s v="DIET COOKIE 8.4OZ 4PK"/>
    <x v="7"/>
  </r>
  <r>
    <n v="325"/>
    <s v="20250123"/>
    <n v="39000657267"/>
    <s v="Hoth"/>
    <x v="7"/>
    <n v="2"/>
    <s v="COCONUT MILK 8.4OZ LS"/>
    <x v="13"/>
  </r>
  <r>
    <n v="326"/>
    <s v="20250128"/>
    <n v="39000218257"/>
    <s v="Metropolis"/>
    <x v="3"/>
    <n v="1"/>
    <s v="MAPLE SYRUP 8.4OZ LS"/>
    <x v="12"/>
  </r>
  <r>
    <n v="327"/>
    <s v="20250304"/>
    <n v="39000264381"/>
    <s v="The Wall"/>
    <x v="4"/>
    <n v="1"/>
    <s v="DIET COOKIE 8.4OZ LS"/>
    <x v="7"/>
  </r>
  <r>
    <n v="328"/>
    <s v="20250206"/>
    <n v="39000284765"/>
    <s v="House Stark"/>
    <x v="4"/>
    <n v="1"/>
    <s v="SPICY MEATBALL 8.4oz 4PK"/>
    <x v="5"/>
  </r>
  <r>
    <n v="329"/>
    <s v="20250303"/>
    <n v="39000587405"/>
    <s v="Rio de Janiero"/>
    <x v="0"/>
    <n v="1"/>
    <s v="SF STRAWBERRY MILKSHAKE 12OZ LS"/>
    <x v="16"/>
  </r>
  <r>
    <n v="330"/>
    <s v="20250107"/>
    <n v="39002180204"/>
    <s v="Casa Amor"/>
    <x v="5"/>
    <n v="1"/>
    <s v="SF MAPLE SYRUP 12OZ LS"/>
    <x v="3"/>
  </r>
  <r>
    <n v="331"/>
    <s v="20250129"/>
    <n v="39000338676"/>
    <s v="Red Outpost"/>
    <x v="6"/>
    <n v="1"/>
    <s v="KETCHUP 12OZ LS"/>
    <x v="14"/>
  </r>
  <r>
    <n v="332"/>
    <s v="20250110"/>
    <n v="39002389387"/>
    <s v="Red Outpost"/>
    <x v="6"/>
    <n v="1"/>
    <s v="SF MAPLE SYRUP 12OZ LS"/>
    <x v="3"/>
  </r>
  <r>
    <n v="333"/>
    <s v="20250305"/>
    <n v="39001766349"/>
    <s v="Red Outpost"/>
    <x v="6"/>
    <n v="2"/>
    <s v="BLUEBERRY SMOOTHIE 12oz LS"/>
    <x v="4"/>
  </r>
  <r>
    <n v="334"/>
    <s v="20250109"/>
    <n v="39001761019"/>
    <s v="The Wall"/>
    <x v="4"/>
    <n v="1"/>
    <s v="BLUEBERRY SMOOTHIE 12oz LS"/>
    <x v="4"/>
  </r>
  <r>
    <n v="335"/>
    <s v="20250109"/>
    <n v="39000668213"/>
    <s v="Hoth"/>
    <x v="7"/>
    <n v="2"/>
    <s v="DIET SODA 12OZ LS"/>
    <x v="1"/>
  </r>
  <r>
    <n v="336"/>
    <s v="20250123"/>
    <n v="39000954824"/>
    <s v="Mumbai"/>
    <x v="2"/>
    <n v="1"/>
    <s v="KETCHUP 12OZ LS"/>
    <x v="14"/>
  </r>
  <r>
    <n v="337"/>
    <s v="20250212"/>
    <n v="39002389283"/>
    <s v="Red Outpost"/>
    <x v="6"/>
    <n v="2"/>
    <s v="KETCHUP 12OZ LS"/>
    <x v="14"/>
  </r>
  <r>
    <n v="338"/>
    <s v="20250225"/>
    <n v="39000957294"/>
    <s v="Mumbai"/>
    <x v="2"/>
    <n v="1"/>
    <s v="SF KETCHUP 12OZ LS"/>
    <x v="15"/>
  </r>
  <r>
    <n v="339"/>
    <s v="20250116"/>
    <n v="39001548274"/>
    <s v="Scranton"/>
    <x v="8"/>
    <n v="1"/>
    <s v="SF STRAWBERRY MILKSHAKE 12OZ LS"/>
    <x v="16"/>
  </r>
  <r>
    <n v="340"/>
    <s v="20250304"/>
    <n v="39002401633"/>
    <s v="Red Outpost"/>
    <x v="6"/>
    <n v="1"/>
    <s v="SUSHI ROLL 12OZ LS"/>
    <x v="10"/>
  </r>
  <r>
    <n v="341"/>
    <s v="20250228"/>
    <n v="39001967849"/>
    <s v="The Wall"/>
    <x v="4"/>
    <n v="2"/>
    <s v="SPICY MEATBALL 16OZ LS"/>
    <x v="5"/>
  </r>
  <r>
    <n v="342"/>
    <s v="20250129"/>
    <n v="39000979550"/>
    <s v="Mumbai"/>
    <x v="2"/>
    <n v="1"/>
    <s v="DIET COOKIE 12oz"/>
    <x v="9"/>
  </r>
  <r>
    <n v="343"/>
    <s v="20250113"/>
    <n v="39000264576"/>
    <s v="The Wall"/>
    <x v="4"/>
    <n v="1"/>
    <s v="MAPLE SYRUP 8.4OZ 4PK"/>
    <x v="12"/>
  </r>
  <r>
    <n v="344"/>
    <s v="20250211"/>
    <n v="39001481792"/>
    <s v="Scranton"/>
    <x v="8"/>
    <n v="1"/>
    <s v="SUSHI ROLL 12OZ LS"/>
    <x v="10"/>
  </r>
  <r>
    <n v="345"/>
    <s v="20250117"/>
    <n v="39000340873"/>
    <s v="Red Outpost"/>
    <x v="6"/>
    <n v="5"/>
    <s v="SPICY MEATBALL 12OZ LS"/>
    <x v="5"/>
  </r>
  <r>
    <n v="346"/>
    <s v="20250123"/>
    <n v="39001535950"/>
    <s v="Nashua"/>
    <x v="8"/>
    <n v="1"/>
    <s v="DIET SODA 12OZ LS"/>
    <x v="1"/>
  </r>
  <r>
    <n v="347"/>
    <s v="20250107"/>
    <n v="39000240981"/>
    <s v="Gotham"/>
    <x v="3"/>
    <n v="2"/>
    <s v="SPICY MEATBALL 12OZ LS"/>
    <x v="5"/>
  </r>
  <r>
    <n v="348"/>
    <s v="20250228"/>
    <n v="39000333216"/>
    <s v="Red Outpost"/>
    <x v="6"/>
    <n v="1"/>
    <s v="LEMONADE 12OZ LS"/>
    <x v="11"/>
  </r>
  <r>
    <n v="349"/>
    <s v="20250211"/>
    <n v="39000666653"/>
    <s v="Hoth"/>
    <x v="7"/>
    <n v="1"/>
    <s v="SPICY MEATBALL 16OZ LS"/>
    <x v="5"/>
  </r>
  <r>
    <n v="350"/>
    <s v="20250219"/>
    <n v="39000240643"/>
    <s v="Gotham"/>
    <x v="3"/>
    <n v="1"/>
    <s v="DIET COOKIE 12oz"/>
    <x v="9"/>
  </r>
  <r>
    <n v="351"/>
    <s v="20250219"/>
    <n v="39000280306"/>
    <s v="House Stark"/>
    <x v="4"/>
    <n v="4"/>
    <s v="SPICY MEATBALL 12OZ LS"/>
    <x v="5"/>
  </r>
  <r>
    <n v="352"/>
    <s v="20250115"/>
    <n v="39000228917"/>
    <s v="Gotham"/>
    <x v="3"/>
    <n v="1"/>
    <s v="BLUEBERRY SMOOTHIE 8.4OZ LS"/>
    <x v="4"/>
  </r>
  <r>
    <n v="353"/>
    <s v="20250227"/>
    <n v="39001955590"/>
    <s v="Metropolis"/>
    <x v="3"/>
    <n v="2"/>
    <s v="SPICY MEATBALL 8.4OZ LS"/>
    <x v="5"/>
  </r>
  <r>
    <n v="354"/>
    <s v="20250130"/>
    <n v="39000284869"/>
    <s v="House Stark"/>
    <x v="4"/>
    <n v="1"/>
    <s v="SF KETCHUP 12OZ 4P"/>
    <x v="15"/>
  </r>
  <r>
    <n v="355"/>
    <s v="20250225"/>
    <n v="39000212849"/>
    <s v="Gotham"/>
    <x v="3"/>
    <n v="-0.125"/>
    <s v="DIET COOKIE 12oz"/>
    <x v="9"/>
  </r>
  <r>
    <n v="356"/>
    <s v="20250228"/>
    <n v="39000655525"/>
    <s v="Hoth"/>
    <x v="7"/>
    <n v="1"/>
    <s v="SF STRAWBERRY MILKSHAKE 12OZ LS"/>
    <x v="16"/>
  </r>
  <r>
    <n v="357"/>
    <s v="20250307"/>
    <n v="39001716754"/>
    <s v="Casa Amor"/>
    <x v="5"/>
    <n v="2"/>
    <s v="WASABI BANANA PUDDING 12OZ LS"/>
    <x v="8"/>
  </r>
  <r>
    <n v="358"/>
    <s v="20250206"/>
    <n v="39000590759"/>
    <s v="Rio de Janiero"/>
    <x v="0"/>
    <n v="1"/>
    <s v="PICKLE JUICE 8.4OZ LS"/>
    <x v="0"/>
  </r>
  <r>
    <n v="359"/>
    <s v="20250306"/>
    <n v="39000590642"/>
    <s v="Rio de Janiero"/>
    <x v="0"/>
    <n v="2"/>
    <s v="SF LEMONADE 12OZ LS"/>
    <x v="21"/>
  </r>
  <r>
    <n v="360"/>
    <s v="20250113"/>
    <n v="39000334191"/>
    <s v="Red Outpost"/>
    <x v="6"/>
    <n v="1"/>
    <s v="DIET COOKIE 12oz"/>
    <x v="9"/>
  </r>
  <r>
    <n v="361"/>
    <s v="20250307"/>
    <n v="39000338468"/>
    <s v="Red Outpost"/>
    <x v="6"/>
    <n v="1"/>
    <s v="SF STRAWBERRY MILKSHAKE 12OZ LS"/>
    <x v="16"/>
  </r>
  <r>
    <n v="362"/>
    <s v="20250305"/>
    <n v="39000234585"/>
    <s v="Gotham"/>
    <x v="3"/>
    <n v="-8.3000000000000004E-2"/>
    <s v="WASABI BANANA PUDDING 12OZ LS"/>
    <x v="8"/>
  </r>
  <r>
    <n v="363"/>
    <s v="20250228"/>
    <n v="39000592592"/>
    <s v="Rio de Janiero"/>
    <x v="0"/>
    <n v="1"/>
    <s v="SF LEMONADE 8.4OZ LS"/>
    <x v="21"/>
  </r>
  <r>
    <n v="364"/>
    <s v="20250224"/>
    <n v="39000282191"/>
    <s v="House Stark"/>
    <x v="4"/>
    <n v="1"/>
    <s v="PICKLE JUICE 12OZ LS"/>
    <x v="0"/>
  </r>
  <r>
    <n v="365"/>
    <s v="20250228"/>
    <n v="39000415987"/>
    <s v="Red Outpost"/>
    <x v="6"/>
    <n v="1"/>
    <s v="SF STRAWBERRY MILKSHAKE 8.4OZ LS"/>
    <x v="16"/>
  </r>
  <r>
    <n v="366"/>
    <s v="20250107"/>
    <n v="39000659282"/>
    <s v="Hoth"/>
    <x v="7"/>
    <n v="1"/>
    <s v="SF MAPLE SYRUP 12OZ LS"/>
    <x v="3"/>
  </r>
  <r>
    <n v="367"/>
    <s v="20250110"/>
    <n v="39001393002"/>
    <s v="Scranton"/>
    <x v="8"/>
    <n v="2"/>
    <s v="DIET SODA 8.4OZ LS"/>
    <x v="1"/>
  </r>
  <r>
    <n v="368"/>
    <s v="20250214"/>
    <n v="39000661817"/>
    <s v="Hoth"/>
    <x v="7"/>
    <n v="-1.167"/>
    <s v="SPICY MEATBALL 8.4OZ LS"/>
    <x v="5"/>
  </r>
  <r>
    <n v="369"/>
    <s v="20250305"/>
    <n v="39001782040"/>
    <s v="Casa Amor"/>
    <x v="5"/>
    <n v="-0.91700000000000004"/>
    <s v="KETCHUP 8.4OZ LS"/>
    <x v="14"/>
  </r>
  <r>
    <n v="370"/>
    <s v="20250106"/>
    <n v="39000271544"/>
    <s v="The Wall"/>
    <x v="4"/>
    <n v="1"/>
    <s v="DIET SODA 12OZ LS"/>
    <x v="1"/>
  </r>
  <r>
    <n v="371"/>
    <s v="20250226"/>
    <n v="39000661765"/>
    <s v="Hoth"/>
    <x v="7"/>
    <n v="1"/>
    <s v="SF LEMONADE 8.4OZ LS"/>
    <x v="21"/>
  </r>
  <r>
    <n v="372"/>
    <s v="20250221"/>
    <n v="39001488617"/>
    <s v="Scranton"/>
    <x v="8"/>
    <n v="1"/>
    <s v="COCONUT MILK 12oz LS"/>
    <x v="13"/>
  </r>
  <r>
    <n v="373"/>
    <s v="20250213"/>
    <n v="39001520155"/>
    <s v="Scranton"/>
    <x v="8"/>
    <n v="1"/>
    <s v="SPICY MEATBALL 12OZ 4PK"/>
    <x v="5"/>
  </r>
  <r>
    <n v="374"/>
    <s v="20250103"/>
    <n v="39000238043"/>
    <s v="Gotham"/>
    <x v="3"/>
    <n v="1"/>
    <s v="AVOCADO TOAST 12oz LS"/>
    <x v="19"/>
  </r>
  <r>
    <n v="375"/>
    <s v="20250115"/>
    <n v="39000203346"/>
    <s v="Gotham"/>
    <x v="3"/>
    <n v="1"/>
    <s v="AVOCADO TOAST 8.4oz LS"/>
    <x v="19"/>
  </r>
  <r>
    <n v="376"/>
    <s v="20250102"/>
    <n v="39000412009"/>
    <s v="Red Outpost"/>
    <x v="6"/>
    <n v="1"/>
    <s v="SPICY MEATBALL 8.4OZ LS"/>
    <x v="5"/>
  </r>
  <r>
    <n v="377"/>
    <s v="20250212"/>
    <n v="39000341939"/>
    <s v="Red Outpost"/>
    <x v="6"/>
    <n v="1"/>
    <s v="COCONUT MILK 12oz LS"/>
    <x v="13"/>
  </r>
  <r>
    <n v="378"/>
    <s v="20250306"/>
    <n v="39001690559"/>
    <s v="Casa Amor"/>
    <x v="5"/>
    <n v="2"/>
    <s v="MAPLE SYRUP 12OZ LS"/>
    <x v="12"/>
  </r>
  <r>
    <n v="379"/>
    <s v="20250213"/>
    <n v="39000206414"/>
    <s v="Gotham"/>
    <x v="3"/>
    <n v="3"/>
    <s v="SPICY MEATBALL 16OZ LS"/>
    <x v="5"/>
  </r>
  <r>
    <n v="380"/>
    <s v="20250225"/>
    <n v="39000667043"/>
    <s v="Hoth"/>
    <x v="7"/>
    <n v="2"/>
    <s v="SF MAPLE SYRUP 12OZ LS"/>
    <x v="3"/>
  </r>
  <r>
    <n v="381"/>
    <s v="20250226"/>
    <n v="39001674543"/>
    <s v="Hoth"/>
    <x v="7"/>
    <n v="2"/>
    <s v="STRAWBERRY MILKSHAKE 8.4OZ LS"/>
    <x v="17"/>
  </r>
  <r>
    <n v="382"/>
    <s v="20250123"/>
    <n v="39000957047"/>
    <s v="Mumbai"/>
    <x v="2"/>
    <n v="1"/>
    <s v="SPICY MEATBALL 8.4OZ LS"/>
    <x v="5"/>
  </r>
  <r>
    <n v="383"/>
    <s v="20250310"/>
    <n v="39000657813"/>
    <s v="Hoth"/>
    <x v="7"/>
    <n v="1"/>
    <s v="SF STRAWBERRY MILKSHAKE 8.4OZ LS"/>
    <x v="16"/>
  </r>
  <r>
    <n v="384"/>
    <s v="20250305"/>
    <n v="39000197158"/>
    <s v="Gotham"/>
    <x v="3"/>
    <n v="2"/>
    <s v="LEMONADE 12OZ LS"/>
    <x v="11"/>
  </r>
  <r>
    <n v="385"/>
    <s v="20250217"/>
    <n v="39000662168"/>
    <s v="Hoth"/>
    <x v="7"/>
    <n v="1"/>
    <s v="BLUEBERRY SMOOTHIE 12oz LS"/>
    <x v="4"/>
  </r>
  <r>
    <n v="386"/>
    <s v="20250305"/>
    <n v="39000951353"/>
    <s v="Mumbai"/>
    <x v="2"/>
    <n v="1"/>
    <s v="SF SUSHI ROLL 12OZ LS"/>
    <x v="2"/>
  </r>
  <r>
    <n v="387"/>
    <s v="20250210"/>
    <n v="39001520233"/>
    <s v="Scranton"/>
    <x v="8"/>
    <n v="1"/>
    <s v="SPICY MEATBALL 8.4oz 4PK"/>
    <x v="5"/>
  </r>
  <r>
    <n v="388"/>
    <s v="20250219"/>
    <n v="39000658554"/>
    <s v="Hoth"/>
    <x v="7"/>
    <n v="1"/>
    <s v="MAPLE SYRUP 12OZ LS"/>
    <x v="12"/>
  </r>
  <r>
    <n v="389"/>
    <s v="20250307"/>
    <n v="39000968721"/>
    <s v="Mumbai"/>
    <x v="2"/>
    <n v="1"/>
    <s v="STRAWBERRY MILKSHAKE 8.4OZ LS"/>
    <x v="17"/>
  </r>
  <r>
    <n v="390"/>
    <s v="20250212"/>
    <n v="39000229970"/>
    <s v="Gotham"/>
    <x v="3"/>
    <n v="2"/>
    <s v="DIET COOKIE 8.4OZ LS"/>
    <x v="7"/>
  </r>
  <r>
    <n v="391"/>
    <s v="20250121"/>
    <n v="39001537796"/>
    <s v="Nashua"/>
    <x v="8"/>
    <n v="1"/>
    <s v="SPICY MEATBALL 8.4OZ LS"/>
    <x v="5"/>
  </r>
  <r>
    <n v="392"/>
    <s v="20250213"/>
    <n v="39000732069"/>
    <s v="Salzburg"/>
    <x v="10"/>
    <n v="1"/>
    <s v="SF MAPLE SYRUP 12OZ LS"/>
    <x v="3"/>
  </r>
  <r>
    <n v="393"/>
    <s v="20250205"/>
    <n v="39000219817"/>
    <s v="Gotham"/>
    <x v="3"/>
    <n v="-4.2000000000000003E-2"/>
    <s v="KETCHUP 8.4OZ LS"/>
    <x v="14"/>
  </r>
  <r>
    <n v="394"/>
    <s v="20250102"/>
    <n v="39000232570"/>
    <s v="Gotham"/>
    <x v="3"/>
    <n v="1"/>
    <s v="SPICY MEATBALL 16OZ LS"/>
    <x v="5"/>
  </r>
  <r>
    <n v="395"/>
    <s v="20250102"/>
    <n v="39002314208"/>
    <s v="Santas Workshop"/>
    <x v="1"/>
    <n v="-0.5"/>
    <s v="MAPLE SYRUP 8.4OZ 4PK"/>
    <x v="12"/>
  </r>
  <r>
    <n v="396"/>
    <s v="20250106"/>
    <n v="39000657020"/>
    <s v="Hoth"/>
    <x v="7"/>
    <n v="1"/>
    <s v="SUSHI ROLL 8.4OZ 4P"/>
    <x v="10"/>
  </r>
  <r>
    <n v="397"/>
    <s v="20250206"/>
    <n v="39002398123"/>
    <s v="Rio de Janiero"/>
    <x v="0"/>
    <n v="2"/>
    <s v="SPICY MEATBALL 8.4OZ LS"/>
    <x v="5"/>
  </r>
  <r>
    <n v="398"/>
    <s v="20250218"/>
    <n v="39000342589"/>
    <s v="Red Outpost"/>
    <x v="6"/>
    <n v="1"/>
    <s v="DIET COOKIE 8.4OZ 12PK"/>
    <x v="7"/>
  </r>
  <r>
    <n v="399"/>
    <s v="20250106"/>
    <n v="39000958997"/>
    <s v="Mumbai"/>
    <x v="2"/>
    <n v="1"/>
    <s v="BLUEBERRY SMOOTHIE 12oz LS"/>
    <x v="4"/>
  </r>
  <r>
    <n v="400"/>
    <s v="20250221"/>
    <n v="39001519609"/>
    <s v="Scranton"/>
    <x v="8"/>
    <n v="2"/>
    <s v="SPICY MEATBALL 16OZ LS"/>
    <x v="5"/>
  </r>
  <r>
    <n v="401"/>
    <s v="20250213"/>
    <n v="39001120119"/>
    <s v="Salzburg"/>
    <x v="10"/>
    <n v="1"/>
    <s v="SF KETCHUP 8.4OZ LS"/>
    <x v="15"/>
  </r>
  <r>
    <n v="402"/>
    <s v="20250225"/>
    <n v="39000221416"/>
    <s v="Gotham"/>
    <x v="3"/>
    <n v="2"/>
    <s v="SPICY MEATBALL 12OZ LS"/>
    <x v="5"/>
  </r>
  <r>
    <n v="403"/>
    <s v="20250307"/>
    <n v="39001550913"/>
    <s v="Summer House"/>
    <x v="9"/>
    <n v="1"/>
    <s v="DIET COOKIE 8.4OZ 4PK"/>
    <x v="7"/>
  </r>
  <r>
    <n v="404"/>
    <s v="20250307"/>
    <n v="39001726114"/>
    <s v="Scranton"/>
    <x v="8"/>
    <n v="1"/>
    <s v="COCONUT MILK 12oz LS"/>
    <x v="13"/>
  </r>
  <r>
    <n v="405"/>
    <s v="20250122"/>
    <n v="39000221533"/>
    <s v="Gotham"/>
    <x v="3"/>
    <n v="1"/>
    <s v="ICE CREAM 8.4OZ LS"/>
    <x v="20"/>
  </r>
  <r>
    <n v="406"/>
    <s v="20250210"/>
    <n v="39000666848"/>
    <s v="Hoth"/>
    <x v="7"/>
    <n v="1"/>
    <s v="SPICY MEATBALL 8.4oz 4PK"/>
    <x v="5"/>
  </r>
  <r>
    <n v="407"/>
    <s v="20250210"/>
    <n v="39001689285"/>
    <s v="Casa Amor"/>
    <x v="5"/>
    <n v="2"/>
    <s v="SPICY MEATBALL 20oz LS"/>
    <x v="5"/>
  </r>
  <r>
    <n v="408"/>
    <s v="20250102"/>
    <n v="39000955435"/>
    <s v="Mumbai"/>
    <x v="2"/>
    <n v="1"/>
    <s v="SPICY MEATBALL 16OZ LS"/>
    <x v="5"/>
  </r>
  <r>
    <n v="409"/>
    <s v="20250306"/>
    <n v="39000592774"/>
    <s v="Rio de Janiero"/>
    <x v="0"/>
    <n v="1"/>
    <s v="SPICY MEATBALL 8.4OZ LS"/>
    <x v="5"/>
  </r>
  <r>
    <n v="410"/>
    <s v="20250206"/>
    <n v="39000206089"/>
    <s v="Gotham"/>
    <x v="3"/>
    <n v="1"/>
    <s v="WASABI BANANA PUDDING 12OZ LS"/>
    <x v="8"/>
  </r>
  <r>
    <n v="411"/>
    <s v="20250213"/>
    <n v="39000587756"/>
    <s v="Rio de Janiero"/>
    <x v="0"/>
    <n v="2"/>
    <s v="SPICY MEATBALL 16OZ LS"/>
    <x v="5"/>
  </r>
  <r>
    <n v="412"/>
    <s v="20250128"/>
    <n v="39000338598"/>
    <s v="Red Outpost"/>
    <x v="6"/>
    <n v="2"/>
    <s v="BLUEBERRY SMOOTHIE 12oz LS"/>
    <x v="4"/>
  </r>
  <r>
    <n v="413"/>
    <s v="20250220"/>
    <n v="39001712828"/>
    <s v="Casa Amor"/>
    <x v="5"/>
    <n v="1"/>
    <s v="SPICY MEATBALL 8.4oz 4PK"/>
    <x v="5"/>
  </r>
  <r>
    <n v="414"/>
    <s v="20250109"/>
    <n v="39000284934"/>
    <s v="House Stark"/>
    <x v="4"/>
    <n v="1"/>
    <s v="SF STRAWBERRY MILKSHAKE 12OZ 4PK"/>
    <x v="16"/>
  </r>
  <r>
    <n v="415"/>
    <s v="20250211"/>
    <n v="39002660879"/>
    <s v="Casa Amor"/>
    <x v="5"/>
    <n v="1"/>
    <s v="MAPLE SYRUP 12OZ LS"/>
    <x v="12"/>
  </r>
  <r>
    <n v="416"/>
    <s v="20250221"/>
    <n v="39000340678"/>
    <s v="Red Outpost"/>
    <x v="6"/>
    <n v="1"/>
    <s v="SPICY MEATBALL 12OZ LS"/>
    <x v="5"/>
  </r>
  <r>
    <n v="417"/>
    <s v="20250205"/>
    <n v="39000659789"/>
    <s v="Hoth"/>
    <x v="7"/>
    <n v="2"/>
    <s v="DIET COOKIE 20OZ LS"/>
    <x v="7"/>
  </r>
  <r>
    <n v="418"/>
    <s v="20250127"/>
    <n v="39001700959"/>
    <s v="Casa Amor"/>
    <x v="5"/>
    <n v="1"/>
    <s v="SUSHI ROLL 8.4OZ LS"/>
    <x v="10"/>
  </r>
  <r>
    <n v="419"/>
    <s v="20250130"/>
    <n v="39000222352"/>
    <s v="Gotham"/>
    <x v="3"/>
    <n v="1"/>
    <s v="DIET COOKIE 8.4OZ 12PK"/>
    <x v="7"/>
  </r>
  <r>
    <n v="420"/>
    <s v="20250117"/>
    <n v="39000344942"/>
    <s v="Red Outpost"/>
    <x v="6"/>
    <n v="1"/>
    <s v="MAPLE SYRUP 12OZ LS"/>
    <x v="12"/>
  </r>
  <r>
    <n v="421"/>
    <s v="20250124"/>
    <n v="39001467791"/>
    <s v="Scranton"/>
    <x v="8"/>
    <n v="4"/>
    <s v="SPICY MEATBALL 12OZ LS"/>
    <x v="5"/>
  </r>
  <r>
    <n v="422"/>
    <s v="20250304"/>
    <n v="39000337155"/>
    <s v="Red Outpost"/>
    <x v="6"/>
    <n v="1"/>
    <s v="STRAWBERRY MILKSHAKE 12OZ LS"/>
    <x v="17"/>
  </r>
  <r>
    <n v="423"/>
    <s v="20250226"/>
    <n v="39000341328"/>
    <s v="Red Outpost"/>
    <x v="6"/>
    <n v="1"/>
    <s v="MAPLE SYRUP 8.4OZ LS"/>
    <x v="12"/>
  </r>
  <r>
    <n v="424"/>
    <s v="20250123"/>
    <n v="39001519661"/>
    <s v="Scranton"/>
    <x v="8"/>
    <n v="1"/>
    <s v="BLUEBERRY SMOOTHIE 12oz LS"/>
    <x v="4"/>
  </r>
  <r>
    <n v="425"/>
    <s v="20250129"/>
    <n v="39000956072"/>
    <s v="Mumbai"/>
    <x v="2"/>
    <n v="1"/>
    <s v="DIET COOKIE 20OZ LS"/>
    <x v="7"/>
  </r>
  <r>
    <n v="426"/>
    <s v="20250225"/>
    <n v="39001585168"/>
    <s v="Scranton"/>
    <x v="8"/>
    <n v="2"/>
    <s v="SPICY MEATBALL 16OZ LS"/>
    <x v="5"/>
  </r>
  <r>
    <n v="427"/>
    <s v="20250226"/>
    <n v="39000586001"/>
    <s v="Rio de Janiero"/>
    <x v="0"/>
    <n v="1"/>
    <s v="DIET COOKIE 8.4OZ LS"/>
    <x v="7"/>
  </r>
  <r>
    <n v="428"/>
    <s v="20250305"/>
    <n v="39001772030"/>
    <s v="Metropolis"/>
    <x v="3"/>
    <n v="2"/>
    <s v="LEMONADE 12OZ LS"/>
    <x v="11"/>
  </r>
  <r>
    <n v="429"/>
    <s v="20250218"/>
    <n v="39000963742"/>
    <s v="Mumbai"/>
    <x v="2"/>
    <n v="1"/>
    <s v="DIET SODA 12OZ LS"/>
    <x v="1"/>
  </r>
  <r>
    <n v="430"/>
    <s v="20250212"/>
    <n v="39002261480"/>
    <s v="Santas Workshop"/>
    <x v="1"/>
    <n v="1"/>
    <s v="SPICY MEATBALL 8.4oz 4PK"/>
    <x v="5"/>
  </r>
  <r>
    <n v="431"/>
    <s v="20250210"/>
    <n v="39000334698"/>
    <s v="Red Outpost"/>
    <x v="6"/>
    <n v="2"/>
    <s v="SPICY MEATBALL 16OZ LS"/>
    <x v="5"/>
  </r>
  <r>
    <n v="432"/>
    <s v="20250211"/>
    <n v="39000264589"/>
    <s v="The Wall"/>
    <x v="4"/>
    <n v="1"/>
    <s v="SF VAR PK 8.4OZ 12P"/>
    <x v="24"/>
  </r>
  <r>
    <n v="433"/>
    <s v="20250102"/>
    <n v="39001520064"/>
    <s v="Scranton"/>
    <x v="8"/>
    <n v="1"/>
    <s v="SUSHI ROLL 8.4OZ 4P"/>
    <x v="10"/>
  </r>
  <r>
    <n v="434"/>
    <s v="20250211"/>
    <n v="39000599690"/>
    <s v="Rio de Janiero"/>
    <x v="0"/>
    <n v="-8.3000000000000004E-2"/>
    <s v="SF KETCHUP 12OZ LS"/>
    <x v="15"/>
  </r>
  <r>
    <n v="435"/>
    <s v="20250107"/>
    <n v="39001488448"/>
    <s v="Summer House"/>
    <x v="9"/>
    <n v="2"/>
    <s v="SPICY MEATBALL 8.4OZ LS"/>
    <x v="5"/>
  </r>
  <r>
    <n v="436"/>
    <s v="20250113"/>
    <n v="39000341484"/>
    <s v="Red Outpost"/>
    <x v="6"/>
    <n v="1"/>
    <s v="SPICY MEATBALL 20oz LS"/>
    <x v="5"/>
  </r>
  <r>
    <n v="437"/>
    <s v="20250207"/>
    <n v="39000269854"/>
    <s v="The Wall"/>
    <x v="4"/>
    <n v="1"/>
    <s v="SPICY MEATBALL 8.4oz 4PK"/>
    <x v="5"/>
  </r>
  <r>
    <n v="438"/>
    <s v="20250124"/>
    <n v="39000201292"/>
    <s v="Gotham"/>
    <x v="3"/>
    <n v="1"/>
    <s v="KETCHUP 12OZ LS"/>
    <x v="14"/>
  </r>
  <r>
    <n v="439"/>
    <s v="20250304"/>
    <n v="39000340769"/>
    <s v="Red Outpost"/>
    <x v="6"/>
    <n v="1"/>
    <s v="SPICY MEATBALL 16OZ LS"/>
    <x v="5"/>
  </r>
  <r>
    <n v="440"/>
    <s v="20250122"/>
    <n v="39000241059"/>
    <s v="Gotham"/>
    <x v="3"/>
    <n v="1"/>
    <s v="PICKLE JUICE 12OZ LS"/>
    <x v="0"/>
  </r>
  <r>
    <n v="441"/>
    <s v="20250115"/>
    <n v="39000979550"/>
    <s v="Mumbai"/>
    <x v="2"/>
    <n v="-0.83299999999999996"/>
    <s v="FLAT SODA 8.4OZ LS"/>
    <x v="23"/>
  </r>
  <r>
    <n v="442"/>
    <s v="20250203"/>
    <n v="39002768155"/>
    <s v="Santas Workshop"/>
    <x v="1"/>
    <n v="2"/>
    <s v="SUSHI ROLL 8.4OZ LS"/>
    <x v="10"/>
  </r>
  <r>
    <n v="443"/>
    <s v="20250131"/>
    <n v="39001431612"/>
    <s v="Nashua"/>
    <x v="8"/>
    <n v="2"/>
    <s v="SPICY MEATBALL 8.4oz 4PK"/>
    <x v="5"/>
  </r>
  <r>
    <n v="444"/>
    <s v="20250304"/>
    <n v="39001520116"/>
    <s v="Scranton"/>
    <x v="8"/>
    <n v="2"/>
    <s v="STRAWBERRY MILKSHAKE 12OZ LS"/>
    <x v="17"/>
  </r>
  <r>
    <n v="445"/>
    <s v="20250115"/>
    <n v="39000948818"/>
    <s v="Mumbai"/>
    <x v="2"/>
    <n v="2"/>
    <s v="BLUEBERRY SMOOTHIE 12oz LS"/>
    <x v="4"/>
  </r>
  <r>
    <n v="446"/>
    <s v="20250114"/>
    <n v="39001379001"/>
    <s v="Hoth"/>
    <x v="7"/>
    <n v="1"/>
    <s v="PICKLE JUICE 12OZ LS"/>
    <x v="0"/>
  </r>
  <r>
    <n v="447"/>
    <s v="20250219"/>
    <n v="39000197249"/>
    <s v="Gotham"/>
    <x v="3"/>
    <n v="1"/>
    <s v="DIET COOKIE 12oz"/>
    <x v="9"/>
  </r>
  <r>
    <n v="448"/>
    <s v="20250203"/>
    <n v="39000198094"/>
    <s v="Gotham"/>
    <x v="3"/>
    <n v="4"/>
    <s v="SPICY MEATBALL 16OZ LS"/>
    <x v="5"/>
  </r>
  <r>
    <n v="449"/>
    <s v="20250226"/>
    <n v="39000586183"/>
    <s v="Rio de Janiero"/>
    <x v="0"/>
    <n v="1"/>
    <s v="DIET COOKIE 16OZ LS"/>
    <x v="7"/>
  </r>
  <r>
    <n v="450"/>
    <s v="20250224"/>
    <n v="39000665067"/>
    <s v="Hoth"/>
    <x v="7"/>
    <n v="6"/>
    <s v="SF STRAWBERRY MILKSHAKE 12OZ LS"/>
    <x v="16"/>
  </r>
  <r>
    <n v="451"/>
    <s v="20250122"/>
    <n v="39000658606"/>
    <s v="Hoth"/>
    <x v="7"/>
    <n v="2"/>
    <s v="SPICY MEATBALL 12OZ LS"/>
    <x v="5"/>
  </r>
  <r>
    <n v="452"/>
    <s v="20250210"/>
    <n v="39000590629"/>
    <s v="Rio de Janiero"/>
    <x v="0"/>
    <n v="1"/>
    <s v="BLUEBERRY SMOOTHIE 12oz LS"/>
    <x v="4"/>
  </r>
  <r>
    <n v="453"/>
    <s v="20250106"/>
    <n v="39000220194"/>
    <s v="Gotham"/>
    <x v="3"/>
    <n v="6"/>
    <s v="SPICY MEATBALL 8.4OZ 12PK"/>
    <x v="5"/>
  </r>
  <r>
    <n v="454"/>
    <s v="20250207"/>
    <n v="39001461187"/>
    <s v="Scranton"/>
    <x v="8"/>
    <n v="1"/>
    <s v="BLUEBERRY SMOOTHIE 8.4OZ LS"/>
    <x v="4"/>
  </r>
  <r>
    <n v="455"/>
    <s v="20250305"/>
    <n v="39000348413"/>
    <s v="Red Outpost"/>
    <x v="6"/>
    <n v="2"/>
    <s v="STRAWBERRY MILKSHAKE 8.4OZ LS"/>
    <x v="17"/>
  </r>
  <r>
    <n v="456"/>
    <s v="20250117"/>
    <n v="39000592085"/>
    <s v="Rio de Janiero"/>
    <x v="0"/>
    <n v="1"/>
    <s v="COCONUT MILK 12oz LS"/>
    <x v="13"/>
  </r>
  <r>
    <n v="457"/>
    <s v="20250303"/>
    <n v="39002257359"/>
    <s v="Santas Workshop"/>
    <x v="1"/>
    <n v="1"/>
    <s v="SPICY MEATBALL 12OZ LS"/>
    <x v="5"/>
  </r>
  <r>
    <n v="458"/>
    <s v="20250217"/>
    <n v="39000661219"/>
    <s v="Hoth"/>
    <x v="7"/>
    <n v="3"/>
    <s v="SPICY MEATBALL 8.4OZ LS"/>
    <x v="5"/>
  </r>
  <r>
    <n v="459"/>
    <s v="20250218"/>
    <n v="39000336648"/>
    <s v="Red Outpost"/>
    <x v="6"/>
    <n v="1"/>
    <s v="WASABI BANANA PUDDING 8.4OZ 4PK"/>
    <x v="8"/>
  </r>
  <r>
    <n v="460"/>
    <s v="20250213"/>
    <n v="39000586898"/>
    <s v="Rio de Janiero"/>
    <x v="0"/>
    <n v="1"/>
    <s v="SPICY MEATBALL 16OZ LS"/>
    <x v="5"/>
  </r>
  <r>
    <n v="461"/>
    <s v="20250205"/>
    <n v="39000423449"/>
    <s v="Red Outpost"/>
    <x v="6"/>
    <n v="2"/>
    <s v="SUSHI ROLL 12OZ LS"/>
    <x v="10"/>
  </r>
  <r>
    <n v="462"/>
    <s v="20250226"/>
    <n v="39001709643"/>
    <s v="Casa Amor"/>
    <x v="5"/>
    <n v="1"/>
    <s v="BLUEBERRY SMOOTHIE 12oz LS"/>
    <x v="4"/>
  </r>
  <r>
    <n v="463"/>
    <s v="20250221"/>
    <n v="39000280280"/>
    <s v="House Stark"/>
    <x v="4"/>
    <n v="1"/>
    <s v="DIET COOKIE 12oz"/>
    <x v="9"/>
  </r>
  <r>
    <n v="464"/>
    <s v="20250124"/>
    <n v="39001431313"/>
    <s v="Scranton"/>
    <x v="8"/>
    <n v="1"/>
    <s v="PICKLE JUICE 12OZ LS"/>
    <x v="0"/>
  </r>
  <r>
    <n v="465"/>
    <s v="20250227"/>
    <n v="39000212979"/>
    <s v="Gotham"/>
    <x v="3"/>
    <n v="1"/>
    <s v="DIET SODA 12OZ LS"/>
    <x v="1"/>
  </r>
  <r>
    <n v="466"/>
    <s v="20250103"/>
    <n v="39000338663"/>
    <s v="Red Outpost"/>
    <x v="6"/>
    <n v="1"/>
    <s v="AVOCADO TOAST 8.4oz LS"/>
    <x v="19"/>
  </r>
  <r>
    <n v="467"/>
    <s v="20250121"/>
    <n v="39002175732"/>
    <s v="Gotham"/>
    <x v="3"/>
    <n v="1"/>
    <s v="PEACH COBBLER 8.4oz LS"/>
    <x v="18"/>
  </r>
  <r>
    <n v="468"/>
    <s v="20250228"/>
    <n v="39000964912"/>
    <s v="Mumbai"/>
    <x v="2"/>
    <n v="1"/>
    <s v="STRAWBERRY MILKSHAKE 8.4OZ LS"/>
    <x v="17"/>
  </r>
  <r>
    <n v="469"/>
    <s v="20250206"/>
    <n v="39000657098"/>
    <s v="Hoth"/>
    <x v="7"/>
    <n v="1"/>
    <s v="SPICY MEATBALL 8.4OZ 12PK"/>
    <x v="5"/>
  </r>
  <r>
    <n v="470"/>
    <s v="20250220"/>
    <n v="39000658710"/>
    <s v="Hoth"/>
    <x v="7"/>
    <n v="1"/>
    <s v="WASABI BANANA PUDDING 8.4OZ LS"/>
    <x v="8"/>
  </r>
  <r>
    <n v="471"/>
    <s v="20250211"/>
    <n v="39000285168"/>
    <s v="House Stark"/>
    <x v="4"/>
    <n v="12"/>
    <s v="SPICY MEATBALL 8.4OZ 12PK"/>
    <x v="5"/>
  </r>
  <r>
    <n v="472"/>
    <s v="20250227"/>
    <n v="39000218114"/>
    <s v="Metropolis"/>
    <x v="3"/>
    <n v="1"/>
    <s v="SPICY MEATBALL 8.4OZ LS"/>
    <x v="5"/>
  </r>
  <r>
    <n v="473"/>
    <s v="20250103"/>
    <n v="39000212407"/>
    <s v="Gotham"/>
    <x v="3"/>
    <n v="1"/>
    <s v="MAPLE SYRUP 12OZ LS"/>
    <x v="12"/>
  </r>
  <r>
    <n v="474"/>
    <s v="20250224"/>
    <n v="39000220766"/>
    <s v="Metropolis"/>
    <x v="3"/>
    <n v="1"/>
    <s v="MAPLE SYRUP 12OZ LS"/>
    <x v="12"/>
  </r>
  <r>
    <n v="475"/>
    <s v="20250218"/>
    <n v="39000955760"/>
    <s v="Mumbai"/>
    <x v="2"/>
    <n v="1"/>
    <s v="BLUEBERRY SMOOTHIE 12oz LS"/>
    <x v="4"/>
  </r>
  <r>
    <n v="476"/>
    <s v="20250224"/>
    <n v="39000220337"/>
    <s v="Gotham"/>
    <x v="3"/>
    <n v="1"/>
    <s v="SPICY MEATBALL 8.4OZ LS"/>
    <x v="5"/>
  </r>
  <r>
    <n v="477"/>
    <s v="20250221"/>
    <n v="39000198003"/>
    <s v="Gotham"/>
    <x v="3"/>
    <n v="6"/>
    <s v="SPICY MEATBALL 12OZ LS"/>
    <x v="5"/>
  </r>
  <r>
    <n v="478"/>
    <s v="20250228"/>
    <n v="39000330031"/>
    <s v="Red Outpost"/>
    <x v="6"/>
    <n v="1"/>
    <s v="SF STRAWBERRY MILKSHAKE 8.4OZ LS"/>
    <x v="16"/>
  </r>
  <r>
    <n v="479"/>
    <s v="20250127"/>
    <n v="39000590057"/>
    <s v="Rio de Janiero"/>
    <x v="0"/>
    <n v="1"/>
    <s v="DIET SODA 12OZ LS"/>
    <x v="1"/>
  </r>
  <r>
    <n v="480"/>
    <s v="20250211"/>
    <n v="39001434628"/>
    <s v="Scranton"/>
    <x v="8"/>
    <n v="-1"/>
    <s v="DIET COOKIE 12oz"/>
    <x v="9"/>
  </r>
  <r>
    <n v="481"/>
    <s v="20250306"/>
    <n v="39000217061"/>
    <s v="Gotham"/>
    <x v="3"/>
    <n v="1"/>
    <s v="COCONUT MILK 12oz LS"/>
    <x v="13"/>
  </r>
  <r>
    <n v="482"/>
    <s v="20250117"/>
    <n v="39001392196"/>
    <s v="Scranton"/>
    <x v="8"/>
    <n v="1"/>
    <s v="PICKLE JUICE 8.4OZ LS"/>
    <x v="0"/>
  </r>
  <r>
    <n v="483"/>
    <s v="20250203"/>
    <n v="39001718886"/>
    <s v="Casa Amor"/>
    <x v="5"/>
    <n v="1"/>
    <s v="SPICY MEATBALL 8.4oz 4PK"/>
    <x v="5"/>
  </r>
  <r>
    <n v="484"/>
    <s v="20250121"/>
    <n v="39000263770"/>
    <s v="The Wall"/>
    <x v="4"/>
    <n v="1"/>
    <s v="DIET COOKIE 16OZ LS"/>
    <x v="7"/>
  </r>
  <r>
    <n v="485"/>
    <s v="20250131"/>
    <n v="39001516281"/>
    <s v="Scranton"/>
    <x v="8"/>
    <n v="4"/>
    <s v="SPICY MEATBALL 8.4OZ LS"/>
    <x v="5"/>
  </r>
  <r>
    <n v="486"/>
    <s v="20250108"/>
    <n v="39000964652"/>
    <s v="Mumbai"/>
    <x v="2"/>
    <n v="1"/>
    <s v="DIET SODA 12OZ LS"/>
    <x v="1"/>
  </r>
  <r>
    <n v="487"/>
    <s v="20250102"/>
    <n v="39001457560"/>
    <s v="Scranton"/>
    <x v="8"/>
    <n v="1"/>
    <s v="MAPLE SYRUP 12OZ LS"/>
    <x v="12"/>
  </r>
  <r>
    <n v="488"/>
    <s v="20250304"/>
    <n v="39000223054"/>
    <s v="Metropolis"/>
    <x v="3"/>
    <n v="1"/>
    <s v="SF SUSHI ROLL 12OZ LS"/>
    <x v="2"/>
  </r>
  <r>
    <n v="489"/>
    <s v="20250122"/>
    <n v="39001417949"/>
    <s v="Scranton"/>
    <x v="8"/>
    <n v="1"/>
    <s v="SPICY MEATBALL 20oz LS"/>
    <x v="5"/>
  </r>
  <r>
    <n v="490"/>
    <s v="20250304"/>
    <n v="39000952458"/>
    <s v="Mumbai"/>
    <x v="2"/>
    <n v="1"/>
    <s v="STRAWBERRY MILKSHAKE 8.4OZ LS"/>
    <x v="17"/>
  </r>
  <r>
    <n v="491"/>
    <s v="20250221"/>
    <n v="39000199563"/>
    <s v="Metropolis"/>
    <x v="3"/>
    <n v="-0.16700000000000001"/>
    <s v="SPICY MEATBALL 8.4OZ LS"/>
    <x v="5"/>
  </r>
  <r>
    <n v="492"/>
    <s v="20250305"/>
    <n v="39000662519"/>
    <s v="Hoth"/>
    <x v="7"/>
    <n v="3"/>
    <s v="MAPLE SYRUP 12OZ LS"/>
    <x v="12"/>
  </r>
  <r>
    <n v="493"/>
    <s v="20250124"/>
    <n v="39001435096"/>
    <s v="Scranton"/>
    <x v="8"/>
    <n v="1"/>
    <s v="MAPLE SYRUP 12OZ LS"/>
    <x v="12"/>
  </r>
  <r>
    <n v="494"/>
    <s v="20250206"/>
    <n v="39000280761"/>
    <s v="House Stark"/>
    <x v="4"/>
    <n v="-0.125"/>
    <s v="SPICY MEATBALL 8.4OZ LS"/>
    <x v="5"/>
  </r>
  <r>
    <n v="495"/>
    <s v="20250129"/>
    <n v="39002666001"/>
    <s v="Hoth"/>
    <x v="7"/>
    <n v="1"/>
    <s v="KETCHUP 12OZ LS"/>
    <x v="14"/>
  </r>
  <r>
    <n v="496"/>
    <s v="20250225"/>
    <n v="39000213005"/>
    <s v="Gotham"/>
    <x v="3"/>
    <n v="1"/>
    <s v="DIET COOKIE 8.4OZ 12PK"/>
    <x v="7"/>
  </r>
  <r>
    <n v="497"/>
    <s v="20250115"/>
    <n v="39000201708"/>
    <s v="Gotham"/>
    <x v="3"/>
    <n v="2"/>
    <s v="SPICY MEATBALL 8.4OZ LS"/>
    <x v="5"/>
  </r>
  <r>
    <n v="498"/>
    <s v="20250110"/>
    <n v="39000336531"/>
    <s v="Red Outpost"/>
    <x v="6"/>
    <n v="1"/>
    <s v="PICKLE JUICE 12OZ LS"/>
    <x v="0"/>
  </r>
  <r>
    <n v="499"/>
    <s v="20250124"/>
    <n v="39000237523"/>
    <s v="Gotham"/>
    <x v="3"/>
    <n v="1"/>
    <s v="PICKLE JUICE 8.4OZ LS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0"/>
    <s v="20250129"/>
    <n v="39000590031"/>
    <s v="Rio de Janiero"/>
    <s v="Brasil"/>
    <n v="1"/>
    <s v="PICKLE JUICE 12OZ LS"/>
    <s v="PICKLE JUICE"/>
    <d v="2025-01-29T00:00:00"/>
    <x v="0"/>
  </r>
  <r>
    <n v="1"/>
    <s v="20250117"/>
    <n v="39000592644"/>
    <s v="Rio de Janiero"/>
    <s v="Brasil"/>
    <n v="1"/>
    <s v="DIET SODA 12OZ LS"/>
    <s v="DIET SODA"/>
    <d v="2025-01-17T00:00:00"/>
    <x v="0"/>
  </r>
  <r>
    <n v="2"/>
    <s v="20250304"/>
    <n v="39002246465"/>
    <s v="Santas Workshop"/>
    <s v="North Pole"/>
    <n v="1"/>
    <s v="SF SUSHI ROLL 8.4OZ LS"/>
    <s v="SF SUSHI ROLL"/>
    <d v="2025-03-04T00:00:00"/>
    <x v="1"/>
  </r>
  <r>
    <n v="3"/>
    <s v="20250224"/>
    <n v="39000592761"/>
    <s v="Rio de Janiero"/>
    <s v="Brasil"/>
    <n v="-0.83299999999999996"/>
    <s v="SF MAPLE SYRUP 8.4OZ 4P"/>
    <s v="SF MAPLE SYRUP"/>
    <d v="2025-02-24T00:00:00"/>
    <x v="2"/>
  </r>
  <r>
    <n v="4"/>
    <s v="20250218"/>
    <n v="39000965848"/>
    <s v="Mumbai"/>
    <s v="India"/>
    <n v="1"/>
    <s v="BLUEBERRY SMOOTHIE 8.4OZ LS"/>
    <s v="BLUEBERRY SMOOTHIE"/>
    <d v="2025-02-18T00:00:00"/>
    <x v="2"/>
  </r>
  <r>
    <n v="5"/>
    <s v="20250304"/>
    <n v="39000200135"/>
    <s v="Gotham"/>
    <s v="Detective Comics"/>
    <n v="2"/>
    <s v="SPICY MEATBALL 16OZ LS"/>
    <s v="SPICY MEATBALL"/>
    <d v="2025-03-04T00:00:00"/>
    <x v="1"/>
  </r>
  <r>
    <n v="6"/>
    <s v="20250130"/>
    <n v="39000270530"/>
    <s v="The Wall"/>
    <s v="Westeros"/>
    <n v="1"/>
    <s v="SF ICE CREAM 12OZ LS"/>
    <s v="SF ICE CREAM"/>
    <d v="2025-01-30T00:00:00"/>
    <x v="0"/>
  </r>
  <r>
    <n v="7"/>
    <s v="20250224"/>
    <n v="39000086008"/>
    <s v="Casa Amor"/>
    <s v="The Villa"/>
    <n v="1"/>
    <s v="SF MAPLE SYRUP 12OZ LS"/>
    <s v="SF MAPLE SYRUP"/>
    <d v="2025-02-24T00:00:00"/>
    <x v="2"/>
  </r>
  <r>
    <n v="8"/>
    <s v="20250122"/>
    <n v="39000338741"/>
    <s v="Red Outpost"/>
    <s v="Mars"/>
    <n v="1"/>
    <s v="DIET COOKIE 20OZ LS"/>
    <s v="DIET COOKIE"/>
    <d v="2025-01-22T00:00:00"/>
    <x v="0"/>
  </r>
  <r>
    <n v="9"/>
    <s v="20250217"/>
    <n v="39000338247"/>
    <s v="Red Outpost"/>
    <s v="Mars"/>
    <n v="2"/>
    <s v="DIET COOKIE 8.4OZ 12PK"/>
    <s v="DIET COOKIE"/>
    <d v="2025-02-17T00:00:00"/>
    <x v="2"/>
  </r>
  <r>
    <n v="10"/>
    <s v="20250102"/>
    <n v="39001721837"/>
    <s v="Casa Amor"/>
    <s v="The Villa"/>
    <n v="1"/>
    <s v="PICKLE JUICE 12OZ LS"/>
    <s v="PICKLE JUICE"/>
    <d v="2025-01-02T00:00:00"/>
    <x v="0"/>
  </r>
  <r>
    <n v="11"/>
    <s v="20250107"/>
    <n v="39000593008"/>
    <s v="Rio de Janiero"/>
    <s v="Brasil"/>
    <n v="1"/>
    <s v="DIET SODA 12OZ LS"/>
    <s v="DIET SODA"/>
    <d v="2025-01-07T00:00:00"/>
    <x v="0"/>
  </r>
  <r>
    <n v="12"/>
    <s v="20250206"/>
    <n v="39000661479"/>
    <s v="Hoth"/>
    <s v="Hoth"/>
    <n v="3"/>
    <s v="SPICY MEATBALL 12OZ LS"/>
    <s v="SPICY MEATBALL"/>
    <d v="2025-02-06T00:00:00"/>
    <x v="2"/>
  </r>
  <r>
    <n v="13"/>
    <s v="20250225"/>
    <n v="39000588380"/>
    <s v="Rio de Janiero"/>
    <s v="Brasil"/>
    <n v="1"/>
    <s v="WASABI BANANA PUDDING 12OZ LS"/>
    <s v="WASABI BANANA PUDDING"/>
    <d v="2025-02-25T00:00:00"/>
    <x v="2"/>
  </r>
  <r>
    <n v="14"/>
    <s v="20250106"/>
    <n v="39000589030"/>
    <s v="Rio de Janiero"/>
    <s v="Brasil"/>
    <n v="1"/>
    <s v="SPICY MEATBALL 20oz LS"/>
    <s v="SPICY MEATBALL"/>
    <d v="2025-01-06T00:00:00"/>
    <x v="0"/>
  </r>
  <r>
    <n v="15"/>
    <s v="20250117"/>
    <n v="39000227929"/>
    <s v="Gotham"/>
    <s v="Detective Comics"/>
    <n v="1"/>
    <s v="DIET COOKIE 20OZ LS"/>
    <s v="DIET COOKIE"/>
    <d v="2025-01-17T00:00:00"/>
    <x v="0"/>
  </r>
  <r>
    <n v="16"/>
    <s v="20250102"/>
    <n v="39000214487"/>
    <s v="Metropolis"/>
    <s v="Detective Comics"/>
    <n v="2"/>
    <s v="DIET COOKIE 12oz"/>
    <s v="DIET"/>
    <d v="2025-01-02T00:00:00"/>
    <x v="0"/>
  </r>
  <r>
    <n v="17"/>
    <s v="20250220"/>
    <n v="39000233038"/>
    <s v="Gotham"/>
    <s v="Detective Comics"/>
    <n v="1"/>
    <s v="DIET COOKIE 8.4OZ LS"/>
    <s v="DIET COOKIE"/>
    <d v="2025-02-20T00:00:00"/>
    <x v="2"/>
  </r>
  <r>
    <n v="18"/>
    <s v="20250121"/>
    <n v="39000659945"/>
    <s v="Hoth"/>
    <s v="Hoth"/>
    <n v="1"/>
    <s v="DIET SODA 12OZ LS"/>
    <s v="DIET SODA"/>
    <d v="2025-01-21T00:00:00"/>
    <x v="0"/>
  </r>
  <r>
    <n v="19"/>
    <s v="20250306"/>
    <n v="39000343330"/>
    <s v="Red Outpost"/>
    <s v="Mars"/>
    <n v="1"/>
    <s v="SF SUSHI ROLL 8.4OZ LS"/>
    <s v="SF SUSHI ROLL"/>
    <d v="2025-03-06T00:00:00"/>
    <x v="1"/>
  </r>
  <r>
    <n v="20"/>
    <s v="20250131"/>
    <n v="39000667238"/>
    <s v="Hoth"/>
    <s v="Hoth"/>
    <n v="1"/>
    <s v="SUSHI ROLL 12OZ 4PK"/>
    <s v="SUSHI ROLL"/>
    <d v="2025-01-31T00:00:00"/>
    <x v="0"/>
  </r>
  <r>
    <n v="21"/>
    <s v="20250211"/>
    <n v="39000957619"/>
    <s v="Mumbai"/>
    <s v="India"/>
    <n v="1"/>
    <s v="DIET COOKIE 16OZ LS"/>
    <s v="DIET COOKIE"/>
    <d v="2025-02-11T00:00:00"/>
    <x v="2"/>
  </r>
  <r>
    <n v="22"/>
    <s v="20250305"/>
    <n v="39000658580"/>
    <s v="Hoth"/>
    <s v="Hoth"/>
    <n v="2"/>
    <s v="LEMONADE 8.4OZ LS"/>
    <s v="LEMONADE"/>
    <d v="2025-03-05T00:00:00"/>
    <x v="1"/>
  </r>
  <r>
    <n v="23"/>
    <s v="20250227"/>
    <n v="39000338312"/>
    <s v="Red Outpost"/>
    <s v="Mars"/>
    <n v="1"/>
    <s v="SPICY MEATBALL 8.4OZ 12PK"/>
    <s v="SPICY MEATBALL"/>
    <d v="2025-02-27T00:00:00"/>
    <x v="2"/>
  </r>
  <r>
    <n v="24"/>
    <s v="20250310"/>
    <n v="39000220194"/>
    <s v="Gotham"/>
    <s v="Detective Comics"/>
    <n v="1"/>
    <s v="MAPLE SYRUP 12OZ 4PK"/>
    <s v="MAPLE SYRUP"/>
    <d v="2025-03-10T00:00:00"/>
    <x v="1"/>
  </r>
  <r>
    <n v="25"/>
    <s v="20250214"/>
    <n v="39000343408"/>
    <s v="Red Outpost"/>
    <s v="Mars"/>
    <n v="2"/>
    <s v="SPICY MEATBALL 12OZ LS"/>
    <s v="SPICY MEATBALL"/>
    <d v="2025-02-14T00:00:00"/>
    <x v="2"/>
  </r>
  <r>
    <n v="26"/>
    <s v="20250219"/>
    <n v="39000196846"/>
    <s v="Gotham"/>
    <s v="Detective Comics"/>
    <n v="1"/>
    <s v="COCONUT MILK 8.4OZ LS"/>
    <s v="COCONUT MILK"/>
    <d v="2025-02-19T00:00:00"/>
    <x v="2"/>
  </r>
  <r>
    <n v="27"/>
    <s v="20250206"/>
    <n v="39000197990"/>
    <s v="Metropolis"/>
    <s v="Detective Comics"/>
    <n v="1"/>
    <s v="WASABI BANANA PUDDING 12OZ LS"/>
    <s v="WASABI BANANA PUDDING"/>
    <d v="2025-02-06T00:00:00"/>
    <x v="2"/>
  </r>
  <r>
    <n v="28"/>
    <s v="20250227"/>
    <n v="39000337753"/>
    <s v="Red Outpost"/>
    <s v="Mars"/>
    <n v="1"/>
    <s v="KETCHUP 12OZ LS"/>
    <s v="KETCHUP"/>
    <d v="2025-02-27T00:00:00"/>
    <x v="2"/>
  </r>
  <r>
    <n v="29"/>
    <s v="20250129"/>
    <n v="39001725984"/>
    <s v="Scranton"/>
    <s v="Dunder Mifflin"/>
    <n v="1"/>
    <s v="KETCHUP 12OZ LS"/>
    <s v="KETCHUP"/>
    <d v="2025-01-29T00:00:00"/>
    <x v="0"/>
  </r>
  <r>
    <n v="30"/>
    <s v="20250221"/>
    <n v="39001434927"/>
    <s v="Scranton"/>
    <s v="Dunder Mifflin"/>
    <n v="2"/>
    <s v="SPICY MEATBALL 8.4OZ LS"/>
    <s v="SPICY MEATBALL"/>
    <d v="2025-02-21T00:00:00"/>
    <x v="2"/>
  </r>
  <r>
    <n v="31"/>
    <s v="20250225"/>
    <n v="39000594919"/>
    <s v="Rio de Janiero"/>
    <s v="Brasil"/>
    <n v="1"/>
    <s v="SPICY MEATBALL 16OZ LS"/>
    <s v="SPICY MEATBALL"/>
    <d v="2025-02-25T00:00:00"/>
    <x v="2"/>
  </r>
  <r>
    <n v="32"/>
    <s v="20250211"/>
    <n v="39000217126"/>
    <s v="Gotham"/>
    <s v="Detective Comics"/>
    <n v="1"/>
    <s v="KETCHUP 8.4OZ LS"/>
    <s v="KETCHUP"/>
    <d v="2025-02-11T00:00:00"/>
    <x v="2"/>
  </r>
  <r>
    <n v="33"/>
    <s v="20250219"/>
    <n v="39000336752"/>
    <s v="Red Outpost"/>
    <s v="Mars"/>
    <n v="1"/>
    <s v="WASABI BANANA PUDDING 12OZ LS"/>
    <s v="WASABI BANANA PUDDING"/>
    <d v="2025-02-19T00:00:00"/>
    <x v="2"/>
  </r>
  <r>
    <n v="34"/>
    <s v="20250303"/>
    <n v="39000217074"/>
    <s v="Gotham"/>
    <s v="Detective Comics"/>
    <n v="1"/>
    <s v="SF KETCHUP 8.4OZ 4P"/>
    <s v="SF KETCHUP"/>
    <d v="2025-03-03T00:00:00"/>
    <x v="1"/>
  </r>
  <r>
    <n v="35"/>
    <s v="20250103"/>
    <n v="39001417039"/>
    <s v="Scranton"/>
    <s v="Dunder Mifflin"/>
    <n v="1"/>
    <s v="COCONUT MILK 12oz LS"/>
    <s v="COCONUT MILK"/>
    <d v="2025-01-03T00:00:00"/>
    <x v="0"/>
  </r>
  <r>
    <n v="36"/>
    <s v="20250224"/>
    <n v="39000337532"/>
    <s v="Red Outpost"/>
    <s v="Mars"/>
    <n v="1"/>
    <s v="SF STRAWBERRY MILKSHAKE 12OZ 4PK"/>
    <s v="SF STRAWBERRY MILKSHAKE"/>
    <d v="2025-02-24T00:00:00"/>
    <x v="2"/>
  </r>
  <r>
    <n v="37"/>
    <s v="20250228"/>
    <n v="39001417507"/>
    <s v="Scranton"/>
    <s v="Dunder Mifflin"/>
    <n v="4"/>
    <s v="SPICY MEATBALL 12OZ LS"/>
    <s v="SPICY MEATBALL"/>
    <d v="2025-02-28T00:00:00"/>
    <x v="2"/>
  </r>
  <r>
    <n v="38"/>
    <s v="20250226"/>
    <n v="39000597025"/>
    <s v="Rio de Janiero"/>
    <s v="Brasil"/>
    <n v="1"/>
    <s v="SF SUSHI ROLL 12OZ LS"/>
    <s v="SF SUSHI ROLL"/>
    <d v="2025-02-26T00:00:00"/>
    <x v="2"/>
  </r>
  <r>
    <n v="39"/>
    <s v="20250214"/>
    <n v="39000234273"/>
    <s v="Gotham"/>
    <s v="Detective Comics"/>
    <n v="1"/>
    <s v="PICKLE JUICE 12OZ LS"/>
    <s v="PICKLE JUICE"/>
    <d v="2025-02-14T00:00:00"/>
    <x v="2"/>
  </r>
  <r>
    <n v="40"/>
    <s v="20250207"/>
    <n v="39001488136"/>
    <s v="Summer House"/>
    <s v="Cousins Beach"/>
    <n v="1"/>
    <s v="DIET SODA 12OZ LS"/>
    <s v="DIET SODA"/>
    <d v="2025-02-07T00:00:00"/>
    <x v="2"/>
  </r>
  <r>
    <n v="41"/>
    <s v="20250115"/>
    <n v="39000203164"/>
    <s v="Gotham"/>
    <s v="Detective Comics"/>
    <n v="1"/>
    <s v="DIET COOKIE 8.4OZ LS"/>
    <s v="DIET COOKIE"/>
    <d v="2025-01-15T00:00:00"/>
    <x v="0"/>
  </r>
  <r>
    <n v="42"/>
    <s v="20250210"/>
    <n v="39000664963"/>
    <s v="Hoth"/>
    <s v="Hoth"/>
    <n v="1"/>
    <s v="STRAWBERRY MILKSHAKE 12OZ 4PK"/>
    <s v="STRAWBERRY MILKSHAKE"/>
    <d v="2025-02-10T00:00:00"/>
    <x v="2"/>
  </r>
  <r>
    <n v="43"/>
    <s v="20250211"/>
    <n v="39000280943"/>
    <s v="House Stark"/>
    <s v="Westeros"/>
    <n v="1"/>
    <s v="DIET COOKIE 8.4OZ LS"/>
    <s v="DIET COOKIE"/>
    <d v="2025-02-11T00:00:00"/>
    <x v="2"/>
  </r>
  <r>
    <n v="44"/>
    <s v="20250205"/>
    <n v="39001619709"/>
    <s v="Summer House"/>
    <s v="Cousins Beach"/>
    <n v="1"/>
    <s v="DIET SODA 12OZ LS"/>
    <s v="DIET SODA"/>
    <d v="2025-02-05T00:00:00"/>
    <x v="2"/>
  </r>
  <r>
    <n v="45"/>
    <s v="20250304"/>
    <n v="39000220714"/>
    <s v="Gotham"/>
    <s v="Detective Comics"/>
    <n v="4"/>
    <s v="LEMONADE 12OZ 4PK"/>
    <s v="LEMONADE"/>
    <d v="2025-03-04T00:00:00"/>
    <x v="1"/>
  </r>
  <r>
    <n v="46"/>
    <s v="20250106"/>
    <n v="39001587833"/>
    <s v="Scranton"/>
    <s v="Dunder Mifflin"/>
    <n v="5"/>
    <s v="SPICY MEATBALL 12OZ LS"/>
    <s v="SPICY MEATBALL"/>
    <d v="2025-01-06T00:00:00"/>
    <x v="0"/>
  </r>
  <r>
    <n v="47"/>
    <s v="20250310"/>
    <n v="39000585429"/>
    <s v="Rio de Janiero"/>
    <s v="Brasil"/>
    <n v="1"/>
    <s v="SUSHI ROLL 8.4OZ LS"/>
    <s v="SUSHI ROLL"/>
    <d v="2025-03-10T00:00:00"/>
    <x v="1"/>
  </r>
  <r>
    <n v="48"/>
    <s v="20250123"/>
    <n v="39002665507"/>
    <s v="House Stark"/>
    <s v="Westeros"/>
    <n v="1"/>
    <s v="SUSHI ROLL 8.4OZ LS"/>
    <s v="SUSHI ROLL"/>
    <d v="2025-01-23T00:00:00"/>
    <x v="0"/>
  </r>
  <r>
    <n v="49"/>
    <s v="20250307"/>
    <n v="39000585663"/>
    <s v="Rio de Janiero"/>
    <s v="Brasil"/>
    <n v="-8.3000000000000004E-2"/>
    <s v="SPICY MEATBALL 20oz LS"/>
    <s v="SPICY MEATBALL"/>
    <d v="2025-03-07T00:00:00"/>
    <x v="1"/>
  </r>
  <r>
    <n v="50"/>
    <s v="20250220"/>
    <n v="39001542060"/>
    <s v="Scranton"/>
    <s v="Dunder Mifflin"/>
    <n v="2"/>
    <s v="DIET SODA 12OZ LS"/>
    <s v="DIET SODA"/>
    <d v="2025-02-20T00:00:00"/>
    <x v="2"/>
  </r>
  <r>
    <n v="51"/>
    <s v="20250221"/>
    <n v="39000592072"/>
    <s v="Rio de Janiero"/>
    <s v="Brasil"/>
    <n v="1"/>
    <s v="KETCHUP 12OZ LS"/>
    <s v="KETCHUP"/>
    <d v="2025-02-21T00:00:00"/>
    <x v="2"/>
  </r>
  <r>
    <n v="52"/>
    <s v="20250115"/>
    <n v="39000233207"/>
    <s v="Gotham"/>
    <s v="Detective Comics"/>
    <n v="1"/>
    <s v="PEACH COBBLER 12oz LS"/>
    <s v="PEACH COBBLER"/>
    <d v="2025-01-15T00:00:00"/>
    <x v="0"/>
  </r>
  <r>
    <n v="53"/>
    <s v="20250226"/>
    <n v="39001549574"/>
    <s v="Scranton"/>
    <s v="Dunder Mifflin"/>
    <n v="1"/>
    <s v="DIET COOKIE 12OZ 4PK"/>
    <s v="DIET COOKIE"/>
    <d v="2025-02-26T00:00:00"/>
    <x v="2"/>
  </r>
  <r>
    <n v="54"/>
    <s v="20250107"/>
    <n v="39001434849"/>
    <s v="Scranton"/>
    <s v="Dunder Mifflin"/>
    <n v="2"/>
    <s v="SPICY MEATBALL 8.4OZ LS"/>
    <s v="SPICY MEATBALL"/>
    <d v="2025-01-07T00:00:00"/>
    <x v="0"/>
  </r>
  <r>
    <n v="55"/>
    <s v="20250217"/>
    <n v="39002246933"/>
    <s v="Santas Workshop"/>
    <s v="North Pole"/>
    <n v="1"/>
    <s v="KETCHUP 12OZ LS"/>
    <s v="KETCHUP"/>
    <d v="2025-02-17T00:00:00"/>
    <x v="2"/>
  </r>
  <r>
    <n v="56"/>
    <s v="20250122"/>
    <n v="39001713088"/>
    <s v="Casa Amor"/>
    <s v="The Villa"/>
    <n v="1"/>
    <s v="MAPLE SYRUP 12OZ LS"/>
    <s v="MAPLE SYRUP"/>
    <d v="2025-01-22T00:00:00"/>
    <x v="0"/>
  </r>
  <r>
    <n v="57"/>
    <s v="20250114"/>
    <n v="39000661856"/>
    <s v="Hoth"/>
    <s v="Hoth"/>
    <n v="-3"/>
    <s v="DIET COOKIE 8.4OZ LS"/>
    <s v="DIET COOKIE"/>
    <d v="2025-01-14T00:00:00"/>
    <x v="0"/>
  </r>
  <r>
    <n v="58"/>
    <s v="20250107"/>
    <n v="39001712386"/>
    <s v="Casa Amor"/>
    <s v="The Villa"/>
    <n v="1"/>
    <s v="AVOCADO TOAST 8.4oz 4p"/>
    <s v="AVOCADO TOAST"/>
    <d v="2025-01-07T00:00:00"/>
    <x v="0"/>
  </r>
  <r>
    <n v="59"/>
    <s v="20250127"/>
    <n v="39002363153"/>
    <s v="Hoth"/>
    <s v="Hoth"/>
    <n v="2"/>
    <s v="SF ICE CREAM 12OZ LS"/>
    <s v="SF ICE CREAM"/>
    <d v="2025-01-27T00:00:00"/>
    <x v="0"/>
  </r>
  <r>
    <n v="60"/>
    <s v="20250113"/>
    <n v="39001700140"/>
    <s v="Casa Amor"/>
    <s v="The Villa"/>
    <n v="1"/>
    <s v="COCONUT MILK 12oz LS"/>
    <s v="COCONUT MILK"/>
    <d v="2025-01-13T00:00:00"/>
    <x v="0"/>
  </r>
  <r>
    <n v="61"/>
    <s v="20250210"/>
    <n v="39000949832"/>
    <s v="Mumbai"/>
    <s v="India"/>
    <n v="1"/>
    <s v="BLUEBERRY SMOOTHIE 8.4OZ LS"/>
    <s v="BLUEBERRY SMOOTHIE"/>
    <d v="2025-02-10T00:00:00"/>
    <x v="2"/>
  </r>
  <r>
    <n v="62"/>
    <s v="20250108"/>
    <n v="39000198731"/>
    <s v="Gotham"/>
    <s v="Detective Comics"/>
    <n v="3"/>
    <s v="DIET SODA 8.4OZ LS"/>
    <s v="DIET SODA"/>
    <d v="2025-01-08T00:00:00"/>
    <x v="0"/>
  </r>
  <r>
    <n v="63"/>
    <s v="20250227"/>
    <n v="39000960986"/>
    <s v="Mumbai"/>
    <s v="India"/>
    <n v="1"/>
    <s v="STRAWBERRY MILKSHAKE 8.4OZ 4PK"/>
    <s v="STRAWBERRY MILKSHAKE"/>
    <d v="2025-02-27T00:00:00"/>
    <x v="2"/>
  </r>
  <r>
    <n v="64"/>
    <s v="20250123"/>
    <n v="39000662402"/>
    <s v="Hoth"/>
    <s v="Hoth"/>
    <n v="2"/>
    <s v="WASABI BANANA PUDDING 12OZ LS"/>
    <s v="WASABI BANANA PUDDING"/>
    <d v="2025-01-23T00:00:00"/>
    <x v="0"/>
  </r>
  <r>
    <n v="65"/>
    <s v="20250131"/>
    <n v="39001519713"/>
    <s v="Scranton"/>
    <s v="Dunder Mifflin"/>
    <n v="1"/>
    <s v="SPICY MEATBALL 8.4OZ LS"/>
    <s v="SPICY MEATBALL"/>
    <d v="2025-01-31T00:00:00"/>
    <x v="0"/>
  </r>
  <r>
    <n v="66"/>
    <s v="20250210"/>
    <n v="39001551628"/>
    <s v="Scranton"/>
    <s v="Dunder Mifflin"/>
    <n v="2"/>
    <s v="SPICY MEATBALL 8.4OZ LS"/>
    <s v="SPICY MEATBALL"/>
    <d v="2025-02-10T00:00:00"/>
    <x v="2"/>
  </r>
  <r>
    <n v="67"/>
    <s v="20250116"/>
    <n v="39001486329"/>
    <s v="Summer House"/>
    <s v="Cousins Beach"/>
    <n v="1"/>
    <s v="BLUEBERRY SMOOTHIE 12oz LS"/>
    <s v="BLUEBERRY SMOOTHIE"/>
    <d v="2025-01-16T00:00:00"/>
    <x v="0"/>
  </r>
  <r>
    <n v="68"/>
    <s v="20250115"/>
    <n v="39000240968"/>
    <s v="Gotham"/>
    <s v="Detective Comics"/>
    <n v="1"/>
    <s v="SPICY MEATBALL 16OZ LS"/>
    <s v="SPICY MEATBALL"/>
    <d v="2025-01-15T00:00:00"/>
    <x v="0"/>
  </r>
  <r>
    <n v="69"/>
    <s v="20250117"/>
    <n v="39002192853"/>
    <s v="Santas Workshop"/>
    <s v="North Pole"/>
    <n v="1"/>
    <s v="SPICY MEATBALL 8.4oz 4PK"/>
    <s v="SPICY MEATBALL"/>
    <d v="2025-01-17T00:00:00"/>
    <x v="0"/>
  </r>
  <r>
    <n v="70"/>
    <s v="20250224"/>
    <n v="39000226265"/>
    <s v="Gotham"/>
    <s v="Detective Comics"/>
    <n v="1"/>
    <s v="COCONUT MILK 8.4OZ LS"/>
    <s v="COCONUT MILK"/>
    <d v="2025-02-24T00:00:00"/>
    <x v="2"/>
  </r>
  <r>
    <n v="71"/>
    <s v="20250107"/>
    <n v="39000965926"/>
    <s v="Mumbai"/>
    <s v="India"/>
    <n v="1"/>
    <s v="STRAWBERRY MILKSHAKE 12OZ LS"/>
    <s v="STRAWBERRY MILKSHAKE"/>
    <d v="2025-01-07T00:00:00"/>
    <x v="0"/>
  </r>
  <r>
    <n v="72"/>
    <s v="20250106"/>
    <n v="39000281164"/>
    <s v="House Stark"/>
    <s v="Westeros"/>
    <n v="1"/>
    <s v="MAPLE SYRUP 12OZ LS"/>
    <s v="MAPLE SYRUP"/>
    <d v="2025-01-06T00:00:00"/>
    <x v="0"/>
  </r>
  <r>
    <n v="73"/>
    <s v="20250107"/>
    <n v="39000963014"/>
    <s v="Mumbai"/>
    <s v="India"/>
    <n v="1"/>
    <s v="COCONUT MILK 12oz LS"/>
    <s v="COCONUT MILK"/>
    <d v="2025-01-07T00:00:00"/>
    <x v="0"/>
  </r>
  <r>
    <n v="74"/>
    <s v="20250226"/>
    <n v="39000228020"/>
    <s v="Metropolis"/>
    <s v="Detective Comics"/>
    <n v="1"/>
    <s v="SPICY MEATBALL 8.4oz 4PK"/>
    <s v="SPICY MEATBALL"/>
    <d v="2025-02-26T00:00:00"/>
    <x v="2"/>
  </r>
  <r>
    <n v="75"/>
    <s v="20250205"/>
    <n v="39000202462"/>
    <s v="Gotham"/>
    <s v="Detective Comics"/>
    <n v="-0.25"/>
    <s v="DIET COOKIE 8.4OZ LS"/>
    <s v="DIET COOKIE"/>
    <d v="2025-02-05T00:00:00"/>
    <x v="2"/>
  </r>
  <r>
    <n v="76"/>
    <s v="20250306"/>
    <n v="39000196638"/>
    <s v="Gotham"/>
    <s v="Detective Comics"/>
    <n v="1"/>
    <s v="SUSHI ROLL 8.4OZ LS"/>
    <s v="SUSHI ROLL"/>
    <d v="2025-03-06T00:00:00"/>
    <x v="1"/>
  </r>
  <r>
    <n v="77"/>
    <s v="20250128"/>
    <n v="39000971204"/>
    <s v="Mumbai"/>
    <s v="India"/>
    <n v="3"/>
    <s v="SPICY MEATBALL 16OZ LS"/>
    <s v="SPICY MEATBALL"/>
    <d v="2025-01-28T00:00:00"/>
    <x v="0"/>
  </r>
  <r>
    <n v="78"/>
    <s v="20250103"/>
    <n v="39000281658"/>
    <s v="House Stark"/>
    <s v="Westeros"/>
    <n v="1"/>
    <s v="KETCHUP 12OZ LS"/>
    <s v="KETCHUP"/>
    <d v="2025-01-03T00:00:00"/>
    <x v="0"/>
  </r>
  <r>
    <n v="79"/>
    <s v="20250109"/>
    <n v="39001117298"/>
    <s v="House Stark"/>
    <s v="Westeros"/>
    <n v="1"/>
    <s v="DIET SODA 12OZ LS"/>
    <s v="DIET SODA"/>
    <d v="2025-01-09T00:00:00"/>
    <x v="0"/>
  </r>
  <r>
    <n v="80"/>
    <s v="20250121"/>
    <n v="39000223054"/>
    <s v="Metropolis"/>
    <s v="Detective Comics"/>
    <n v="1"/>
    <s v="KETCHUP 8.4OZ LS"/>
    <s v="KETCHUP"/>
    <d v="2025-01-21T00:00:00"/>
    <x v="0"/>
  </r>
  <r>
    <n v="81"/>
    <s v="20250227"/>
    <n v="39002654145"/>
    <s v="Hoth"/>
    <s v="Hoth"/>
    <n v="1"/>
    <s v="STRAWBERRY MILKSHAKE 12OZ LS"/>
    <s v="STRAWBERRY MILKSHAKE"/>
    <d v="2025-02-27T00:00:00"/>
    <x v="2"/>
  </r>
  <r>
    <n v="82"/>
    <s v="20250307"/>
    <n v="39000271297"/>
    <s v="The Wall"/>
    <s v="Westeros"/>
    <n v="1"/>
    <s v="SF STRAWBERRY MILKSHAKE 12OZ LS"/>
    <s v="SF STRAWBERRY MILKSHAKE"/>
    <d v="2025-03-07T00:00:00"/>
    <x v="1"/>
  </r>
  <r>
    <n v="83"/>
    <s v="20250210"/>
    <n v="39000591344"/>
    <s v="Rio de Janiero"/>
    <s v="Brasil"/>
    <n v="1"/>
    <s v="DIET COOKIE 12OZ 4PK"/>
    <s v="DIET COOKIE"/>
    <d v="2025-02-10T00:00:00"/>
    <x v="2"/>
  </r>
  <r>
    <n v="84"/>
    <s v="20250306"/>
    <n v="39002320500"/>
    <s v="Santas Workshop"/>
    <s v="North Pole"/>
    <n v="1"/>
    <s v="SPICY MEATBALL 20oz LS"/>
    <s v="SPICY MEATBALL"/>
    <d v="2025-03-06T00:00:00"/>
    <x v="1"/>
  </r>
  <r>
    <n v="85"/>
    <s v="20250206"/>
    <n v="39000956319"/>
    <s v="Mumbai"/>
    <s v="India"/>
    <n v="2"/>
    <s v="SPICY MEATBALL 16OZ LS"/>
    <s v="SPICY MEATBALL"/>
    <d v="2025-02-06T00:00:00"/>
    <x v="2"/>
  </r>
  <r>
    <n v="86"/>
    <s v="20250304"/>
    <n v="39000221728"/>
    <s v="Gotham"/>
    <s v="Detective Comics"/>
    <n v="1"/>
    <s v="SPICY MEATBALL 20oz LS"/>
    <s v="SPICY MEATBALL"/>
    <d v="2025-03-04T00:00:00"/>
    <x v="1"/>
  </r>
  <r>
    <n v="87"/>
    <s v="20250304"/>
    <n v="39000589134"/>
    <s v="Rio de Janiero"/>
    <s v="Brasil"/>
    <n v="2"/>
    <s v="STRAWBERRY MILKSHAKE 12OZ LS"/>
    <s v="STRAWBERRY MILKSHAKE"/>
    <d v="2025-03-04T00:00:00"/>
    <x v="1"/>
  </r>
  <r>
    <n v="88"/>
    <s v="20250122"/>
    <n v="39001488487"/>
    <s v="Summer House"/>
    <s v="Cousins Beach"/>
    <n v="1"/>
    <s v="DIET COOKIE 16OZ LS"/>
    <s v="DIET COOKIE"/>
    <d v="2025-01-22T00:00:00"/>
    <x v="0"/>
  </r>
  <r>
    <n v="89"/>
    <s v="20250210"/>
    <n v="39000222599"/>
    <s v="Gotham"/>
    <s v="Detective Comics"/>
    <n v="2"/>
    <s v="SPICY MEATBALL 8.4oz 4PK"/>
    <s v="SPICY MEATBALL"/>
    <d v="2025-02-10T00:00:00"/>
    <x v="2"/>
  </r>
  <r>
    <n v="90"/>
    <s v="20250212"/>
    <n v="39000749892"/>
    <s v="Hoth"/>
    <s v="Hoth"/>
    <n v="1"/>
    <s v="SF MAPLE SYRUP 8.4OZ LS"/>
    <s v="SF MAPLE SYRUP"/>
    <d v="2025-02-12T00:00:00"/>
    <x v="2"/>
  </r>
  <r>
    <n v="91"/>
    <s v="20250304"/>
    <n v="39000213980"/>
    <s v="Metropolis"/>
    <s v="Detective Comics"/>
    <n v="1"/>
    <s v="DIET COOKIE 8.4OZ 4PK"/>
    <s v="DIET COOKIE"/>
    <d v="2025-03-04T00:00:00"/>
    <x v="1"/>
  </r>
  <r>
    <n v="92"/>
    <s v="20250227"/>
    <n v="39002126254"/>
    <s v="Red Outpost"/>
    <s v="Mars"/>
    <n v="1"/>
    <s v="SF STRAWBERRY MILKSHAKE 8.4OZ LS"/>
    <s v="SF STRAWBERRY MILKSHAKE"/>
    <d v="2025-02-27T00:00:00"/>
    <x v="2"/>
  </r>
  <r>
    <n v="93"/>
    <s v="20250121"/>
    <n v="39000585975"/>
    <s v="Rio de Janiero"/>
    <s v="Brasil"/>
    <n v="2"/>
    <s v="SPICY MEATBALL 8.4OZ LS"/>
    <s v="SPICY MEATBALL"/>
    <d v="2025-01-21T00:00:00"/>
    <x v="0"/>
  </r>
  <r>
    <n v="94"/>
    <s v="20250206"/>
    <n v="39000214175"/>
    <s v="Metropolis"/>
    <s v="Detective Comics"/>
    <n v="-3"/>
    <s v="DIET SODA 12OZ LS"/>
    <s v="DIET SODA"/>
    <d v="2025-02-06T00:00:00"/>
    <x v="2"/>
  </r>
  <r>
    <n v="95"/>
    <s v="20250103"/>
    <n v="39002227537"/>
    <s v="Santas Workshop"/>
    <s v="North Pole"/>
    <n v="1"/>
    <s v="SF KETCHUP 12OZ LS"/>
    <s v="SF KETCHUP"/>
    <d v="2025-01-03T00:00:00"/>
    <x v="0"/>
  </r>
  <r>
    <n v="96"/>
    <s v="20250214"/>
    <n v="39000667108"/>
    <s v="Hoth"/>
    <s v="Hoth"/>
    <n v="1"/>
    <s v="MAPLE SYRUP 12OZ LS"/>
    <s v="MAPLE SYRUP"/>
    <d v="2025-02-14T00:00:00"/>
    <x v="2"/>
  </r>
  <r>
    <n v="97"/>
    <s v="20250210"/>
    <n v="39000215163"/>
    <s v="Gotham"/>
    <s v="Detective Comics"/>
    <n v="5"/>
    <s v="SPICY MEATBALL 8.4OZ LS"/>
    <s v="SPICY MEATBALL"/>
    <d v="2025-02-10T00:00:00"/>
    <x v="2"/>
  </r>
  <r>
    <n v="98"/>
    <s v="20250205"/>
    <n v="39000959088"/>
    <s v="Mumbai"/>
    <s v="India"/>
    <n v="1"/>
    <s v="ICE CREAM 8.4OZ LS"/>
    <s v="ICE CREAM"/>
    <d v="2025-02-05T00:00:00"/>
    <x v="2"/>
  </r>
  <r>
    <n v="99"/>
    <s v="20250218"/>
    <n v="39001453881"/>
    <s v="Summer House"/>
    <s v="Cousins Beach"/>
    <n v="1"/>
    <s v="SUSHI ROLL 12OZ LS"/>
    <s v="SUSHI ROLL"/>
    <d v="2025-02-18T00:00:00"/>
    <x v="2"/>
  </r>
  <r>
    <n v="100"/>
    <s v="20250225"/>
    <n v="39000346164"/>
    <s v="Red Outpost"/>
    <s v="Mars"/>
    <n v="1"/>
    <s v="BLUEBERRY SMOOTHIE 12oz LS"/>
    <s v="BLUEBERRY SMOOTHIE"/>
    <d v="2025-02-25T00:00:00"/>
    <x v="2"/>
  </r>
  <r>
    <n v="101"/>
    <s v="20250213"/>
    <n v="39000337272"/>
    <s v="Red Outpost"/>
    <s v="Mars"/>
    <n v="1"/>
    <s v="SPICY MEATBALL 8.4OZ 12PK"/>
    <s v="SPICY MEATBALL"/>
    <d v="2025-02-13T00:00:00"/>
    <x v="2"/>
  </r>
  <r>
    <n v="102"/>
    <s v="20250310"/>
    <n v="39000263549"/>
    <s v="The Wall"/>
    <s v="Westeros"/>
    <n v="1"/>
    <s v="SUSHI ROLL 12OZ LS"/>
    <s v="SUSHI ROLL"/>
    <d v="2025-03-10T00:00:00"/>
    <x v="1"/>
  </r>
  <r>
    <n v="103"/>
    <s v="20250305"/>
    <n v="39001709643"/>
    <s v="Casa Amor"/>
    <s v="The Villa"/>
    <n v="1"/>
    <s v="MAPLE SYRUP 8.4OZ LS"/>
    <s v="MAPLE SYRUP"/>
    <d v="2025-03-05T00:00:00"/>
    <x v="1"/>
  </r>
  <r>
    <n v="104"/>
    <s v="20250307"/>
    <n v="39000282308"/>
    <s v="House Stark"/>
    <s v="Westeros"/>
    <n v="1"/>
    <s v="SUSHI ROLL 12OZ LS"/>
    <s v="SUSHI ROLL"/>
    <d v="2025-03-07T00:00:00"/>
    <x v="1"/>
  </r>
  <r>
    <n v="105"/>
    <s v="20250114"/>
    <n v="39000665080"/>
    <s v="Hoth"/>
    <s v="Hoth"/>
    <n v="1"/>
    <s v="PICKLE JUICE 12OZ LS"/>
    <s v="PICKLE JUICE"/>
    <d v="2025-01-14T00:00:00"/>
    <x v="0"/>
  </r>
  <r>
    <n v="106"/>
    <s v="20250205"/>
    <n v="39000588588"/>
    <s v="Rio de Janiero"/>
    <s v="Brasil"/>
    <n v="1"/>
    <s v="SPICY MEATBALL 8.4oz 4PK"/>
    <s v="SPICY MEATBALL"/>
    <d v="2025-02-05T00:00:00"/>
    <x v="2"/>
  </r>
  <r>
    <n v="107"/>
    <s v="20250108"/>
    <n v="39000662987"/>
    <s v="Hoth"/>
    <s v="Hoth"/>
    <n v="2"/>
    <s v="KETCHUP 8.4OZ LS"/>
    <s v="KETCHUP"/>
    <d v="2025-01-08T00:00:00"/>
    <x v="0"/>
  </r>
  <r>
    <n v="108"/>
    <s v="20250310"/>
    <n v="39000284505"/>
    <s v="House Stark"/>
    <s v="Westeros"/>
    <n v="1"/>
    <s v="PICKLE JUICE 8.4OZ LS"/>
    <s v="PICKLE JUICE"/>
    <d v="2025-03-10T00:00:00"/>
    <x v="1"/>
  </r>
  <r>
    <n v="109"/>
    <s v="20250121"/>
    <n v="39001520168"/>
    <s v="Scranton"/>
    <s v="Dunder Mifflin"/>
    <n v="2"/>
    <s v="SPICY MEATBALL 8.4OZ LS"/>
    <s v="SPICY MEATBALL"/>
    <d v="2025-01-21T00:00:00"/>
    <x v="0"/>
  </r>
  <r>
    <n v="110"/>
    <s v="20250310"/>
    <n v="39000220324"/>
    <s v="Metropolis"/>
    <s v="Detective Comics"/>
    <n v="1"/>
    <s v="SF KETCHUP 12OZ 4P"/>
    <s v="SF KETCHUP"/>
    <d v="2025-03-10T00:00:00"/>
    <x v="1"/>
  </r>
  <r>
    <n v="111"/>
    <s v="20250203"/>
    <n v="39001707966"/>
    <s v="Casa Amor"/>
    <s v="The Villa"/>
    <n v="1"/>
    <s v="SF KETCHUP 12OZ LS"/>
    <s v="SF KETCHUP"/>
    <d v="2025-02-03T00:00:00"/>
    <x v="2"/>
  </r>
  <r>
    <n v="112"/>
    <s v="20250115"/>
    <n v="39000348946"/>
    <s v="Red Outpost"/>
    <s v="Mars"/>
    <n v="1"/>
    <s v="DIET COOKIE 12oz"/>
    <s v="DIET"/>
    <d v="2025-01-15T00:00:00"/>
    <x v="0"/>
  </r>
  <r>
    <n v="113"/>
    <s v="20250218"/>
    <n v="39001525277"/>
    <s v="Scranton"/>
    <s v="Dunder Mifflin"/>
    <n v="1"/>
    <s v="KETCHUP 12OZ LS"/>
    <s v="KETCHUP"/>
    <d v="2025-02-18T00:00:00"/>
    <x v="2"/>
  </r>
  <r>
    <n v="114"/>
    <s v="20250213"/>
    <n v="39000221624"/>
    <s v="Gotham"/>
    <s v="Detective Comics"/>
    <n v="1"/>
    <s v="DIET SODA 8.4OZ LS"/>
    <s v="DIET SODA"/>
    <d v="2025-02-13T00:00:00"/>
    <x v="2"/>
  </r>
  <r>
    <n v="115"/>
    <s v="20250116"/>
    <n v="39000592800"/>
    <s v="Rio de Janiero"/>
    <s v="Brasil"/>
    <n v="1"/>
    <s v="MAPLE SYRUP 12OZ LS"/>
    <s v="MAPLE SYRUP"/>
    <d v="2025-01-16T00:00:00"/>
    <x v="0"/>
  </r>
  <r>
    <n v="116"/>
    <s v="20250113"/>
    <n v="39002246933"/>
    <s v="Santas Workshop"/>
    <s v="North Pole"/>
    <n v="1"/>
    <s v="ICE CREAM 12OZ LS"/>
    <s v="ICE CREAM"/>
    <d v="2025-01-13T00:00:00"/>
    <x v="0"/>
  </r>
  <r>
    <n v="117"/>
    <s v="20250116"/>
    <n v="39000239031"/>
    <s v="Metropolis"/>
    <s v="Detective Comics"/>
    <n v="1"/>
    <s v="MAPLE SYRUP 8.4OZ LS"/>
    <s v="MAPLE SYRUP"/>
    <d v="2025-01-16T00:00:00"/>
    <x v="0"/>
  </r>
  <r>
    <n v="118"/>
    <s v="20250107"/>
    <n v="39000761228"/>
    <s v="Hoth"/>
    <s v="Hoth"/>
    <n v="1"/>
    <s v="BLUEBERRY SMOOTHIE 12oz LS"/>
    <s v="BLUEBERRY SMOOTHIE"/>
    <d v="2025-01-07T00:00:00"/>
    <x v="0"/>
  </r>
  <r>
    <n v="119"/>
    <s v="20250129"/>
    <n v="39002244762"/>
    <s v="Santas Workshop"/>
    <s v="North Pole"/>
    <n v="1"/>
    <s v="SPICY MEATBALL 12OZ LS"/>
    <s v="SPICY MEATBALL"/>
    <d v="2025-01-29T00:00:00"/>
    <x v="0"/>
  </r>
  <r>
    <n v="120"/>
    <s v="20250115"/>
    <n v="39000239733"/>
    <s v="Gotham"/>
    <s v="Detective Comics"/>
    <n v="1"/>
    <s v="BLUEBERRY SMOOTHIE 12oz LS"/>
    <s v="BLUEBERRY SMOOTHIE"/>
    <d v="2025-01-15T00:00:00"/>
    <x v="0"/>
  </r>
  <r>
    <n v="121"/>
    <s v="20250211"/>
    <n v="39000336648"/>
    <s v="Red Outpost"/>
    <s v="Mars"/>
    <n v="1"/>
    <s v="PICKLE JUICE 8.4OZ 4PK"/>
    <s v="PICKLE JUICE"/>
    <d v="2025-02-11T00:00:00"/>
    <x v="2"/>
  </r>
  <r>
    <n v="122"/>
    <s v="20250109"/>
    <n v="39000959153"/>
    <s v="Mumbai"/>
    <s v="India"/>
    <n v="1"/>
    <s v="DIET SODA 12OZ LS"/>
    <s v="DIET SODA"/>
    <d v="2025-01-09T00:00:00"/>
    <x v="0"/>
  </r>
  <r>
    <n v="123"/>
    <s v="20250114"/>
    <n v="39001719250"/>
    <s v="Casa Amor"/>
    <s v="The Villa"/>
    <n v="-8.3000000000000004E-2"/>
    <s v="DIET COOKIE 16OZ LS"/>
    <s v="DIET COOKIE"/>
    <d v="2025-01-14T00:00:00"/>
    <x v="0"/>
  </r>
  <r>
    <n v="124"/>
    <s v="20250207"/>
    <n v="39001461187"/>
    <s v="Scranton"/>
    <s v="Dunder Mifflin"/>
    <n v="1"/>
    <s v="MAPLE SYRUP 12OZ LS"/>
    <s v="MAPLE SYRUP"/>
    <d v="2025-02-07T00:00:00"/>
    <x v="2"/>
  </r>
  <r>
    <n v="125"/>
    <s v="20250227"/>
    <n v="39001626248"/>
    <s v="Scranton"/>
    <s v="Dunder Mifflin"/>
    <n v="1"/>
    <s v="SF STRAWBERRY MILKSHAKE 12OZ LS"/>
    <s v="SF STRAWBERRY MILKSHAKE"/>
    <d v="2025-02-27T00:00:00"/>
    <x v="2"/>
  </r>
  <r>
    <n v="126"/>
    <s v="20250227"/>
    <n v="39000657163"/>
    <s v="Hoth"/>
    <s v="Hoth"/>
    <n v="1"/>
    <s v="SF LEMONADE 12OZ LS"/>
    <s v="SF LEMONADE"/>
    <d v="2025-02-27T00:00:00"/>
    <x v="2"/>
  </r>
  <r>
    <n v="127"/>
    <s v="20250221"/>
    <n v="39000667004"/>
    <s v="Hoth"/>
    <s v="Hoth"/>
    <n v="1"/>
    <s v="SPICY MEATBALL 16OZ LS"/>
    <s v="SPICY MEATBALL"/>
    <d v="2025-02-21T00:00:00"/>
    <x v="2"/>
  </r>
  <r>
    <n v="128"/>
    <s v="20250226"/>
    <n v="39000344175"/>
    <s v="Red Outpost"/>
    <s v="Mars"/>
    <n v="1"/>
    <s v="STRAWBERRY MILKSHAKE 8.4OZ LS"/>
    <s v="STRAWBERRY MILKSHAKE"/>
    <d v="2025-02-26T00:00:00"/>
    <x v="2"/>
  </r>
  <r>
    <n v="129"/>
    <s v="20250207"/>
    <n v="39000234767"/>
    <s v="Metropolis"/>
    <s v="Detective Comics"/>
    <n v="3"/>
    <s v="SPICY MEATBALL 12OZ LS"/>
    <s v="SPICY MEATBALL"/>
    <d v="2025-02-07T00:00:00"/>
    <x v="2"/>
  </r>
  <r>
    <n v="130"/>
    <s v="20250219"/>
    <n v="39001774942"/>
    <s v="Red Outpost"/>
    <s v="Mars"/>
    <n v="2"/>
    <s v="DIET COOKIE 12oz"/>
    <s v="DIET"/>
    <d v="2025-02-19T00:00:00"/>
    <x v="2"/>
  </r>
  <r>
    <n v="131"/>
    <s v="20250304"/>
    <n v="39001707004"/>
    <s v="Casa Amor"/>
    <s v="The Villa"/>
    <n v="-0.79200000000000004"/>
    <s v="DIET COOKIE 8.4OZ LS"/>
    <s v="DIET COOKIE"/>
    <d v="2025-03-04T00:00:00"/>
    <x v="1"/>
  </r>
  <r>
    <n v="132"/>
    <s v="20250226"/>
    <n v="39000592683"/>
    <s v="Rio de Janiero"/>
    <s v="Brasil"/>
    <n v="1"/>
    <s v="SUSHI ROLL 12OZ LS"/>
    <s v="SUSHI ROLL"/>
    <d v="2025-02-26T00:00:00"/>
    <x v="2"/>
  </r>
  <r>
    <n v="133"/>
    <s v="20250121"/>
    <n v="39001686464"/>
    <s v="The Wall"/>
    <s v="Westeros"/>
    <n v="3"/>
    <s v="SPICY MEATBALL 12OZ LS"/>
    <s v="SPICY MEATBALL"/>
    <d v="2025-01-21T00:00:00"/>
    <x v="0"/>
  </r>
  <r>
    <n v="134"/>
    <s v="20250225"/>
    <n v="39000590902"/>
    <s v="Rio de Janiero"/>
    <s v="Brasil"/>
    <n v="3"/>
    <s v="SPICY MEATBALL 20oz LS"/>
    <s v="SPICY MEATBALL"/>
    <d v="2025-02-25T00:00:00"/>
    <x v="2"/>
  </r>
  <r>
    <n v="135"/>
    <s v="20250121"/>
    <n v="39000588783"/>
    <s v="Rio de Janiero"/>
    <s v="Brasil"/>
    <n v="1"/>
    <s v="AVOCADO TOAST 12oz LS"/>
    <s v="AVOCADO TOAST"/>
    <d v="2025-01-21T00:00:00"/>
    <x v="0"/>
  </r>
  <r>
    <n v="136"/>
    <s v="20250213"/>
    <n v="39000201838"/>
    <s v="Metropolis"/>
    <s v="Detective Comics"/>
    <n v="1"/>
    <s v="PICKLE JUICE 12OZ LS"/>
    <s v="PICKLE JUICE"/>
    <d v="2025-02-13T00:00:00"/>
    <x v="2"/>
  </r>
  <r>
    <n v="137"/>
    <s v="20250131"/>
    <n v="39000221156"/>
    <s v="Gotham"/>
    <s v="Detective Comics"/>
    <n v="1"/>
    <s v="MAPLE SYRUP 12OZ LS"/>
    <s v="MAPLE SYRUP"/>
    <d v="2025-01-31T00:00:00"/>
    <x v="0"/>
  </r>
  <r>
    <n v="138"/>
    <s v="20250304"/>
    <n v="39001969994"/>
    <s v="Gotham"/>
    <s v="Detective Comics"/>
    <n v="2"/>
    <s v="SUSHI ROLL 8.4OZ LS"/>
    <s v="SUSHI ROLL"/>
    <d v="2025-03-04T00:00:00"/>
    <x v="1"/>
  </r>
  <r>
    <n v="139"/>
    <s v="20250131"/>
    <n v="39002780388"/>
    <s v="Rio de Janiero"/>
    <s v="Brasil"/>
    <n v="1"/>
    <s v="PICKLE JUICE 8.4OZ LS"/>
    <s v="PICKLE JUICE"/>
    <d v="2025-01-31T00:00:00"/>
    <x v="0"/>
  </r>
  <r>
    <n v="140"/>
    <s v="20250227"/>
    <n v="39001957995"/>
    <s v="Scranton"/>
    <s v="Dunder Mifflin"/>
    <n v="1"/>
    <s v="SF MAPLE SYRUP 12OZ LS"/>
    <s v="SF MAPLE SYRUP"/>
    <d v="2025-02-27T00:00:00"/>
    <x v="2"/>
  </r>
  <r>
    <n v="141"/>
    <s v="20250214"/>
    <n v="39002766062"/>
    <s v="Red Outpost"/>
    <s v="Mars"/>
    <n v="1"/>
    <s v="COCONUT MILK 12oz LS"/>
    <s v="COCONUT MILK"/>
    <d v="2025-02-14T00:00:00"/>
    <x v="2"/>
  </r>
  <r>
    <n v="142"/>
    <s v="20250107"/>
    <n v="39000658632"/>
    <s v="Hoth"/>
    <s v="Hoth"/>
    <n v="1"/>
    <s v="PEACH COBBLER 8.4oz LS"/>
    <s v="PEACH COBBLER"/>
    <d v="2025-01-07T00:00:00"/>
    <x v="0"/>
  </r>
  <r>
    <n v="143"/>
    <s v="20250109"/>
    <n v="39000197405"/>
    <s v="Gotham"/>
    <s v="Detective Comics"/>
    <n v="7"/>
    <s v="SPICY MEATBALL 12OZ LS"/>
    <s v="SPICY MEATBALL"/>
    <d v="2025-01-09T00:00:00"/>
    <x v="0"/>
  </r>
  <r>
    <n v="144"/>
    <s v="20250304"/>
    <n v="39001431339"/>
    <s v="Scranton"/>
    <s v="Dunder Mifflin"/>
    <n v="1"/>
    <s v="SPICY MEATBALL 20oz LS"/>
    <s v="SPICY MEATBALL"/>
    <d v="2025-03-04T00:00:00"/>
    <x v="1"/>
  </r>
  <r>
    <n v="145"/>
    <s v="20250213"/>
    <n v="39001431456"/>
    <s v="Scranton"/>
    <s v="Dunder Mifflin"/>
    <n v="1"/>
    <s v="SPICY MEATBALL 16OZ LS"/>
    <s v="SPICY MEATBALL"/>
    <d v="2025-02-13T00:00:00"/>
    <x v="2"/>
  </r>
  <r>
    <n v="146"/>
    <s v="20250227"/>
    <n v="39000217412"/>
    <s v="Gotham"/>
    <s v="Detective Comics"/>
    <n v="1"/>
    <s v="LEMONADE 8.4OZ LS"/>
    <s v="LEMONADE"/>
    <d v="2025-02-27T00:00:00"/>
    <x v="2"/>
  </r>
  <r>
    <n v="147"/>
    <s v="20250218"/>
    <n v="39000285064"/>
    <s v="House Stark"/>
    <s v="Westeros"/>
    <n v="2"/>
    <s v="BLUEBERRY SMOOTHIE 12OZ 4PK"/>
    <s v="BLUEBERRY SMOOTHIE"/>
    <d v="2025-02-18T00:00:00"/>
    <x v="2"/>
  </r>
  <r>
    <n v="148"/>
    <s v="20250103"/>
    <n v="39000979888"/>
    <s v="Mumbai"/>
    <s v="India"/>
    <n v="1"/>
    <s v="MAPLE SYRUP 12OZ LS"/>
    <s v="MAPLE SYRUP"/>
    <d v="2025-01-03T00:00:00"/>
    <x v="0"/>
  </r>
  <r>
    <n v="149"/>
    <s v="20250127"/>
    <n v="39000667225"/>
    <s v="Hoth"/>
    <s v="Hoth"/>
    <n v="1"/>
    <s v="WASABI BANANA PUDDING 12OZ LS"/>
    <s v="WASABI BANANA PUDDING"/>
    <d v="2025-01-27T00:00:00"/>
    <x v="0"/>
  </r>
  <r>
    <n v="150"/>
    <s v="20250131"/>
    <n v="39000984841"/>
    <s v="Mumbai"/>
    <s v="India"/>
    <n v="1"/>
    <s v="KETCHUP 12OZ LS"/>
    <s v="KETCHUP"/>
    <d v="2025-01-31T00:00:00"/>
    <x v="0"/>
  </r>
  <r>
    <n v="151"/>
    <s v="20250129"/>
    <n v="39000202956"/>
    <s v="Metropolis"/>
    <s v="Detective Comics"/>
    <n v="2"/>
    <s v="SPICY MEATBALL 12OZ LS"/>
    <s v="SPICY MEATBALL"/>
    <d v="2025-01-29T00:00:00"/>
    <x v="0"/>
  </r>
  <r>
    <n v="152"/>
    <s v="20250106"/>
    <n v="39000261079"/>
    <s v="The Wall"/>
    <s v="Westeros"/>
    <n v="1"/>
    <s v="MAPLE SYRUP 12OZ LS"/>
    <s v="MAPLE SYRUP"/>
    <d v="2025-01-06T00:00:00"/>
    <x v="0"/>
  </r>
  <r>
    <n v="153"/>
    <s v="20250218"/>
    <n v="39000344214"/>
    <s v="Red Outpost"/>
    <s v="Mars"/>
    <n v="1"/>
    <s v="DIET SODA 12OZ LS"/>
    <s v="DIET SODA"/>
    <d v="2025-02-18T00:00:00"/>
    <x v="2"/>
  </r>
  <r>
    <n v="154"/>
    <n v="20250225"/>
    <n v="39000217191"/>
    <s v="Gotham"/>
    <s v="Detective Comics"/>
    <n v="1"/>
    <s v="SF MAPLE SYRUP 12OZ LS"/>
    <s v="SF MAPLE SYRUP"/>
    <d v="2025-02-25T00:00:00"/>
    <x v="2"/>
  </r>
  <r>
    <n v="155"/>
    <s v="20250110"/>
    <n v="39000203905"/>
    <s v="Gotham"/>
    <s v="Detective Comics"/>
    <n v="1"/>
    <s v="KETCHUP 12OZ LS"/>
    <s v="KETCHUP"/>
    <d v="2025-01-10T00:00:00"/>
    <x v="0"/>
  </r>
  <r>
    <n v="156"/>
    <s v="20250228"/>
    <n v="39000590109"/>
    <s v="Rio de Janiero"/>
    <s v="Brasil"/>
    <n v="1"/>
    <s v="BLUEBERRY SMOOTHIE 12oz LS"/>
    <s v="BLUEBERRY SMOOTHIE"/>
    <d v="2025-02-28T00:00:00"/>
    <x v="2"/>
  </r>
  <r>
    <n v="157"/>
    <s v="20250110"/>
    <n v="39001549691"/>
    <s v="Nashua"/>
    <s v="Dunder Mifflin"/>
    <n v="1"/>
    <s v="SPICY MEATBALL 12OZ 4PK"/>
    <s v="SPICY MEATBALL"/>
    <d v="2025-01-10T00:00:00"/>
    <x v="0"/>
  </r>
  <r>
    <n v="158"/>
    <s v="20250213"/>
    <n v="39000282022"/>
    <s v="House Stark"/>
    <s v="Westeros"/>
    <n v="1"/>
    <s v="SF KETCHUP 12OZ LS"/>
    <s v="SF KETCHUP"/>
    <d v="2025-02-13T00:00:00"/>
    <x v="2"/>
  </r>
  <r>
    <n v="159"/>
    <s v="20250218"/>
    <n v="39000266903"/>
    <s v="The Wall"/>
    <s v="Westeros"/>
    <n v="1"/>
    <s v="SPICY MEATBALL 8.4oz 4PK"/>
    <s v="SPICY MEATBALL"/>
    <d v="2025-02-18T00:00:00"/>
    <x v="2"/>
  </r>
  <r>
    <n v="160"/>
    <s v="20250305"/>
    <n v="39000284427"/>
    <s v="House Stark"/>
    <s v="Westeros"/>
    <n v="1"/>
    <s v="SF SUSHI ROLL 8.4OZ LS"/>
    <s v="SF SUSHI ROLL"/>
    <d v="2025-03-05T00:00:00"/>
    <x v="1"/>
  </r>
  <r>
    <n v="161"/>
    <s v="20250117"/>
    <n v="39001384110"/>
    <s v="Hoth"/>
    <s v="Hoth"/>
    <n v="2"/>
    <s v="SUSHI ROLL 12OZ LS"/>
    <s v="SUSHI ROLL"/>
    <d v="2025-01-17T00:00:00"/>
    <x v="0"/>
  </r>
  <r>
    <n v="162"/>
    <s v="20250109"/>
    <n v="39000240019"/>
    <s v="Metropolis"/>
    <s v="Detective Comics"/>
    <n v="1"/>
    <s v="MAPLE SYRUP 8.4OZ LS"/>
    <s v="MAPLE SYRUP"/>
    <d v="2025-01-09T00:00:00"/>
    <x v="0"/>
  </r>
  <r>
    <n v="163"/>
    <s v="20250121"/>
    <n v="39000202397"/>
    <s v="Metropolis"/>
    <s v="Detective Comics"/>
    <n v="1"/>
    <s v="SPICY MEATBALL 20oz LS"/>
    <s v="SPICY MEATBALL"/>
    <d v="2025-01-21T00:00:00"/>
    <x v="0"/>
  </r>
  <r>
    <n v="164"/>
    <s v="20250113"/>
    <n v="39000963352"/>
    <s v="Mumbai"/>
    <s v="India"/>
    <n v="2"/>
    <s v="PICKLE JUICE 12OZ LS"/>
    <s v="PICKLE JUICE"/>
    <d v="2025-01-13T00:00:00"/>
    <x v="0"/>
  </r>
  <r>
    <n v="165"/>
    <s v="20250218"/>
    <n v="39000211835"/>
    <s v="Metropolis"/>
    <s v="Detective Comics"/>
    <n v="1"/>
    <s v="KETCHUP 12OZ LS"/>
    <s v="KETCHUP"/>
    <d v="2025-02-18T00:00:00"/>
    <x v="2"/>
  </r>
  <r>
    <n v="166"/>
    <s v="20250113"/>
    <n v="39000336973"/>
    <s v="Red Outpost"/>
    <s v="Mars"/>
    <n v="1"/>
    <s v="SPICY MEATBALL 16OZ LS"/>
    <s v="SPICY MEATBALL"/>
    <d v="2025-01-13T00:00:00"/>
    <x v="0"/>
  </r>
  <r>
    <n v="167"/>
    <s v="20250117"/>
    <n v="39000238433"/>
    <s v="Metropolis"/>
    <s v="Detective Comics"/>
    <n v="1"/>
    <s v="PICKLE JUICE 12OZ LS"/>
    <s v="PICKLE JUICE"/>
    <d v="2025-01-17T00:00:00"/>
    <x v="0"/>
  </r>
  <r>
    <n v="168"/>
    <s v="20250307"/>
    <n v="39001417403"/>
    <s v="Scranton"/>
    <s v="Dunder Mifflin"/>
    <n v="1"/>
    <s v="SF LEMONADE 8.4OZ LS"/>
    <s v="SF LEMONADE"/>
    <d v="2025-03-07T00:00:00"/>
    <x v="1"/>
  </r>
  <r>
    <n v="169"/>
    <s v="20250214"/>
    <n v="39000207025"/>
    <s v="Gotham"/>
    <s v="Detective Comics"/>
    <n v="1"/>
    <s v="SPICY MEATBALL 8.4OZ LS"/>
    <s v="SPICY MEATBALL"/>
    <d v="2025-02-14T00:00:00"/>
    <x v="2"/>
  </r>
  <r>
    <n v="170"/>
    <s v="20250102"/>
    <n v="39001711905"/>
    <s v="Casa Amor"/>
    <s v="The Villa"/>
    <n v="1"/>
    <s v="AVOCADO TOAST 12oz LS"/>
    <s v="AVOCADO TOAST"/>
    <d v="2025-01-02T00:00:00"/>
    <x v="0"/>
  </r>
  <r>
    <n v="171"/>
    <s v="20250224"/>
    <n v="39000660595"/>
    <s v="Hoth"/>
    <s v="Hoth"/>
    <n v="1"/>
    <s v="BLUEBERRY SMOOTHIE 12oz LS"/>
    <s v="BLUEBERRY SMOOTHIE"/>
    <d v="2025-02-24T00:00:00"/>
    <x v="2"/>
  </r>
  <r>
    <n v="172"/>
    <s v="20250218"/>
    <n v="39000585923"/>
    <s v="Rio de Janiero"/>
    <s v="Brasil"/>
    <n v="1"/>
    <s v="COCONUT MILK 12oz LS"/>
    <s v="COCONUT MILK"/>
    <d v="2025-02-18T00:00:00"/>
    <x v="2"/>
  </r>
  <r>
    <n v="173"/>
    <s v="20250107"/>
    <n v="39000207402"/>
    <s v="Metropolis"/>
    <s v="Detective Comics"/>
    <n v="1"/>
    <s v="KETCHUP 8.4oz 4PK"/>
    <s v="KETCHUP"/>
    <d v="2025-01-07T00:00:00"/>
    <x v="0"/>
  </r>
  <r>
    <n v="174"/>
    <s v="20250117"/>
    <n v="39000585286"/>
    <s v="Rio de Janiero"/>
    <s v="Brasil"/>
    <n v="1"/>
    <s v="PICKLE JUICE 12OZ LS"/>
    <s v="PICKLE JUICE"/>
    <d v="2025-01-17T00:00:00"/>
    <x v="0"/>
  </r>
  <r>
    <n v="175"/>
    <s v="20250303"/>
    <n v="39000585364"/>
    <s v="Rio de Janiero"/>
    <s v="Brasil"/>
    <n v="1"/>
    <s v="SF LEMONADE 8.4OZ LS"/>
    <s v="SF LEMONADE"/>
    <d v="2025-03-03T00:00:00"/>
    <x v="1"/>
  </r>
  <r>
    <n v="176"/>
    <s v="20250124"/>
    <n v="39000199121"/>
    <s v="Metropolis"/>
    <s v="Detective Comics"/>
    <n v="1"/>
    <s v="SF ICE CREAM 12OZ LS"/>
    <s v="SF ICE CREAM"/>
    <d v="2025-01-24T00:00:00"/>
    <x v="0"/>
  </r>
  <r>
    <n v="177"/>
    <s v="20250206"/>
    <n v="39000767533"/>
    <s v="Red Outpost"/>
    <s v="Mars"/>
    <n v="2"/>
    <s v="SPICY MEATBALL 20oz LS"/>
    <s v="SPICY MEATBALL"/>
    <d v="2025-02-06T00:00:00"/>
    <x v="2"/>
  </r>
  <r>
    <n v="178"/>
    <s v="20250117"/>
    <n v="39000283439"/>
    <s v="House Stark"/>
    <s v="Westeros"/>
    <n v="-0.58299999999999996"/>
    <s v="SPICY MEATBALL 16OZ LS"/>
    <s v="SPICY MEATBALL"/>
    <d v="2025-01-17T00:00:00"/>
    <x v="0"/>
  </r>
  <r>
    <n v="179"/>
    <s v="20250306"/>
    <n v="39001719159"/>
    <s v="Casa Amor"/>
    <s v="The Villa"/>
    <n v="-4.2000000000000003E-2"/>
    <s v="ICE PC 8.4OZ LS"/>
    <s v="ICE PC"/>
    <d v="2025-03-06T00:00:00"/>
    <x v="1"/>
  </r>
  <r>
    <n v="180"/>
    <s v="20250127"/>
    <n v="39000329979"/>
    <s v="Red Outpost"/>
    <s v="Mars"/>
    <n v="1"/>
    <s v="WASABI BANANA PUDDING 12OZ LS"/>
    <s v="WASABI BANANA PUDDING"/>
    <d v="2025-01-27T00:00:00"/>
    <x v="0"/>
  </r>
  <r>
    <n v="181"/>
    <s v="20250124"/>
    <n v="39000217243"/>
    <s v="Gotham"/>
    <s v="Detective Comics"/>
    <n v="1"/>
    <s v="KETCHUP 12OZ LS"/>
    <s v="KETCHUP"/>
    <d v="2025-01-24T00:00:00"/>
    <x v="0"/>
  </r>
  <r>
    <n v="182"/>
    <s v="20250226"/>
    <n v="39000662974"/>
    <s v="Hoth"/>
    <s v="Hoth"/>
    <n v="1"/>
    <s v="DIET SODA 12OZ LS"/>
    <s v="DIET SODA"/>
    <d v="2025-02-26T00:00:00"/>
    <x v="2"/>
  </r>
  <r>
    <n v="183"/>
    <s v="20250204"/>
    <n v="39002263885"/>
    <s v="Santas Workshop"/>
    <s v="North Pole"/>
    <n v="1"/>
    <s v="SPICY MEATBALL 12OZ LS"/>
    <s v="SPICY MEATBALL"/>
    <d v="2025-02-04T00:00:00"/>
    <x v="2"/>
  </r>
  <r>
    <n v="184"/>
    <s v="20250123"/>
    <n v="39000237003"/>
    <s v="Gotham"/>
    <s v="Detective Comics"/>
    <n v="1"/>
    <s v="SPICY MEATBALL 12OZ LS"/>
    <s v="SPICY MEATBALL"/>
    <d v="2025-01-23T00:00:00"/>
    <x v="0"/>
  </r>
  <r>
    <n v="185"/>
    <s v="20250128"/>
    <n v="39000223964"/>
    <s v="Metropolis"/>
    <s v="Detective Comics"/>
    <n v="1"/>
    <s v="SPICY MEATBALL 12OZ LS"/>
    <s v="SPICY MEATBALL"/>
    <d v="2025-01-28T00:00:00"/>
    <x v="0"/>
  </r>
  <r>
    <n v="186"/>
    <s v="20250131"/>
    <n v="39001488500"/>
    <s v="Summer House"/>
    <s v="Cousins Beach"/>
    <n v="1"/>
    <s v="SPICY MEATBALL 20oz LS"/>
    <s v="SPICY MEATBALL"/>
    <d v="2025-01-31T00:00:00"/>
    <x v="0"/>
  </r>
  <r>
    <n v="187"/>
    <s v="20250204"/>
    <n v="39000663182"/>
    <s v="Hoth"/>
    <s v="Hoth"/>
    <n v="1"/>
    <s v="SPICY MEATBALL 8.4OZ LS"/>
    <s v="SPICY MEATBALL"/>
    <d v="2025-02-04T00:00:00"/>
    <x v="2"/>
  </r>
  <r>
    <n v="188"/>
    <s v="20250114"/>
    <n v="39000281489"/>
    <s v="House Stark"/>
    <s v="Westeros"/>
    <n v="3"/>
    <s v="SPICY MEATBALL 16OZ LS"/>
    <s v="SPICY MEATBALL"/>
    <d v="2025-01-14T00:00:00"/>
    <x v="0"/>
  </r>
  <r>
    <n v="189"/>
    <s v="20250227"/>
    <n v="39000591591"/>
    <s v="Rio de Janiero"/>
    <s v="Brasil"/>
    <n v="1"/>
    <s v="PICKLE JUICE 8.4OZ LS"/>
    <s v="PICKLE JUICE"/>
    <d v="2025-02-27T00:00:00"/>
    <x v="2"/>
  </r>
  <r>
    <n v="190"/>
    <s v="20250108"/>
    <n v="39002659917"/>
    <s v="House Stark"/>
    <s v="Westeros"/>
    <n v="2"/>
    <s v="DIET SODA 12OZ LS"/>
    <s v="DIET SODA"/>
    <d v="2025-01-08T00:00:00"/>
    <x v="0"/>
  </r>
  <r>
    <n v="191"/>
    <s v="20250205"/>
    <n v="39000970541"/>
    <s v="Mumbai"/>
    <s v="India"/>
    <n v="-4.2000000000000003E-2"/>
    <s v="SPICY MEATBALL 8.4OZ LS"/>
    <s v="SPICY MEATBALL"/>
    <d v="2025-02-05T00:00:00"/>
    <x v="2"/>
  </r>
  <r>
    <n v="192"/>
    <s v="20250305"/>
    <n v="39002120898"/>
    <s v="Scranton"/>
    <s v="Dunder Mifflin"/>
    <n v="1"/>
    <s v="PICKLE JUICE 12OZ LS"/>
    <s v="PICKLE JUICE"/>
    <d v="2025-03-05T00:00:00"/>
    <x v="1"/>
  </r>
  <r>
    <n v="193"/>
    <s v="20250220"/>
    <n v="39002178501"/>
    <s v="Scranton"/>
    <s v="Dunder Mifflin"/>
    <n v="1"/>
    <s v="DIET COOKIE 16OZ LS"/>
    <s v="DIET COOKIE"/>
    <d v="2025-02-20T00:00:00"/>
    <x v="2"/>
  </r>
  <r>
    <n v="194"/>
    <s v="20250115"/>
    <n v="39000220324"/>
    <s v="Metropolis"/>
    <s v="Detective Comics"/>
    <n v="6"/>
    <s v="SPICY MEATBALL 8.4OZ 12PK"/>
    <s v="SPICY MEATBALL"/>
    <d v="2025-01-15T00:00:00"/>
    <x v="0"/>
  </r>
  <r>
    <n v="195"/>
    <s v="20250204"/>
    <n v="39001519752"/>
    <s v="Scranton"/>
    <s v="Dunder Mifflin"/>
    <n v="5"/>
    <s v="SPICY MEATBALL 8.4OZ LS"/>
    <s v="SPICY MEATBALL"/>
    <d v="2025-02-04T00:00:00"/>
    <x v="2"/>
  </r>
  <r>
    <n v="196"/>
    <s v="20250116"/>
    <n v="39000220766"/>
    <s v="Metropolis"/>
    <s v="Detective Comics"/>
    <n v="1"/>
    <s v="SUSHI ROLL 12OZ 4PK"/>
    <s v="SUSHI ROLL"/>
    <d v="2025-01-16T00:00:00"/>
    <x v="0"/>
  </r>
  <r>
    <n v="197"/>
    <s v="20250124"/>
    <n v="39000236418"/>
    <s v="Gotham"/>
    <s v="Detective Comics"/>
    <n v="2"/>
    <s v="SF ICE CREAM 12OZ LS"/>
    <s v="SF ICE CREAM"/>
    <d v="2025-01-24T00:00:00"/>
    <x v="0"/>
  </r>
  <r>
    <n v="198"/>
    <s v="20250224"/>
    <n v="39001707901"/>
    <s v="Casa Amor"/>
    <s v="The Villa"/>
    <n v="8"/>
    <s v="SPICY MEATBALL 8.4OZ LS"/>
    <s v="SPICY MEATBALL"/>
    <d v="2025-02-24T00:00:00"/>
    <x v="2"/>
  </r>
  <r>
    <n v="199"/>
    <s v="20250310"/>
    <n v="39000589394"/>
    <s v="Rio de Janiero"/>
    <s v="Brasil"/>
    <n v="1"/>
    <s v="LEMONADE 12OZ LS"/>
    <s v="LEMONADE"/>
    <d v="2025-03-10T00:00:00"/>
    <x v="1"/>
  </r>
  <r>
    <n v="200"/>
    <s v="20250116"/>
    <n v="39000239928"/>
    <s v="Gotham"/>
    <s v="Detective Comics"/>
    <n v="-1"/>
    <s v="SPICY MEATBALL 12OZ LS"/>
    <s v="SPICY MEATBALL"/>
    <d v="2025-01-16T00:00:00"/>
    <x v="0"/>
  </r>
  <r>
    <n v="201"/>
    <s v="20250103"/>
    <n v="39001386333"/>
    <s v="Scranton"/>
    <s v="Dunder Mifflin"/>
    <n v="2"/>
    <s v="DIET COOKIE 8.4OZ 12PK"/>
    <s v="DIET COOKIE"/>
    <d v="2025-01-03T00:00:00"/>
    <x v="0"/>
  </r>
  <r>
    <n v="202"/>
    <s v="20250124"/>
    <n v="39000592722"/>
    <s v="Rio de Janiero"/>
    <s v="Brasil"/>
    <n v="1"/>
    <s v="SPICY MEATBALL 16OZ LS"/>
    <s v="SPICY MEATBALL"/>
    <d v="2025-01-24T00:00:00"/>
    <x v="0"/>
  </r>
  <r>
    <n v="203"/>
    <s v="20250129"/>
    <n v="39001588327"/>
    <s v="Scranton"/>
    <s v="Dunder Mifflin"/>
    <n v="1"/>
    <s v="SPICY MEATBALL 16OZ LS"/>
    <s v="SPICY MEATBALL"/>
    <d v="2025-01-29T00:00:00"/>
    <x v="0"/>
  </r>
  <r>
    <n v="204"/>
    <s v="20250305"/>
    <n v="39000217230"/>
    <s v="Metropolis"/>
    <s v="Detective Comics"/>
    <n v="1"/>
    <s v="STRAWBERRY MILKSHAKE 8.4OZ LS"/>
    <s v="STRAWBERRY MILKSHAKE"/>
    <d v="2025-03-05T00:00:00"/>
    <x v="1"/>
  </r>
  <r>
    <n v="205"/>
    <s v="20250206"/>
    <n v="39000956215"/>
    <s v="Mumbai"/>
    <s v="India"/>
    <n v="2"/>
    <s v="PICKLE JUICE 12OZ LS"/>
    <s v="PICKLE JUICE"/>
    <d v="2025-02-06T00:00:00"/>
    <x v="2"/>
  </r>
  <r>
    <n v="206"/>
    <s v="20250226"/>
    <n v="39000669708"/>
    <s v="Hoth"/>
    <s v="Hoth"/>
    <n v="2"/>
    <s v="SF STRAWBERRY MILKSHAKE 12OZ LS"/>
    <s v="SF STRAWBERRY MILKSHAKE"/>
    <d v="2025-02-26T00:00:00"/>
    <x v="2"/>
  </r>
  <r>
    <n v="207"/>
    <s v="20250121"/>
    <n v="39000342680"/>
    <s v="Red Outpost"/>
    <s v="Mars"/>
    <n v="1"/>
    <s v="DIET COOKIE 8.4OZ LS"/>
    <s v="DIET COOKIE"/>
    <d v="2025-01-21T00:00:00"/>
    <x v="0"/>
  </r>
  <r>
    <n v="208"/>
    <s v="20250108"/>
    <n v="39000338754"/>
    <s v="Red Outpost"/>
    <s v="Mars"/>
    <n v="5"/>
    <s v="SPICY MEATBALL 12OZ LS"/>
    <s v="SPICY MEATBALL"/>
    <d v="2025-01-08T00:00:00"/>
    <x v="0"/>
  </r>
  <r>
    <n v="209"/>
    <s v="20250310"/>
    <n v="39000592631"/>
    <s v="Rio de Janiero"/>
    <s v="Brasil"/>
    <n v="1"/>
    <s v="SF LEMONADE 8.4OZ LS"/>
    <s v="SF LEMONADE"/>
    <d v="2025-03-10T00:00:00"/>
    <x v="1"/>
  </r>
  <r>
    <n v="210"/>
    <s v="20250109"/>
    <n v="39000332163"/>
    <s v="Red Outpost"/>
    <s v="Mars"/>
    <n v="1"/>
    <s v="AVOCADO TOAST 8.4oz LS"/>
    <s v="AVOCADO TOAST"/>
    <d v="2025-01-09T00:00:00"/>
    <x v="0"/>
  </r>
  <r>
    <n v="211"/>
    <s v="20250206"/>
    <n v="39000658229"/>
    <s v="Hoth"/>
    <s v="Hoth"/>
    <n v="6"/>
    <s v="SPICY MEATBALL 12OZ LS"/>
    <s v="SPICY MEATBALL"/>
    <d v="2025-02-06T00:00:00"/>
    <x v="2"/>
  </r>
  <r>
    <n v="212"/>
    <s v="20250219"/>
    <n v="39000203086"/>
    <s v="Gotham"/>
    <s v="Detective Comics"/>
    <n v="1"/>
    <s v="PICKLE JUICE 8.4OZ LS"/>
    <s v="PICKLE JUICE"/>
    <d v="2025-02-19T00:00:00"/>
    <x v="2"/>
  </r>
  <r>
    <n v="213"/>
    <s v="20250306"/>
    <n v="39000595101"/>
    <s v="Rio de Janiero"/>
    <s v="Brasil"/>
    <n v="1"/>
    <s v="KETCHUP 8.4OZ LS"/>
    <s v="KETCHUP"/>
    <d v="2025-03-06T00:00:00"/>
    <x v="1"/>
  </r>
  <r>
    <n v="214"/>
    <s v="20250218"/>
    <n v="39000426790"/>
    <s v="House Stark"/>
    <s v="Westeros"/>
    <n v="1"/>
    <s v="SPICY MEATBALL 8.4oz 4PK"/>
    <s v="SPICY MEATBALL"/>
    <d v="2025-02-18T00:00:00"/>
    <x v="2"/>
  </r>
  <r>
    <n v="215"/>
    <s v="20250225"/>
    <n v="39000220506"/>
    <s v="Gotham"/>
    <s v="Detective Comics"/>
    <n v="1"/>
    <s v="SF KETCHUP 12OZ 4P"/>
    <s v="SF KETCHUP"/>
    <d v="2025-02-25T00:00:00"/>
    <x v="2"/>
  </r>
  <r>
    <n v="216"/>
    <s v="20250107"/>
    <n v="39001470664"/>
    <s v="Scranton"/>
    <s v="Dunder Mifflin"/>
    <n v="-0.54200000000000004"/>
    <s v="FLAT SODA 8.4OZ LS"/>
    <s v="FLAT SODA"/>
    <d v="2025-01-07T00:00:00"/>
    <x v="0"/>
  </r>
  <r>
    <n v="217"/>
    <s v="20250207"/>
    <n v="39002433223"/>
    <s v="Rio de Janiero"/>
    <s v="Brasil"/>
    <n v="1"/>
    <s v="MAPLE SYRUP 12OZ LS"/>
    <s v="MAPLE SYRUP"/>
    <d v="2025-02-07T00:00:00"/>
    <x v="2"/>
  </r>
  <r>
    <n v="218"/>
    <s v="20250203"/>
    <n v="39001379651"/>
    <s v="Salzburg"/>
    <s v="Austria"/>
    <n v="1"/>
    <s v="DIET COOKIE 16OZ LS"/>
    <s v="DIET COOKIE"/>
    <d v="2025-02-03T00:00:00"/>
    <x v="2"/>
  </r>
  <r>
    <n v="219"/>
    <s v="20250226"/>
    <n v="39000264836"/>
    <s v="The Wall"/>
    <s v="Westeros"/>
    <n v="1"/>
    <s v="LEMONADE 8.4OZ LS"/>
    <s v="LEMONADE"/>
    <d v="2025-02-26T00:00:00"/>
    <x v="2"/>
  </r>
  <r>
    <n v="220"/>
    <s v="20250113"/>
    <n v="39000661102"/>
    <s v="Hoth"/>
    <s v="Hoth"/>
    <n v="1"/>
    <s v="SUSHI ROLL 12OZ LS"/>
    <s v="SUSHI ROLL"/>
    <d v="2025-01-13T00:00:00"/>
    <x v="0"/>
  </r>
  <r>
    <n v="221"/>
    <s v="20250203"/>
    <n v="39000263705"/>
    <s v="The Wall"/>
    <s v="Westeros"/>
    <n v="1"/>
    <s v="SPICY MEATBALL 20oz LS"/>
    <s v="SPICY MEATBALL"/>
    <d v="2025-02-03T00:00:00"/>
    <x v="2"/>
  </r>
  <r>
    <n v="222"/>
    <s v="20250127"/>
    <n v="39002365467"/>
    <s v="Hoth"/>
    <s v="Hoth"/>
    <n v="1"/>
    <s v="SUSHI ROLL 12OZ LS"/>
    <s v="SUSHI ROLL"/>
    <d v="2025-01-27T00:00:00"/>
    <x v="0"/>
  </r>
  <r>
    <n v="223"/>
    <s v="20250117"/>
    <n v="39000198159"/>
    <s v="Metropolis"/>
    <s v="Detective Comics"/>
    <n v="1"/>
    <s v="SPICY MEATBALL 20oz LS"/>
    <s v="SPICY MEATBALL"/>
    <d v="2025-01-17T00:00:00"/>
    <x v="0"/>
  </r>
  <r>
    <n v="224"/>
    <s v="20250227"/>
    <n v="39001520506"/>
    <s v="Scranton"/>
    <s v="Dunder Mifflin"/>
    <n v="1"/>
    <s v="SF VAR PK 8.4OZ 12P"/>
    <s v="SF VAR PK"/>
    <d v="2025-02-27T00:00:00"/>
    <x v="2"/>
  </r>
  <r>
    <n v="225"/>
    <s v="20250206"/>
    <n v="39000660699"/>
    <s v="Hoth"/>
    <s v="Hoth"/>
    <n v="1"/>
    <s v="SUSHI ROLL 8.4OZ LS"/>
    <s v="SUSHI ROLL"/>
    <d v="2025-02-06T00:00:00"/>
    <x v="2"/>
  </r>
  <r>
    <n v="226"/>
    <s v="20250219"/>
    <n v="39000671281"/>
    <s v="Hoth"/>
    <s v="Hoth"/>
    <n v="1"/>
    <s v="SUSHI ROLL 12OZ LS"/>
    <s v="SUSHI ROLL"/>
    <d v="2025-02-19T00:00:00"/>
    <x v="2"/>
  </r>
  <r>
    <n v="227"/>
    <s v="20250117"/>
    <n v="39000227981"/>
    <s v="Gotham"/>
    <s v="Detective Comics"/>
    <n v="2"/>
    <s v="AVOCADO TOAST 8.4oz LS"/>
    <s v="AVOCADO TOAST"/>
    <d v="2025-01-17T00:00:00"/>
    <x v="0"/>
  </r>
  <r>
    <n v="228"/>
    <s v="20250124"/>
    <n v="39000211029"/>
    <s v="Gotham"/>
    <s v="Detective Comics"/>
    <n v="1"/>
    <s v="SPICY MEATBALL 20oz LS"/>
    <s v="SPICY MEATBALL"/>
    <d v="2025-01-24T00:00:00"/>
    <x v="0"/>
  </r>
  <r>
    <n v="229"/>
    <s v="20250218"/>
    <n v="39000285064"/>
    <s v="House Stark"/>
    <s v="Westeros"/>
    <n v="2"/>
    <s v="VP Mint 8.4OZ 12PK"/>
    <s v="VP Mint"/>
    <d v="2025-02-18T00:00:00"/>
    <x v="2"/>
  </r>
  <r>
    <n v="230"/>
    <s v="20250303"/>
    <n v="39002747732"/>
    <s v="Red Outpost"/>
    <s v="Mars"/>
    <n v="1"/>
    <s v="SPICY MEATBALL 16OZ LS"/>
    <s v="SPICY MEATBALL"/>
    <d v="2025-03-03T00:00:00"/>
    <x v="1"/>
  </r>
  <r>
    <n v="231"/>
    <s v="20250226"/>
    <n v="39000587769"/>
    <s v="Rio de Janiero"/>
    <s v="Brasil"/>
    <n v="1"/>
    <s v="PICKLE JUICE 12OZ LS"/>
    <s v="PICKLE JUICE"/>
    <d v="2025-02-26T00:00:00"/>
    <x v="2"/>
  </r>
  <r>
    <n v="232"/>
    <s v="20250304"/>
    <n v="39000197730"/>
    <s v="Gotham"/>
    <s v="Detective Comics"/>
    <n v="1"/>
    <s v="SF STRAWBERRY MILKSHAKE 8.4OZ LS"/>
    <s v="SF STRAWBERRY MILKSHAKE"/>
    <d v="2025-03-04T00:00:00"/>
    <x v="1"/>
  </r>
  <r>
    <n v="233"/>
    <s v="20250127"/>
    <n v="39000337857"/>
    <s v="Red Outpost"/>
    <s v="Mars"/>
    <n v="1"/>
    <s v="SUSHI ROLL 12OZ 4PK"/>
    <s v="SUSHI ROLL"/>
    <d v="2025-01-27T00:00:00"/>
    <x v="0"/>
  </r>
  <r>
    <n v="234"/>
    <s v="20250220"/>
    <n v="39002306343"/>
    <s v="Santas Workshop"/>
    <s v="North Pole"/>
    <n v="1"/>
    <s v="WASABI BANANA PUDDING 12OZ LS"/>
    <s v="WASABI BANANA PUDDING"/>
    <d v="2025-02-20T00:00:00"/>
    <x v="2"/>
  </r>
  <r>
    <n v="235"/>
    <s v="20250114"/>
    <n v="39000209092"/>
    <s v="Gotham"/>
    <s v="Detective Comics"/>
    <n v="1"/>
    <s v="PICKLE JUICE 12OZ LS"/>
    <s v="PICKLE JUICE"/>
    <d v="2025-01-14T00:00:00"/>
    <x v="0"/>
  </r>
  <r>
    <n v="236"/>
    <s v="20250228"/>
    <n v="39001506297"/>
    <s v="Nashua"/>
    <s v="Dunder Mifflin"/>
    <n v="1"/>
    <s v="WASABI BANANA PUDDING 12OZ LS"/>
    <s v="WASABI BANANA PUDDING"/>
    <d v="2025-02-28T00:00:00"/>
    <x v="2"/>
  </r>
  <r>
    <n v="237"/>
    <s v="20250303"/>
    <n v="39000595764"/>
    <s v="Rio de Janiero"/>
    <s v="Brasil"/>
    <n v="1"/>
    <s v="SPICY MEATBALL 20oz LS"/>
    <s v="SPICY MEATBALL"/>
    <d v="2025-03-03T00:00:00"/>
    <x v="1"/>
  </r>
  <r>
    <n v="238"/>
    <s v="20250217"/>
    <n v="39001501643"/>
    <s v="Scranton"/>
    <s v="Dunder Mifflin"/>
    <n v="1"/>
    <s v="BLUEBERRY SMOOTHIE 12oz LS"/>
    <s v="BLUEBERRY SMOOTHIE"/>
    <d v="2025-02-17T00:00:00"/>
    <x v="2"/>
  </r>
  <r>
    <n v="239"/>
    <s v="20250108"/>
    <n v="39000230568"/>
    <s v="Gotham"/>
    <s v="Detective Comics"/>
    <n v="1"/>
    <s v="DIET SODA 8.4OZ LS"/>
    <s v="DIET SODA"/>
    <d v="2025-01-08T00:00:00"/>
    <x v="0"/>
  </r>
  <r>
    <n v="240"/>
    <s v="20250310"/>
    <n v="39000666965"/>
    <s v="Hoth"/>
    <s v="Hoth"/>
    <n v="1"/>
    <s v="KETCHUP 8.4OZ LS"/>
    <s v="KETCHUP"/>
    <d v="2025-03-10T00:00:00"/>
    <x v="1"/>
  </r>
  <r>
    <n v="241"/>
    <s v="20250102"/>
    <n v="39001460810"/>
    <s v="Scranton"/>
    <s v="Dunder Mifflin"/>
    <n v="1"/>
    <s v="BLUEBERRY SMOOTHIE 12oz LS"/>
    <s v="BLUEBERRY SMOOTHIE"/>
    <d v="2025-01-02T00:00:00"/>
    <x v="0"/>
  </r>
  <r>
    <n v="242"/>
    <s v="20250117"/>
    <n v="39000591409"/>
    <s v="Rio de Janiero"/>
    <s v="Brasil"/>
    <n v="1"/>
    <s v="SPICY MEATBALL 8.4OZ 12PK"/>
    <s v="SPICY MEATBALL"/>
    <d v="2025-01-17T00:00:00"/>
    <x v="0"/>
  </r>
  <r>
    <n v="243"/>
    <s v="20250117"/>
    <n v="39002236403"/>
    <s v="Santas Workshop"/>
    <s v="North Pole"/>
    <n v="1"/>
    <s v="KETCHUP 12OZ LS"/>
    <s v="KETCHUP"/>
    <d v="2025-01-17T00:00:00"/>
    <x v="0"/>
  </r>
  <r>
    <n v="244"/>
    <s v="20250106"/>
    <n v="39000948792"/>
    <s v="Mumbai"/>
    <s v="India"/>
    <n v="1"/>
    <s v="SPICY MEATBALL 8.4OZ LS"/>
    <s v="SPICY MEATBALL"/>
    <d v="2025-01-06T00:00:00"/>
    <x v="0"/>
  </r>
  <r>
    <n v="245"/>
    <s v="20250206"/>
    <n v="39000201279"/>
    <s v="Gotham"/>
    <s v="Detective Comics"/>
    <n v="1"/>
    <s v="SF MAPLE SYRUP 12OZ LS"/>
    <s v="SF MAPLE SYRUP"/>
    <d v="2025-02-06T00:00:00"/>
    <x v="2"/>
  </r>
  <r>
    <n v="246"/>
    <s v="20250117"/>
    <n v="39000337727"/>
    <s v="Red Outpost"/>
    <s v="Mars"/>
    <n v="1"/>
    <s v="SF MAPLE SYRUP 12OZ LS"/>
    <s v="SF MAPLE SYRUP"/>
    <d v="2025-01-17T00:00:00"/>
    <x v="0"/>
  </r>
  <r>
    <n v="247"/>
    <s v="20250130"/>
    <n v="39002280252"/>
    <s v="Santas Workshop"/>
    <s v="North Pole"/>
    <n v="2"/>
    <s v="SPICY MEATBALL 12OZ LS"/>
    <s v="SPICY MEATBALL"/>
    <d v="2025-01-30T00:00:00"/>
    <x v="0"/>
  </r>
  <r>
    <n v="248"/>
    <s v="20250212"/>
    <n v="39000961688"/>
    <s v="Mumbai"/>
    <s v="India"/>
    <n v="2"/>
    <s v="SPICY MEATBALL 20oz LS"/>
    <s v="SPICY MEATBALL"/>
    <d v="2025-02-12T00:00:00"/>
    <x v="2"/>
  </r>
  <r>
    <n v="249"/>
    <s v="20250103"/>
    <n v="39002654145"/>
    <s v="Hoth"/>
    <s v="Hoth"/>
    <n v="4"/>
    <s v="ICE CREAM 12OZ LS"/>
    <s v="ICE CREAM"/>
    <d v="2025-01-03T00:00:00"/>
    <x v="0"/>
  </r>
  <r>
    <n v="250"/>
    <s v="20250130"/>
    <n v="39000198289"/>
    <s v="Gotham"/>
    <s v="Detective Comics"/>
    <n v="1"/>
    <s v="DIET COOKIE 16OZ LS"/>
    <s v="DIET COOKIE"/>
    <d v="2025-01-30T00:00:00"/>
    <x v="0"/>
  </r>
  <r>
    <n v="251"/>
    <s v="20250131"/>
    <n v="39001541683"/>
    <s v="Scranton"/>
    <s v="Dunder Mifflin"/>
    <n v="1"/>
    <s v="KETCHUP 8.4OZ LS"/>
    <s v="KETCHUP"/>
    <d v="2025-01-31T00:00:00"/>
    <x v="0"/>
  </r>
  <r>
    <n v="252"/>
    <s v="20250116"/>
    <n v="39000203320"/>
    <s v="Gotham"/>
    <s v="Detective Comics"/>
    <n v="1"/>
    <s v="SF KETCHUP 8.4OZ 4P"/>
    <s v="SF KETCHUP"/>
    <d v="2025-01-16T00:00:00"/>
    <x v="0"/>
  </r>
  <r>
    <n v="253"/>
    <s v="20250307"/>
    <n v="39000592709"/>
    <s v="Rio de Janiero"/>
    <s v="Brasil"/>
    <n v="2"/>
    <s v="DIET COOKIE 8.4OZ 12PK"/>
    <s v="DIET COOKIE"/>
    <d v="2025-03-07T00:00:00"/>
    <x v="1"/>
  </r>
  <r>
    <n v="254"/>
    <s v="20250221"/>
    <n v="39000955617"/>
    <s v="Mumbai"/>
    <s v="India"/>
    <n v="2"/>
    <s v="SPICY MEATBALL 12OZ LS"/>
    <s v="SPICY MEATBALL"/>
    <d v="2025-02-21T00:00:00"/>
    <x v="2"/>
  </r>
  <r>
    <n v="255"/>
    <s v="20250123"/>
    <n v="39000948207"/>
    <s v="Mumbai"/>
    <s v="India"/>
    <n v="4"/>
    <s v="SPICY MEATBALL 12OZ LS"/>
    <s v="SPICY MEATBALL"/>
    <d v="2025-01-23T00:00:00"/>
    <x v="0"/>
  </r>
  <r>
    <n v="256"/>
    <s v="20250224"/>
    <n v="39001431677"/>
    <s v="Scranton"/>
    <s v="Dunder Mifflin"/>
    <n v="1"/>
    <s v="PICKLE JUICE 8.4OZ LS"/>
    <s v="PICKLE JUICE"/>
    <d v="2025-02-24T00:00:00"/>
    <x v="2"/>
  </r>
  <r>
    <n v="257"/>
    <s v="20250305"/>
    <n v="39002225184"/>
    <s v="Santas Workshop"/>
    <s v="North Pole"/>
    <n v="-0.375"/>
    <s v="BLUEBERRY SMOOTHIE 8.4OZ LS"/>
    <s v="BLUEBERRY SMOOTHIE"/>
    <d v="2025-03-05T00:00:00"/>
    <x v="1"/>
  </r>
  <r>
    <n v="258"/>
    <s v="20250310"/>
    <n v="39001488682"/>
    <s v="Summer House"/>
    <s v="Cousins Beach"/>
    <n v="2"/>
    <s v="SUSHI ROLL 12OZ LS"/>
    <s v="SUSHI ROLL"/>
    <d v="2025-03-10T00:00:00"/>
    <x v="1"/>
  </r>
  <r>
    <n v="259"/>
    <s v="20250116"/>
    <n v="39001489813"/>
    <s v="Summer House"/>
    <s v="Cousins Beach"/>
    <n v="1"/>
    <s v="DIET COOKIE 20OZ LS"/>
    <s v="DIET COOKIE"/>
    <d v="2025-01-16T00:00:00"/>
    <x v="0"/>
  </r>
  <r>
    <n v="260"/>
    <s v="20250122"/>
    <n v="39002333422"/>
    <s v="Gotham"/>
    <s v="Detective Comics"/>
    <n v="1"/>
    <s v="DIET COOKIE 12oz"/>
    <s v="DIET"/>
    <d v="2025-01-22T00:00:00"/>
    <x v="0"/>
  </r>
  <r>
    <n v="261"/>
    <s v="20250226"/>
    <n v="39000217360"/>
    <s v="Metropolis"/>
    <s v="Detective Comics"/>
    <n v="1"/>
    <s v="SF LEMONADE 12OZ LS"/>
    <s v="SF LEMONADE"/>
    <d v="2025-02-26T00:00:00"/>
    <x v="2"/>
  </r>
  <r>
    <n v="262"/>
    <s v="20250131"/>
    <n v="39000661037"/>
    <s v="Hoth"/>
    <s v="Hoth"/>
    <n v="1"/>
    <s v="WASABI BANANA PUDDING 8.4OZ LS"/>
    <s v="WASABI BANANA PUDDING"/>
    <d v="2025-01-31T00:00:00"/>
    <x v="0"/>
  </r>
  <r>
    <n v="263"/>
    <s v="20250212"/>
    <n v="39001393262"/>
    <s v="Scranton"/>
    <s v="Dunder Mifflin"/>
    <n v="1"/>
    <s v="MAPLE SYRUP 8.4OZ LS"/>
    <s v="MAPLE SYRUP"/>
    <d v="2025-02-12T00:00:00"/>
    <x v="2"/>
  </r>
  <r>
    <n v="264"/>
    <s v="20250129"/>
    <n v="39000592332"/>
    <s v="Rio de Janiero"/>
    <s v="Brasil"/>
    <n v="1"/>
    <s v="DIET COOKIE 16OZ LS"/>
    <s v="DIET COOKIE"/>
    <d v="2025-01-29T00:00:00"/>
    <x v="0"/>
  </r>
  <r>
    <n v="265"/>
    <s v="20250220"/>
    <n v="39000663195"/>
    <s v="Hoth"/>
    <s v="Hoth"/>
    <n v="2"/>
    <s v="SPICY MEATBALL 16OZ LS"/>
    <s v="SPICY MEATBALL"/>
    <d v="2025-02-20T00:00:00"/>
    <x v="2"/>
  </r>
  <r>
    <n v="266"/>
    <s v="20250110"/>
    <n v="39002287740"/>
    <s v="Santas Workshop"/>
    <s v="North Pole"/>
    <n v="1"/>
    <s v="BLUEBERRY SMOOTHIE 8.4OZ LS"/>
    <s v="BLUEBERRY SMOOTHIE"/>
    <d v="2025-01-10T00:00:00"/>
    <x v="0"/>
  </r>
  <r>
    <n v="267"/>
    <s v="20250206"/>
    <n v="39000201695"/>
    <s v="Metropolis"/>
    <s v="Detective Comics"/>
    <n v="1"/>
    <s v="SF MAPLE SYRUP 12OZ LS"/>
    <s v="SF MAPLE SYRUP"/>
    <d v="2025-02-06T00:00:00"/>
    <x v="2"/>
  </r>
  <r>
    <n v="268"/>
    <s v="20250211"/>
    <n v="39001387633"/>
    <s v="Summer House"/>
    <s v="Cousins Beach"/>
    <n v="1"/>
    <s v="BLUEBERRY SMOOTHIE 12oz LS"/>
    <s v="BLUEBERRY SMOOTHIE"/>
    <d v="2025-02-11T00:00:00"/>
    <x v="2"/>
  </r>
  <r>
    <n v="269"/>
    <s v="20250226"/>
    <n v="39001482104"/>
    <s v="Scranton"/>
    <s v="Dunder Mifflin"/>
    <n v="2"/>
    <s v="SF STRAWBERRY MILKSHAKE 8.4OZ LS"/>
    <s v="SF STRAWBERRY MILKSHAKE"/>
    <d v="2025-02-26T00:00:00"/>
    <x v="2"/>
  </r>
  <r>
    <n v="270"/>
    <s v="20250123"/>
    <n v="39000217412"/>
    <s v="Gotham"/>
    <s v="Detective Comics"/>
    <n v="1"/>
    <s v="SF ICE CREAM 12OZ LS"/>
    <s v="SF ICE CREAM"/>
    <d v="2025-01-23T00:00:00"/>
    <x v="0"/>
  </r>
  <r>
    <n v="271"/>
    <s v="20250203"/>
    <n v="39002684474"/>
    <s v="Salzburg"/>
    <s v="Austria"/>
    <n v="1"/>
    <s v="KETCHUP 12OZ LS"/>
    <s v="KETCHUP"/>
    <d v="2025-02-03T00:00:00"/>
    <x v="2"/>
  </r>
  <r>
    <n v="272"/>
    <s v="20250106"/>
    <n v="39000284921"/>
    <s v="House Stark"/>
    <s v="Westeros"/>
    <n v="2"/>
    <s v="STRAWBERRY MILKSHAKE 12OZ LS"/>
    <s v="STRAWBERRY MILKSHAKE"/>
    <d v="2025-01-06T00:00:00"/>
    <x v="0"/>
  </r>
  <r>
    <n v="273"/>
    <s v="20250305"/>
    <n v="39000220454"/>
    <s v="Gotham"/>
    <s v="Detective Comics"/>
    <n v="8"/>
    <s v="LEMONADE 12OZ 4PK"/>
    <s v="LEMONADE"/>
    <d v="2025-03-05T00:00:00"/>
    <x v="1"/>
  </r>
  <r>
    <n v="274"/>
    <s v="20250121"/>
    <n v="39000264043"/>
    <s v="The Wall"/>
    <s v="Westeros"/>
    <n v="1"/>
    <s v="PICKLE JUICE 12OZ LS"/>
    <s v="PICKLE JUICE"/>
    <d v="2025-01-21T00:00:00"/>
    <x v="0"/>
  </r>
  <r>
    <n v="275"/>
    <s v="20250219"/>
    <n v="39002698189"/>
    <s v="Red Outpost"/>
    <s v="Mars"/>
    <n v="1"/>
    <s v="SPICY MEATBALL 8.4OZ LS"/>
    <s v="SPICY MEATBALL"/>
    <d v="2025-02-19T00:00:00"/>
    <x v="2"/>
  </r>
  <r>
    <n v="276"/>
    <s v="20250107"/>
    <n v="39000217477"/>
    <s v="Gotham"/>
    <s v="Detective Comics"/>
    <n v="1"/>
    <s v="DIET COOKIE 12oz"/>
    <s v="DIET"/>
    <d v="2025-01-07T00:00:00"/>
    <x v="0"/>
  </r>
  <r>
    <n v="277"/>
    <s v="20250204"/>
    <n v="39002422394"/>
    <s v="Scranton"/>
    <s v="Dunder Mifflin"/>
    <n v="-1"/>
    <s v="MAPLE SYRUP 8.4OZ LS"/>
    <s v="MAPLE SYRUP"/>
    <d v="2025-02-04T00:00:00"/>
    <x v="2"/>
  </r>
  <r>
    <n v="278"/>
    <s v="20250218"/>
    <n v="39000278447"/>
    <s v="House Stark"/>
    <s v="Westeros"/>
    <n v="1"/>
    <s v="PICKLE JUICE 12OZ LS"/>
    <s v="PICKLE JUICE"/>
    <d v="2025-02-18T00:00:00"/>
    <x v="2"/>
  </r>
  <r>
    <n v="279"/>
    <s v="20250116"/>
    <n v="39001687660"/>
    <s v="Casa Amor"/>
    <s v="The Villa"/>
    <n v="-0.25"/>
    <s v="WASABI 12OZ LS"/>
    <s v="WASABI"/>
    <d v="2025-01-16T00:00:00"/>
    <x v="0"/>
  </r>
  <r>
    <n v="280"/>
    <s v="20250310"/>
    <n v="39000212771"/>
    <s v="Gotham"/>
    <s v="Detective Comics"/>
    <n v="2"/>
    <s v="VP Mint 8.4OZ 12PK"/>
    <s v="VP Mint"/>
    <d v="2025-03-10T00:00:00"/>
    <x v="1"/>
  </r>
  <r>
    <n v="281"/>
    <s v="20250127"/>
    <n v="39000659711"/>
    <s v="Hoth"/>
    <s v="Hoth"/>
    <n v="1"/>
    <s v="DIET COOKIE 20OZ LS"/>
    <s v="DIET COOKIE"/>
    <d v="2025-01-27T00:00:00"/>
    <x v="0"/>
  </r>
  <r>
    <n v="282"/>
    <s v="20250127"/>
    <n v="39000235820"/>
    <s v="Gotham"/>
    <s v="Detective Comics"/>
    <n v="1"/>
    <s v="DIET SODA 8.4OZ LS"/>
    <s v="DIET SODA"/>
    <d v="2025-01-27T00:00:00"/>
    <x v="0"/>
  </r>
  <r>
    <n v="283"/>
    <s v="20250127"/>
    <n v="39001547416"/>
    <s v="Nashua"/>
    <s v="Dunder Mifflin"/>
    <n v="1"/>
    <s v="SUSHI ROLL 12OZ LS"/>
    <s v="SUSHI ROLL"/>
    <d v="2025-01-27T00:00:00"/>
    <x v="0"/>
  </r>
  <r>
    <n v="284"/>
    <s v="20250307"/>
    <n v="39000962182"/>
    <s v="Mumbai"/>
    <s v="India"/>
    <n v="2"/>
    <s v="LEMONADE 8.4OZ LS"/>
    <s v="LEMONADE"/>
    <d v="2025-03-07T00:00:00"/>
    <x v="1"/>
  </r>
  <r>
    <n v="285"/>
    <s v="20250103"/>
    <n v="39001520285"/>
    <s v="Scranton"/>
    <s v="Dunder Mifflin"/>
    <n v="1"/>
    <s v="KETCHUP 12OZ 4PK"/>
    <s v="KETCHUP"/>
    <d v="2025-01-03T00:00:00"/>
    <x v="0"/>
  </r>
  <r>
    <n v="286"/>
    <s v="20250303"/>
    <n v="39001549743"/>
    <s v="Scranton"/>
    <s v="Dunder Mifflin"/>
    <n v="1"/>
    <s v="STRAWBERRY MILKSHAKE 8.4OZ LS"/>
    <s v="STRAWBERRY MILKSHAKE"/>
    <d v="2025-03-03T00:00:00"/>
    <x v="1"/>
  </r>
  <r>
    <n v="287"/>
    <s v="20250131"/>
    <n v="39000220753"/>
    <s v="Gotham"/>
    <s v="Detective Comics"/>
    <n v="1"/>
    <s v="SPICY MEATBALL 12OZ LS"/>
    <s v="SPICY MEATBALL"/>
    <d v="2025-01-31T00:00:00"/>
    <x v="0"/>
  </r>
  <r>
    <n v="288"/>
    <s v="20250221"/>
    <n v="39001537809"/>
    <s v="Scranton"/>
    <s v="Dunder Mifflin"/>
    <n v="1"/>
    <s v="DIET COOKIE 8.4OZ 12PK"/>
    <s v="DIET COOKIE"/>
    <d v="2025-02-21T00:00:00"/>
    <x v="2"/>
  </r>
  <r>
    <n v="289"/>
    <s v="20250228"/>
    <n v="39000964834"/>
    <s v="Mumbai"/>
    <s v="India"/>
    <n v="1"/>
    <s v="SPICY MEATBALL 12OZ LS"/>
    <s v="SPICY MEATBALL"/>
    <d v="2025-02-28T00:00:00"/>
    <x v="2"/>
  </r>
  <r>
    <n v="290"/>
    <s v="20250109"/>
    <n v="39000590642"/>
    <s v="Rio de Janiero"/>
    <s v="Brasil"/>
    <n v="2"/>
    <s v="DIET COOKIE 12oz"/>
    <s v="DIET"/>
    <d v="2025-01-09T00:00:00"/>
    <x v="0"/>
  </r>
  <r>
    <n v="291"/>
    <s v="20250109"/>
    <n v="39000242281"/>
    <s v="Gotham"/>
    <s v="Detective Comics"/>
    <n v="2"/>
    <s v="BLUEBERRY SMOOTHIE 12oz LS"/>
    <s v="BLUEBERRY SMOOTHIE"/>
    <d v="2025-01-09T00:00:00"/>
    <x v="0"/>
  </r>
  <r>
    <n v="292"/>
    <s v="20250220"/>
    <n v="39001784666"/>
    <s v="Rio de Janiero"/>
    <s v="Brasil"/>
    <n v="4"/>
    <s v="SUSHI ROLL 12OZ LS"/>
    <s v="SUSHI ROLL"/>
    <d v="2025-02-20T00:00:00"/>
    <x v="2"/>
  </r>
  <r>
    <n v="293"/>
    <s v="20250217"/>
    <n v="39000667004"/>
    <s v="Hoth"/>
    <s v="Hoth"/>
    <n v="1"/>
    <s v="SUSHI ROLL 12OZ LS"/>
    <s v="SUSHI ROLL"/>
    <d v="2025-02-17T00:00:00"/>
    <x v="2"/>
  </r>
  <r>
    <n v="294"/>
    <s v="20250106"/>
    <n v="39000215241"/>
    <s v="Metropolis"/>
    <s v="Detective Comics"/>
    <n v="1"/>
    <s v="PEACH COBBLER 12oz LS"/>
    <s v="PEACH COBBLER"/>
    <d v="2025-01-06T00:00:00"/>
    <x v="0"/>
  </r>
  <r>
    <n v="295"/>
    <s v="20250213"/>
    <n v="39000221195"/>
    <s v="Metropolis"/>
    <s v="Detective Comics"/>
    <n v="1"/>
    <s v="SF MAPLE SYRUP 12OZ LS"/>
    <s v="SF MAPLE SYRUP"/>
    <d v="2025-02-13T00:00:00"/>
    <x v="2"/>
  </r>
  <r>
    <n v="296"/>
    <s v="20250219"/>
    <n v="39000228124"/>
    <s v="Gotham"/>
    <s v="Detective Comics"/>
    <n v="1"/>
    <s v="MAPLE SYRUP 12OZ LS"/>
    <s v="MAPLE SYRUP"/>
    <d v="2025-02-19T00:00:00"/>
    <x v="2"/>
  </r>
  <r>
    <n v="297"/>
    <s v="20250219"/>
    <n v="39000203138"/>
    <s v="Metropolis"/>
    <s v="Detective Comics"/>
    <n v="1"/>
    <s v="WASABI BANANA PUDDING 8.4OZ LS"/>
    <s v="WASABI BANANA PUDDING"/>
    <d v="2025-02-19T00:00:00"/>
    <x v="2"/>
  </r>
  <r>
    <n v="298"/>
    <s v="20250307"/>
    <n v="39000948740"/>
    <s v="Mumbai"/>
    <s v="India"/>
    <n v="2"/>
    <s v="LEMONADE 8.4OZ LS"/>
    <s v="LEMONADE"/>
    <d v="2025-03-07T00:00:00"/>
    <x v="1"/>
  </r>
  <r>
    <n v="299"/>
    <s v="20250128"/>
    <n v="39000965029"/>
    <s v="Mumbai"/>
    <s v="India"/>
    <n v="2"/>
    <s v="PICKLE JUICE 12OZ LS"/>
    <s v="PICKLE JUICE"/>
    <d v="2025-01-28T00:00:00"/>
    <x v="0"/>
  </r>
  <r>
    <n v="300"/>
    <s v="20250102"/>
    <n v="39000220857"/>
    <s v="Gotham"/>
    <s v="Detective Comics"/>
    <n v="1"/>
    <s v="DIET COOKIE 12OZ 4PK"/>
    <s v="DIET COOKIE"/>
    <d v="2025-01-02T00:00:00"/>
    <x v="0"/>
  </r>
  <r>
    <n v="301"/>
    <s v="20250103"/>
    <n v="39000213252"/>
    <s v="Gotham"/>
    <s v="Detective Comics"/>
    <n v="1"/>
    <s v="BLUEBERRY SMOOTHIE 12oz LS"/>
    <s v="BLUEBERRY SMOOTHIE"/>
    <d v="2025-01-03T00:00:00"/>
    <x v="0"/>
  </r>
  <r>
    <n v="302"/>
    <s v="20250213"/>
    <n v="39000213213"/>
    <s v="Metropolis"/>
    <s v="Detective Comics"/>
    <n v="-2"/>
    <s v="DIET COOKIE 12oz"/>
    <s v="DIET"/>
    <d v="2025-02-13T00:00:00"/>
    <x v="2"/>
  </r>
  <r>
    <n v="303"/>
    <s v="20250210"/>
    <n v="39000592384"/>
    <s v="Rio de Janiero"/>
    <s v="Brasil"/>
    <n v="1"/>
    <s v="DIET COOKIE 8.4OZ 4PK"/>
    <s v="DIET COOKIE"/>
    <d v="2025-02-10T00:00:00"/>
    <x v="2"/>
  </r>
  <r>
    <n v="304"/>
    <s v="20250103"/>
    <n v="39000215449"/>
    <s v="Gotham"/>
    <s v="Detective Comics"/>
    <n v="1"/>
    <s v="SF KETCHUP 12OZ LS"/>
    <s v="SF KETCHUP"/>
    <d v="2025-01-03T00:00:00"/>
    <x v="0"/>
  </r>
  <r>
    <n v="305"/>
    <s v="20250227"/>
    <n v="39000232284"/>
    <s v="Metropolis"/>
    <s v="Detective Comics"/>
    <n v="1"/>
    <s v="SF SUSHI ROLL 12OZ LS"/>
    <s v="SF SUSHI ROLL"/>
    <d v="2025-02-27T00:00:00"/>
    <x v="2"/>
  </r>
  <r>
    <n v="306"/>
    <s v="20250127"/>
    <n v="39000584766"/>
    <s v="Rio de Janiero"/>
    <s v="Brasil"/>
    <n v="1"/>
    <s v="DIET COOKIE 16OZ LS"/>
    <s v="DIET COOKIE"/>
    <d v="2025-01-27T00:00:00"/>
    <x v="0"/>
  </r>
  <r>
    <n v="307"/>
    <s v="20250204"/>
    <n v="39001675934"/>
    <s v="Scranton"/>
    <s v="Dunder Mifflin"/>
    <n v="1"/>
    <s v="DIET COOKIE 8.4OZ LS"/>
    <s v="DIET COOKIE"/>
    <d v="2025-02-04T00:00:00"/>
    <x v="2"/>
  </r>
  <r>
    <n v="308"/>
    <s v="20250203"/>
    <n v="39000949832"/>
    <s v="Mumbai"/>
    <s v="India"/>
    <n v="1"/>
    <s v="COCONUT MILK 12oz LS"/>
    <s v="COCONUT MILK"/>
    <d v="2025-02-03T00:00:00"/>
    <x v="2"/>
  </r>
  <r>
    <n v="309"/>
    <s v="20250221"/>
    <n v="39000264199"/>
    <s v="The Wall"/>
    <s v="Westeros"/>
    <n v="4"/>
    <s v="SPICY MEATBALL 12OZ LS"/>
    <s v="SPICY MEATBALL"/>
    <d v="2025-02-21T00:00:00"/>
    <x v="2"/>
  </r>
  <r>
    <n v="310"/>
    <s v="20250124"/>
    <n v="39000336232"/>
    <s v="Red Outpost"/>
    <s v="Mars"/>
    <n v="1"/>
    <s v="WASABI BANANA PUDDING 12OZ LS"/>
    <s v="WASABI BANANA PUDDING"/>
    <d v="2025-01-24T00:00:00"/>
    <x v="0"/>
  </r>
  <r>
    <n v="311"/>
    <s v="20250127"/>
    <n v="39002406742"/>
    <s v="Rio de Janiero"/>
    <s v="Brasil"/>
    <n v="1"/>
    <s v="SF ICE CREAM 8.4OZ LS"/>
    <s v="SF ICE CREAM"/>
    <d v="2025-01-27T00:00:00"/>
    <x v="0"/>
  </r>
  <r>
    <n v="312"/>
    <s v="20250304"/>
    <n v="39000226681"/>
    <s v="Gotham"/>
    <s v="Detective Comics"/>
    <n v="1"/>
    <s v="SF STRAWBERRY MILKSHAKE 8.4OZ LS"/>
    <s v="SF STRAWBERRY MILKSHAKE"/>
    <d v="2025-03-04T00:00:00"/>
    <x v="1"/>
  </r>
  <r>
    <n v="313"/>
    <s v="20250206"/>
    <n v="39002793232"/>
    <s v="Salzburg"/>
    <s v="Austria"/>
    <n v="3"/>
    <s v="SPICY MEATBALL 12OZ LS"/>
    <s v="SPICY MEATBALL"/>
    <d v="2025-02-06T00:00:00"/>
    <x v="2"/>
  </r>
  <r>
    <n v="314"/>
    <s v="20250226"/>
    <n v="39002753322"/>
    <s v="The Wall"/>
    <s v="Westeros"/>
    <n v="1"/>
    <s v="SPICY MEATBALL 8.4OZ LS"/>
    <s v="SPICY MEATBALL"/>
    <d v="2025-02-26T00:00:00"/>
    <x v="2"/>
  </r>
  <r>
    <n v="315"/>
    <s v="20250304"/>
    <n v="39000263848"/>
    <s v="The Wall"/>
    <s v="Westeros"/>
    <n v="1"/>
    <s v="SPICY MEATBALL 20oz LS"/>
    <s v="SPICY MEATBALL"/>
    <d v="2025-03-04T00:00:00"/>
    <x v="1"/>
  </r>
  <r>
    <n v="316"/>
    <s v="20250129"/>
    <n v="39000282438"/>
    <s v="House Stark"/>
    <s v="Westeros"/>
    <n v="1"/>
    <s v="PEACH COBBLER 12oz LS"/>
    <s v="PEACH COBBLER"/>
    <d v="2025-01-29T00:00:00"/>
    <x v="0"/>
  </r>
  <r>
    <n v="317"/>
    <s v="20250228"/>
    <n v="39001719055"/>
    <s v="Casa Amor"/>
    <s v="The Villa"/>
    <n v="1"/>
    <s v="LEMONADE 8.4OZ LS"/>
    <s v="LEMONADE"/>
    <d v="2025-02-28T00:00:00"/>
    <x v="2"/>
  </r>
  <r>
    <n v="318"/>
    <s v="20250115"/>
    <n v="39000208442"/>
    <s v="Gotham"/>
    <s v="Detective Comics"/>
    <n v="2"/>
    <s v="SPICY MEATBALL 16OZ LS"/>
    <s v="SPICY MEATBALL"/>
    <d v="2025-01-15T00:00:00"/>
    <x v="0"/>
  </r>
  <r>
    <n v="319"/>
    <s v="20250219"/>
    <n v="39000220285"/>
    <s v="Metropolis"/>
    <s v="Detective Comics"/>
    <n v="2"/>
    <s v="SPICY MEATBALL 12OZ 4PK"/>
    <s v="SPICY MEATBALL"/>
    <d v="2025-02-19T00:00:00"/>
    <x v="2"/>
  </r>
  <r>
    <n v="320"/>
    <s v="20250219"/>
    <n v="39000957164"/>
    <s v="Mumbai"/>
    <s v="India"/>
    <n v="1"/>
    <s v="SPICY MEATBALL 20oz LS"/>
    <s v="SPICY MEATBALL"/>
    <d v="2025-02-19T00:00:00"/>
    <x v="2"/>
  </r>
  <r>
    <n v="321"/>
    <s v="20250219"/>
    <n v="39001586832"/>
    <s v="Scranton"/>
    <s v="Dunder Mifflin"/>
    <n v="2"/>
    <s v="COCONUT MILK 12oz LS"/>
    <s v="COCONUT MILK"/>
    <d v="2025-02-19T00:00:00"/>
    <x v="2"/>
  </r>
  <r>
    <n v="322"/>
    <s v="20250109"/>
    <n v="39002320500"/>
    <s v="Santas Workshop"/>
    <s v="North Pole"/>
    <n v="1"/>
    <s v="DIET COOKIE 16OZ LS"/>
    <s v="DIET COOKIE"/>
    <d v="2025-01-09T00:00:00"/>
    <x v="0"/>
  </r>
  <r>
    <n v="323"/>
    <s v="20250121"/>
    <n v="39001955655"/>
    <s v="Metropolis"/>
    <s v="Detective Comics"/>
    <n v="1"/>
    <s v="SUSHI ROLL 12OZ LS"/>
    <s v="SUSHI ROLL"/>
    <d v="2025-01-21T00:00:00"/>
    <x v="0"/>
  </r>
  <r>
    <n v="324"/>
    <s v="20250306"/>
    <n v="39001519583"/>
    <s v="Scranton"/>
    <s v="Dunder Mifflin"/>
    <n v="1"/>
    <s v="DIET COOKIE 8.4OZ 4PK"/>
    <s v="DIET COOKIE"/>
    <d v="2025-03-06T00:00:00"/>
    <x v="1"/>
  </r>
  <r>
    <n v="325"/>
    <s v="20250123"/>
    <n v="39000657267"/>
    <s v="Hoth"/>
    <s v="Hoth"/>
    <n v="2"/>
    <s v="COCONUT MILK 8.4OZ LS"/>
    <s v="COCONUT MILK"/>
    <d v="2025-01-23T00:00:00"/>
    <x v="0"/>
  </r>
  <r>
    <n v="326"/>
    <s v="20250128"/>
    <n v="39000218257"/>
    <s v="Metropolis"/>
    <s v="Detective Comics"/>
    <n v="1"/>
    <s v="MAPLE SYRUP 8.4OZ LS"/>
    <s v="MAPLE SYRUP"/>
    <d v="2025-01-28T00:00:00"/>
    <x v="0"/>
  </r>
  <r>
    <n v="327"/>
    <s v="20250304"/>
    <n v="39000264381"/>
    <s v="The Wall"/>
    <s v="Westeros"/>
    <n v="1"/>
    <s v="DIET COOKIE 8.4OZ LS"/>
    <s v="DIET COOKIE"/>
    <d v="2025-03-04T00:00:00"/>
    <x v="1"/>
  </r>
  <r>
    <n v="328"/>
    <s v="20250206"/>
    <n v="39000284765"/>
    <s v="House Stark"/>
    <s v="Westeros"/>
    <n v="1"/>
    <s v="SPICY MEATBALL 8.4oz 4PK"/>
    <s v="SPICY MEATBALL"/>
    <d v="2025-02-06T00:00:00"/>
    <x v="2"/>
  </r>
  <r>
    <n v="329"/>
    <s v="20250303"/>
    <n v="39000587405"/>
    <s v="Rio de Janiero"/>
    <s v="Brasil"/>
    <n v="1"/>
    <s v="SF STRAWBERRY MILKSHAKE 12OZ LS"/>
    <s v="SF STRAWBERRY MILKSHAKE"/>
    <d v="2025-03-03T00:00:00"/>
    <x v="1"/>
  </r>
  <r>
    <n v="330"/>
    <s v="20250107"/>
    <n v="39002180204"/>
    <s v="Casa Amor"/>
    <s v="The Villa"/>
    <n v="1"/>
    <s v="SF MAPLE SYRUP 12OZ LS"/>
    <s v="SF MAPLE SYRUP"/>
    <d v="2025-01-07T00:00:00"/>
    <x v="0"/>
  </r>
  <r>
    <n v="331"/>
    <s v="20250129"/>
    <n v="39000338676"/>
    <s v="Red Outpost"/>
    <s v="Mars"/>
    <n v="1"/>
    <s v="KETCHUP 12OZ LS"/>
    <s v="KETCHUP"/>
    <d v="2025-01-29T00:00:00"/>
    <x v="0"/>
  </r>
  <r>
    <n v="332"/>
    <s v="20250110"/>
    <n v="39002389387"/>
    <s v="Red Outpost"/>
    <s v="Mars"/>
    <n v="1"/>
    <s v="SF MAPLE SYRUP 12OZ LS"/>
    <s v="SF MAPLE SYRUP"/>
    <d v="2025-01-10T00:00:00"/>
    <x v="0"/>
  </r>
  <r>
    <n v="333"/>
    <s v="20250305"/>
    <n v="39001766349"/>
    <s v="Red Outpost"/>
    <s v="Mars"/>
    <n v="2"/>
    <s v="BLUEBERRY SMOOTHIE 12oz LS"/>
    <s v="BLUEBERRY SMOOTHIE"/>
    <d v="2025-03-05T00:00:00"/>
    <x v="1"/>
  </r>
  <r>
    <n v="334"/>
    <s v="20250109"/>
    <n v="39001761019"/>
    <s v="The Wall"/>
    <s v="Westeros"/>
    <n v="1"/>
    <s v="BLUEBERRY SMOOTHIE 12oz LS"/>
    <s v="BLUEBERRY SMOOTHIE"/>
    <d v="2025-01-09T00:00:00"/>
    <x v="0"/>
  </r>
  <r>
    <n v="335"/>
    <s v="20250109"/>
    <n v="39000668213"/>
    <s v="Hoth"/>
    <s v="Hoth"/>
    <n v="2"/>
    <s v="DIET SODA 12OZ LS"/>
    <s v="DIET SODA"/>
    <d v="2025-01-09T00:00:00"/>
    <x v="0"/>
  </r>
  <r>
    <n v="336"/>
    <s v="20250123"/>
    <n v="39000954824"/>
    <s v="Mumbai"/>
    <s v="India"/>
    <n v="1"/>
    <s v="KETCHUP 12OZ LS"/>
    <s v="KETCHUP"/>
    <d v="2025-01-23T00:00:00"/>
    <x v="0"/>
  </r>
  <r>
    <n v="337"/>
    <s v="20250212"/>
    <n v="39002389283"/>
    <s v="Red Outpost"/>
    <s v="Mars"/>
    <n v="2"/>
    <s v="KETCHUP 12OZ LS"/>
    <s v="KETCHUP"/>
    <d v="2025-02-12T00:00:00"/>
    <x v="2"/>
  </r>
  <r>
    <n v="338"/>
    <s v="20250225"/>
    <n v="39000957294"/>
    <s v="Mumbai"/>
    <s v="India"/>
    <n v="1"/>
    <s v="SF KETCHUP 12OZ LS"/>
    <s v="SF KETCHUP"/>
    <d v="2025-02-25T00:00:00"/>
    <x v="2"/>
  </r>
  <r>
    <n v="339"/>
    <s v="20250116"/>
    <n v="39001548274"/>
    <s v="Scranton"/>
    <s v="Dunder Mifflin"/>
    <n v="1"/>
    <s v="SF STRAWBERRY MILKSHAKE 12OZ LS"/>
    <s v="SF STRAWBERRY MILKSHAKE"/>
    <d v="2025-01-16T00:00:00"/>
    <x v="0"/>
  </r>
  <r>
    <n v="340"/>
    <s v="20250304"/>
    <n v="39002401633"/>
    <s v="Red Outpost"/>
    <s v="Mars"/>
    <n v="1"/>
    <s v="SUSHI ROLL 12OZ LS"/>
    <s v="SUSHI ROLL"/>
    <d v="2025-03-04T00:00:00"/>
    <x v="1"/>
  </r>
  <r>
    <n v="341"/>
    <s v="20250228"/>
    <n v="39001967849"/>
    <s v="The Wall"/>
    <s v="Westeros"/>
    <n v="2"/>
    <s v="SPICY MEATBALL 16OZ LS"/>
    <s v="SPICY MEATBALL"/>
    <d v="2025-02-28T00:00:00"/>
    <x v="2"/>
  </r>
  <r>
    <n v="342"/>
    <s v="20250129"/>
    <n v="39000979550"/>
    <s v="Mumbai"/>
    <s v="India"/>
    <n v="1"/>
    <s v="DIET COOKIE 12oz"/>
    <s v="DIET"/>
    <d v="2025-01-29T00:00:00"/>
    <x v="0"/>
  </r>
  <r>
    <n v="343"/>
    <s v="20250113"/>
    <n v="39000264576"/>
    <s v="The Wall"/>
    <s v="Westeros"/>
    <n v="1"/>
    <s v="MAPLE SYRUP 8.4OZ 4PK"/>
    <s v="MAPLE SYRUP"/>
    <d v="2025-01-13T00:00:00"/>
    <x v="0"/>
  </r>
  <r>
    <n v="344"/>
    <s v="20250211"/>
    <n v="39001481792"/>
    <s v="Scranton"/>
    <s v="Dunder Mifflin"/>
    <n v="1"/>
    <s v="SUSHI ROLL 12OZ LS"/>
    <s v="SUSHI ROLL"/>
    <d v="2025-02-11T00:00:00"/>
    <x v="2"/>
  </r>
  <r>
    <n v="345"/>
    <s v="20250117"/>
    <n v="39000340873"/>
    <s v="Red Outpost"/>
    <s v="Mars"/>
    <n v="5"/>
    <s v="SPICY MEATBALL 12OZ LS"/>
    <s v="SPICY MEATBALL"/>
    <d v="2025-01-17T00:00:00"/>
    <x v="0"/>
  </r>
  <r>
    <n v="346"/>
    <s v="20250123"/>
    <n v="39001535950"/>
    <s v="Nashua"/>
    <s v="Dunder Mifflin"/>
    <n v="1"/>
    <s v="DIET SODA 12OZ LS"/>
    <s v="DIET SODA"/>
    <d v="2025-01-23T00:00:00"/>
    <x v="0"/>
  </r>
  <r>
    <n v="347"/>
    <s v="20250107"/>
    <n v="39000240981"/>
    <s v="Gotham"/>
    <s v="Detective Comics"/>
    <n v="2"/>
    <s v="SPICY MEATBALL 12OZ LS"/>
    <s v="SPICY MEATBALL"/>
    <d v="2025-01-07T00:00:00"/>
    <x v="0"/>
  </r>
  <r>
    <n v="348"/>
    <s v="20250228"/>
    <n v="39000333216"/>
    <s v="Red Outpost"/>
    <s v="Mars"/>
    <n v="1"/>
    <s v="LEMONADE 12OZ LS"/>
    <s v="LEMONADE"/>
    <d v="2025-02-28T00:00:00"/>
    <x v="2"/>
  </r>
  <r>
    <n v="349"/>
    <s v="20250211"/>
    <n v="39000666653"/>
    <s v="Hoth"/>
    <s v="Hoth"/>
    <n v="1"/>
    <s v="SPICY MEATBALL 16OZ LS"/>
    <s v="SPICY MEATBALL"/>
    <d v="2025-02-11T00:00:00"/>
    <x v="2"/>
  </r>
  <r>
    <n v="350"/>
    <s v="20250219"/>
    <n v="39000240643"/>
    <s v="Gotham"/>
    <s v="Detective Comics"/>
    <n v="1"/>
    <s v="DIET COOKIE 12oz"/>
    <s v="DIET"/>
    <d v="2025-02-19T00:00:00"/>
    <x v="2"/>
  </r>
  <r>
    <n v="351"/>
    <s v="20250219"/>
    <n v="39000280306"/>
    <s v="House Stark"/>
    <s v="Westeros"/>
    <n v="4"/>
    <s v="SPICY MEATBALL 12OZ LS"/>
    <s v="SPICY MEATBALL"/>
    <d v="2025-02-19T00:00:00"/>
    <x v="2"/>
  </r>
  <r>
    <n v="352"/>
    <s v="20250115"/>
    <n v="39000228917"/>
    <s v="Gotham"/>
    <s v="Detective Comics"/>
    <n v="1"/>
    <s v="BLUEBERRY SMOOTHIE 8.4OZ LS"/>
    <s v="BLUEBERRY SMOOTHIE"/>
    <d v="2025-01-15T00:00:00"/>
    <x v="0"/>
  </r>
  <r>
    <n v="353"/>
    <s v="20250227"/>
    <n v="39001955590"/>
    <s v="Metropolis"/>
    <s v="Detective Comics"/>
    <n v="2"/>
    <s v="SPICY MEATBALL 8.4OZ LS"/>
    <s v="SPICY MEATBALL"/>
    <d v="2025-02-27T00:00:00"/>
    <x v="2"/>
  </r>
  <r>
    <n v="354"/>
    <s v="20250130"/>
    <n v="39000284869"/>
    <s v="House Stark"/>
    <s v="Westeros"/>
    <n v="1"/>
    <s v="SF KETCHUP 12OZ 4P"/>
    <s v="SF KETCHUP"/>
    <d v="2025-01-30T00:00:00"/>
    <x v="0"/>
  </r>
  <r>
    <n v="355"/>
    <s v="20250225"/>
    <n v="39000212849"/>
    <s v="Gotham"/>
    <s v="Detective Comics"/>
    <n v="-0.125"/>
    <s v="DIET COOKIE 12oz"/>
    <s v="DIET"/>
    <d v="2025-02-25T00:00:00"/>
    <x v="2"/>
  </r>
  <r>
    <n v="356"/>
    <s v="20250228"/>
    <n v="39000655525"/>
    <s v="Hoth"/>
    <s v="Hoth"/>
    <n v="1"/>
    <s v="SF STRAWBERRY MILKSHAKE 12OZ LS"/>
    <s v="SF STRAWBERRY MILKSHAKE"/>
    <d v="2025-02-28T00:00:00"/>
    <x v="2"/>
  </r>
  <r>
    <n v="357"/>
    <s v="20250307"/>
    <n v="39001716754"/>
    <s v="Casa Amor"/>
    <s v="The Villa"/>
    <n v="2"/>
    <s v="WASABI BANANA PUDDING 12OZ LS"/>
    <s v="WASABI BANANA PUDDING"/>
    <d v="2025-03-07T00:00:00"/>
    <x v="1"/>
  </r>
  <r>
    <n v="358"/>
    <s v="20250206"/>
    <n v="39000590759"/>
    <s v="Rio de Janiero"/>
    <s v="Brasil"/>
    <n v="1"/>
    <s v="PICKLE JUICE 8.4OZ LS"/>
    <s v="PICKLE JUICE"/>
    <d v="2025-02-06T00:00:00"/>
    <x v="2"/>
  </r>
  <r>
    <n v="359"/>
    <s v="20250306"/>
    <n v="39000590642"/>
    <s v="Rio de Janiero"/>
    <s v="Brasil"/>
    <n v="2"/>
    <s v="SF LEMONADE 12OZ LS"/>
    <s v="SF LEMONADE"/>
    <d v="2025-03-06T00:00:00"/>
    <x v="1"/>
  </r>
  <r>
    <n v="360"/>
    <s v="20250113"/>
    <n v="39000334191"/>
    <s v="Red Outpost"/>
    <s v="Mars"/>
    <n v="1"/>
    <s v="DIET COOKIE 12oz"/>
    <s v="DIET"/>
    <d v="2025-01-13T00:00:00"/>
    <x v="0"/>
  </r>
  <r>
    <n v="361"/>
    <s v="20250307"/>
    <n v="39000338468"/>
    <s v="Red Outpost"/>
    <s v="Mars"/>
    <n v="1"/>
    <s v="SF STRAWBERRY MILKSHAKE 12OZ LS"/>
    <s v="SF STRAWBERRY MILKSHAKE"/>
    <d v="2025-03-07T00:00:00"/>
    <x v="1"/>
  </r>
  <r>
    <n v="362"/>
    <s v="20250305"/>
    <n v="39000234585"/>
    <s v="Gotham"/>
    <s v="Detective Comics"/>
    <n v="-8.3000000000000004E-2"/>
    <s v="WASABI BANANA PUDDING 12OZ LS"/>
    <s v="WASABI BANANA PUDDING"/>
    <d v="2025-03-05T00:00:00"/>
    <x v="1"/>
  </r>
  <r>
    <n v="363"/>
    <s v="20250228"/>
    <n v="39000592592"/>
    <s v="Rio de Janiero"/>
    <s v="Brasil"/>
    <n v="1"/>
    <s v="SF LEMONADE 8.4OZ LS"/>
    <s v="SF LEMONADE"/>
    <d v="2025-02-28T00:00:00"/>
    <x v="2"/>
  </r>
  <r>
    <n v="364"/>
    <s v="20250224"/>
    <n v="39000282191"/>
    <s v="House Stark"/>
    <s v="Westeros"/>
    <n v="1"/>
    <s v="PICKLE JUICE 12OZ LS"/>
    <s v="PICKLE JUICE"/>
    <d v="2025-02-24T00:00:00"/>
    <x v="2"/>
  </r>
  <r>
    <n v="365"/>
    <s v="20250228"/>
    <n v="39000415987"/>
    <s v="Red Outpost"/>
    <s v="Mars"/>
    <n v="1"/>
    <s v="SF STRAWBERRY MILKSHAKE 8.4OZ LS"/>
    <s v="SF STRAWBERRY MILKSHAKE"/>
    <d v="2025-02-28T00:00:00"/>
    <x v="2"/>
  </r>
  <r>
    <n v="366"/>
    <s v="20250107"/>
    <n v="39000659282"/>
    <s v="Hoth"/>
    <s v="Hoth"/>
    <n v="1"/>
    <s v="SF MAPLE SYRUP 12OZ LS"/>
    <s v="SF MAPLE SYRUP"/>
    <d v="2025-01-07T00:00:00"/>
    <x v="0"/>
  </r>
  <r>
    <n v="367"/>
    <s v="20250110"/>
    <n v="39001393002"/>
    <s v="Scranton"/>
    <s v="Dunder Mifflin"/>
    <n v="2"/>
    <s v="DIET SODA 8.4OZ LS"/>
    <s v="DIET SODA"/>
    <d v="2025-01-10T00:00:00"/>
    <x v="0"/>
  </r>
  <r>
    <n v="368"/>
    <s v="20250214"/>
    <n v="39000661817"/>
    <s v="Hoth"/>
    <s v="Hoth"/>
    <n v="-1.167"/>
    <s v="SPICY MEATBALL 8.4OZ LS"/>
    <s v="SPICY MEATBALL"/>
    <d v="2025-02-14T00:00:00"/>
    <x v="2"/>
  </r>
  <r>
    <n v="369"/>
    <s v="20250305"/>
    <n v="39001782040"/>
    <s v="Casa Amor"/>
    <s v="The Villa"/>
    <n v="-0.91700000000000004"/>
    <s v="KETCHUP 8.4OZ LS"/>
    <s v="KETCHUP"/>
    <d v="2025-03-05T00:00:00"/>
    <x v="1"/>
  </r>
  <r>
    <n v="370"/>
    <s v="20250106"/>
    <n v="39000271544"/>
    <s v="The Wall"/>
    <s v="Westeros"/>
    <n v="1"/>
    <s v="DIET SODA 12OZ LS"/>
    <s v="DIET SODA"/>
    <d v="2025-01-06T00:00:00"/>
    <x v="0"/>
  </r>
  <r>
    <n v="371"/>
    <s v="20250226"/>
    <n v="39000661765"/>
    <s v="Hoth"/>
    <s v="Hoth"/>
    <n v="1"/>
    <s v="SF LEMONADE 8.4OZ LS"/>
    <s v="SF LEMONADE"/>
    <d v="2025-02-26T00:00:00"/>
    <x v="2"/>
  </r>
  <r>
    <n v="372"/>
    <s v="20250221"/>
    <n v="39001488617"/>
    <s v="Scranton"/>
    <s v="Dunder Mifflin"/>
    <n v="1"/>
    <s v="COCONUT MILK 12oz LS"/>
    <s v="COCONUT MILK"/>
    <d v="2025-02-21T00:00:00"/>
    <x v="2"/>
  </r>
  <r>
    <n v="373"/>
    <s v="20250213"/>
    <n v="39001520155"/>
    <s v="Scranton"/>
    <s v="Dunder Mifflin"/>
    <n v="1"/>
    <s v="SPICY MEATBALL 12OZ 4PK"/>
    <s v="SPICY MEATBALL"/>
    <d v="2025-02-13T00:00:00"/>
    <x v="2"/>
  </r>
  <r>
    <n v="374"/>
    <s v="20250103"/>
    <n v="39000238043"/>
    <s v="Gotham"/>
    <s v="Detective Comics"/>
    <n v="1"/>
    <s v="AVOCADO TOAST 12oz LS"/>
    <s v="AVOCADO TOAST"/>
    <d v="2025-01-03T00:00:00"/>
    <x v="0"/>
  </r>
  <r>
    <n v="375"/>
    <s v="20250115"/>
    <n v="39000203346"/>
    <s v="Gotham"/>
    <s v="Detective Comics"/>
    <n v="1"/>
    <s v="AVOCADO TOAST 8.4oz LS"/>
    <s v="AVOCADO TOAST"/>
    <d v="2025-01-15T00:00:00"/>
    <x v="0"/>
  </r>
  <r>
    <n v="376"/>
    <s v="20250102"/>
    <n v="39000412009"/>
    <s v="Red Outpost"/>
    <s v="Mars"/>
    <n v="1"/>
    <s v="SPICY MEATBALL 8.4OZ LS"/>
    <s v="SPICY MEATBALL"/>
    <d v="2025-01-02T00:00:00"/>
    <x v="0"/>
  </r>
  <r>
    <n v="377"/>
    <s v="20250212"/>
    <n v="39000341939"/>
    <s v="Red Outpost"/>
    <s v="Mars"/>
    <n v="1"/>
    <s v="COCONUT MILK 12oz LS"/>
    <s v="COCONUT MILK"/>
    <d v="2025-02-12T00:00:00"/>
    <x v="2"/>
  </r>
  <r>
    <n v="378"/>
    <s v="20250306"/>
    <n v="39001690559"/>
    <s v="Casa Amor"/>
    <s v="The Villa"/>
    <n v="2"/>
    <s v="MAPLE SYRUP 12OZ LS"/>
    <s v="MAPLE SYRUP"/>
    <d v="2025-03-06T00:00:00"/>
    <x v="1"/>
  </r>
  <r>
    <n v="379"/>
    <s v="20250213"/>
    <n v="39000206414"/>
    <s v="Gotham"/>
    <s v="Detective Comics"/>
    <n v="3"/>
    <s v="SPICY MEATBALL 16OZ LS"/>
    <s v="SPICY MEATBALL"/>
    <d v="2025-02-13T00:00:00"/>
    <x v="2"/>
  </r>
  <r>
    <n v="380"/>
    <s v="20250225"/>
    <n v="39000667043"/>
    <s v="Hoth"/>
    <s v="Hoth"/>
    <n v="2"/>
    <s v="SF MAPLE SYRUP 12OZ LS"/>
    <s v="SF MAPLE SYRUP"/>
    <d v="2025-02-25T00:00:00"/>
    <x v="2"/>
  </r>
  <r>
    <n v="381"/>
    <s v="20250226"/>
    <n v="39001674543"/>
    <s v="Hoth"/>
    <s v="Hoth"/>
    <n v="2"/>
    <s v="STRAWBERRY MILKSHAKE 8.4OZ LS"/>
    <s v="STRAWBERRY MILKSHAKE"/>
    <d v="2025-02-26T00:00:00"/>
    <x v="2"/>
  </r>
  <r>
    <n v="382"/>
    <s v="20250123"/>
    <n v="39000957047"/>
    <s v="Mumbai"/>
    <s v="India"/>
    <n v="1"/>
    <s v="SPICY MEATBALL 8.4OZ LS"/>
    <s v="SPICY MEATBALL"/>
    <d v="2025-01-23T00:00:00"/>
    <x v="0"/>
  </r>
  <r>
    <n v="383"/>
    <s v="20250310"/>
    <n v="39000657813"/>
    <s v="Hoth"/>
    <s v="Hoth"/>
    <n v="1"/>
    <s v="SF STRAWBERRY MILKSHAKE 8.4OZ LS"/>
    <s v="SF STRAWBERRY MILKSHAKE"/>
    <d v="2025-03-10T00:00:00"/>
    <x v="1"/>
  </r>
  <r>
    <n v="384"/>
    <s v="20250305"/>
    <n v="39000197158"/>
    <s v="Gotham"/>
    <s v="Detective Comics"/>
    <n v="2"/>
    <s v="LEMONADE 12OZ LS"/>
    <s v="LEMONADE"/>
    <d v="2025-03-05T00:00:00"/>
    <x v="1"/>
  </r>
  <r>
    <n v="385"/>
    <s v="20250217"/>
    <n v="39000662168"/>
    <s v="Hoth"/>
    <s v="Hoth"/>
    <n v="1"/>
    <s v="BLUEBERRY SMOOTHIE 12oz LS"/>
    <s v="BLUEBERRY SMOOTHIE"/>
    <d v="2025-02-17T00:00:00"/>
    <x v="2"/>
  </r>
  <r>
    <n v="386"/>
    <s v="20250305"/>
    <n v="39000951353"/>
    <s v="Mumbai"/>
    <s v="India"/>
    <n v="1"/>
    <s v="SF SUSHI ROLL 12OZ LS"/>
    <s v="SF SUSHI ROLL"/>
    <d v="2025-03-05T00:00:00"/>
    <x v="1"/>
  </r>
  <r>
    <n v="387"/>
    <s v="20250210"/>
    <n v="39001520233"/>
    <s v="Scranton"/>
    <s v="Dunder Mifflin"/>
    <n v="1"/>
    <s v="SPICY MEATBALL 8.4oz 4PK"/>
    <s v="SPICY MEATBALL"/>
    <d v="2025-02-10T00:00:00"/>
    <x v="2"/>
  </r>
  <r>
    <n v="388"/>
    <s v="20250219"/>
    <n v="39000658554"/>
    <s v="Hoth"/>
    <s v="Hoth"/>
    <n v="1"/>
    <s v="MAPLE SYRUP 12OZ LS"/>
    <s v="MAPLE SYRUP"/>
    <d v="2025-02-19T00:00:00"/>
    <x v="2"/>
  </r>
  <r>
    <n v="389"/>
    <s v="20250307"/>
    <n v="39000968721"/>
    <s v="Mumbai"/>
    <s v="India"/>
    <n v="1"/>
    <s v="STRAWBERRY MILKSHAKE 8.4OZ LS"/>
    <s v="STRAWBERRY MILKSHAKE"/>
    <d v="2025-03-07T00:00:00"/>
    <x v="1"/>
  </r>
  <r>
    <n v="390"/>
    <s v="20250212"/>
    <n v="39000229970"/>
    <s v="Gotham"/>
    <s v="Detective Comics"/>
    <n v="2"/>
    <s v="DIET COOKIE 8.4OZ LS"/>
    <s v="DIET COOKIE"/>
    <d v="2025-02-12T00:00:00"/>
    <x v="2"/>
  </r>
  <r>
    <n v="391"/>
    <s v="20250121"/>
    <n v="39001537796"/>
    <s v="Nashua"/>
    <s v="Dunder Mifflin"/>
    <n v="1"/>
    <s v="SPICY MEATBALL 8.4OZ LS"/>
    <s v="SPICY MEATBALL"/>
    <d v="2025-01-21T00:00:00"/>
    <x v="0"/>
  </r>
  <r>
    <n v="392"/>
    <s v="20250213"/>
    <n v="39000732069"/>
    <s v="Salzburg"/>
    <s v="Austria"/>
    <n v="1"/>
    <s v="SF MAPLE SYRUP 12OZ LS"/>
    <s v="SF MAPLE SYRUP"/>
    <d v="2025-02-13T00:00:00"/>
    <x v="2"/>
  </r>
  <r>
    <n v="393"/>
    <s v="20250205"/>
    <n v="39000219817"/>
    <s v="Gotham"/>
    <s v="Detective Comics"/>
    <n v="-4.2000000000000003E-2"/>
    <s v="KETCHUP 8.4OZ LS"/>
    <s v="KETCHUP"/>
    <d v="2025-02-05T00:00:00"/>
    <x v="2"/>
  </r>
  <r>
    <n v="394"/>
    <s v="20250102"/>
    <n v="39000232570"/>
    <s v="Gotham"/>
    <s v="Detective Comics"/>
    <n v="1"/>
    <s v="SPICY MEATBALL 16OZ LS"/>
    <s v="SPICY MEATBALL"/>
    <d v="2025-01-02T00:00:00"/>
    <x v="0"/>
  </r>
  <r>
    <n v="395"/>
    <s v="20250102"/>
    <n v="39002314208"/>
    <s v="Santas Workshop"/>
    <s v="North Pole"/>
    <n v="-0.5"/>
    <s v="MAPLE SYRUP 8.4OZ 4PK"/>
    <s v="MAPLE SYRUP"/>
    <d v="2025-01-02T00:00:00"/>
    <x v="0"/>
  </r>
  <r>
    <n v="396"/>
    <s v="20250106"/>
    <n v="39000657020"/>
    <s v="Hoth"/>
    <s v="Hoth"/>
    <n v="1"/>
    <s v="SUSHI ROLL 8.4OZ 4P"/>
    <s v="SUSHI ROLL"/>
    <d v="2025-01-06T00:00:00"/>
    <x v="0"/>
  </r>
  <r>
    <n v="397"/>
    <s v="20250206"/>
    <n v="39002398123"/>
    <s v="Rio de Janiero"/>
    <s v="Brasil"/>
    <n v="2"/>
    <s v="SPICY MEATBALL 8.4OZ LS"/>
    <s v="SPICY MEATBALL"/>
    <d v="2025-02-06T00:00:00"/>
    <x v="2"/>
  </r>
  <r>
    <n v="398"/>
    <s v="20250218"/>
    <n v="39000342589"/>
    <s v="Red Outpost"/>
    <s v="Mars"/>
    <n v="1"/>
    <s v="DIET COOKIE 8.4OZ 12PK"/>
    <s v="DIET COOKIE"/>
    <d v="2025-02-18T00:00:00"/>
    <x v="2"/>
  </r>
  <r>
    <n v="399"/>
    <s v="20250106"/>
    <n v="39000958997"/>
    <s v="Mumbai"/>
    <s v="India"/>
    <n v="1"/>
    <s v="BLUEBERRY SMOOTHIE 12oz LS"/>
    <s v="BLUEBERRY SMOOTHIE"/>
    <d v="2025-01-06T00:00:00"/>
    <x v="0"/>
  </r>
  <r>
    <n v="400"/>
    <s v="20250221"/>
    <n v="39001519609"/>
    <s v="Scranton"/>
    <s v="Dunder Mifflin"/>
    <n v="2"/>
    <s v="SPICY MEATBALL 16OZ LS"/>
    <s v="SPICY MEATBALL"/>
    <d v="2025-02-21T00:00:00"/>
    <x v="2"/>
  </r>
  <r>
    <n v="401"/>
    <s v="20250213"/>
    <n v="39001120119"/>
    <s v="Salzburg"/>
    <s v="Austria"/>
    <n v="1"/>
    <s v="SF KETCHUP 8.4OZ LS"/>
    <s v="SF KETCHUP"/>
    <d v="2025-02-13T00:00:00"/>
    <x v="2"/>
  </r>
  <r>
    <n v="402"/>
    <s v="20250225"/>
    <n v="39000221416"/>
    <s v="Gotham"/>
    <s v="Detective Comics"/>
    <n v="2"/>
    <s v="SPICY MEATBALL 12OZ LS"/>
    <s v="SPICY MEATBALL"/>
    <d v="2025-02-25T00:00:00"/>
    <x v="2"/>
  </r>
  <r>
    <n v="403"/>
    <s v="20250307"/>
    <n v="39001550913"/>
    <s v="Summer House"/>
    <s v="Cousins Beach"/>
    <n v="1"/>
    <s v="DIET COOKIE 8.4OZ 4PK"/>
    <s v="DIET COOKIE"/>
    <d v="2025-03-07T00:00:00"/>
    <x v="1"/>
  </r>
  <r>
    <n v="404"/>
    <s v="20250307"/>
    <n v="39001726114"/>
    <s v="Scranton"/>
    <s v="Dunder Mifflin"/>
    <n v="1"/>
    <s v="COCONUT MILK 12oz LS"/>
    <s v="COCONUT MILK"/>
    <d v="2025-03-07T00:00:00"/>
    <x v="1"/>
  </r>
  <r>
    <n v="405"/>
    <s v="20250122"/>
    <n v="39000221533"/>
    <s v="Gotham"/>
    <s v="Detective Comics"/>
    <n v="1"/>
    <s v="ICE CREAM 8.4OZ LS"/>
    <s v="ICE CREAM"/>
    <d v="2025-01-22T00:00:00"/>
    <x v="0"/>
  </r>
  <r>
    <n v="406"/>
    <s v="20250210"/>
    <n v="39000666848"/>
    <s v="Hoth"/>
    <s v="Hoth"/>
    <n v="1"/>
    <s v="SPICY MEATBALL 8.4oz 4PK"/>
    <s v="SPICY MEATBALL"/>
    <d v="2025-02-10T00:00:00"/>
    <x v="2"/>
  </r>
  <r>
    <n v="407"/>
    <s v="20250210"/>
    <n v="39001689285"/>
    <s v="Casa Amor"/>
    <s v="The Villa"/>
    <n v="2"/>
    <s v="SPICY MEATBALL 20oz LS"/>
    <s v="SPICY MEATBALL"/>
    <d v="2025-02-10T00:00:00"/>
    <x v="2"/>
  </r>
  <r>
    <n v="408"/>
    <s v="20250102"/>
    <n v="39000955435"/>
    <s v="Mumbai"/>
    <s v="India"/>
    <n v="1"/>
    <s v="SPICY MEATBALL 16OZ LS"/>
    <s v="SPICY MEATBALL"/>
    <d v="2025-01-02T00:00:00"/>
    <x v="0"/>
  </r>
  <r>
    <n v="409"/>
    <s v="20250306"/>
    <n v="39000592774"/>
    <s v="Rio de Janiero"/>
    <s v="Brasil"/>
    <n v="1"/>
    <s v="SPICY MEATBALL 8.4OZ LS"/>
    <s v="SPICY MEATBALL"/>
    <d v="2025-03-06T00:00:00"/>
    <x v="1"/>
  </r>
  <r>
    <n v="410"/>
    <s v="20250206"/>
    <n v="39000206089"/>
    <s v="Gotham"/>
    <s v="Detective Comics"/>
    <n v="1"/>
    <s v="WASABI BANANA PUDDING 12OZ LS"/>
    <s v="WASABI BANANA PUDDING"/>
    <d v="2025-02-06T00:00:00"/>
    <x v="2"/>
  </r>
  <r>
    <n v="411"/>
    <s v="20250213"/>
    <n v="39000587756"/>
    <s v="Rio de Janiero"/>
    <s v="Brasil"/>
    <n v="2"/>
    <s v="SPICY MEATBALL 16OZ LS"/>
    <s v="SPICY MEATBALL"/>
    <d v="2025-02-13T00:00:00"/>
    <x v="2"/>
  </r>
  <r>
    <n v="412"/>
    <s v="20250128"/>
    <n v="39000338598"/>
    <s v="Red Outpost"/>
    <s v="Mars"/>
    <n v="2"/>
    <s v="BLUEBERRY SMOOTHIE 12oz LS"/>
    <s v="BLUEBERRY SMOOTHIE"/>
    <d v="2025-01-28T00:00:00"/>
    <x v="0"/>
  </r>
  <r>
    <n v="413"/>
    <s v="20250220"/>
    <n v="39001712828"/>
    <s v="Casa Amor"/>
    <s v="The Villa"/>
    <n v="1"/>
    <s v="SPICY MEATBALL 8.4oz 4PK"/>
    <s v="SPICY MEATBALL"/>
    <d v="2025-02-20T00:00:00"/>
    <x v="2"/>
  </r>
  <r>
    <n v="414"/>
    <s v="20250109"/>
    <n v="39000284934"/>
    <s v="House Stark"/>
    <s v="Westeros"/>
    <n v="1"/>
    <s v="SF STRAWBERRY MILKSHAKE 12OZ 4PK"/>
    <s v="SF STRAWBERRY MILKSHAKE"/>
    <d v="2025-01-09T00:00:00"/>
    <x v="0"/>
  </r>
  <r>
    <n v="415"/>
    <s v="20250211"/>
    <n v="39002660879"/>
    <s v="Casa Amor"/>
    <s v="The Villa"/>
    <n v="1"/>
    <s v="MAPLE SYRUP 12OZ LS"/>
    <s v="MAPLE SYRUP"/>
    <d v="2025-02-11T00:00:00"/>
    <x v="2"/>
  </r>
  <r>
    <n v="416"/>
    <s v="20250221"/>
    <n v="39000340678"/>
    <s v="Red Outpost"/>
    <s v="Mars"/>
    <n v="1"/>
    <s v="SPICY MEATBALL 12OZ LS"/>
    <s v="SPICY MEATBALL"/>
    <d v="2025-02-21T00:00:00"/>
    <x v="2"/>
  </r>
  <r>
    <n v="417"/>
    <s v="20250205"/>
    <n v="39000659789"/>
    <s v="Hoth"/>
    <s v="Hoth"/>
    <n v="2"/>
    <s v="DIET COOKIE 20OZ LS"/>
    <s v="DIET COOKIE"/>
    <d v="2025-02-05T00:00:00"/>
    <x v="2"/>
  </r>
  <r>
    <n v="418"/>
    <s v="20250127"/>
    <n v="39001700959"/>
    <s v="Casa Amor"/>
    <s v="The Villa"/>
    <n v="1"/>
    <s v="SUSHI ROLL 8.4OZ LS"/>
    <s v="SUSHI ROLL"/>
    <d v="2025-01-27T00:00:00"/>
    <x v="0"/>
  </r>
  <r>
    <n v="419"/>
    <s v="20250130"/>
    <n v="39000222352"/>
    <s v="Gotham"/>
    <s v="Detective Comics"/>
    <n v="1"/>
    <s v="DIET COOKIE 8.4OZ 12PK"/>
    <s v="DIET COOKIE"/>
    <d v="2025-01-30T00:00:00"/>
    <x v="0"/>
  </r>
  <r>
    <n v="420"/>
    <s v="20250117"/>
    <n v="39000344942"/>
    <s v="Red Outpost"/>
    <s v="Mars"/>
    <n v="1"/>
    <s v="MAPLE SYRUP 12OZ LS"/>
    <s v="MAPLE SYRUP"/>
    <d v="2025-01-17T00:00:00"/>
    <x v="0"/>
  </r>
  <r>
    <n v="421"/>
    <s v="20250124"/>
    <n v="39001467791"/>
    <s v="Scranton"/>
    <s v="Dunder Mifflin"/>
    <n v="4"/>
    <s v="SPICY MEATBALL 12OZ LS"/>
    <s v="SPICY MEATBALL"/>
    <d v="2025-01-24T00:00:00"/>
    <x v="0"/>
  </r>
  <r>
    <n v="422"/>
    <s v="20250304"/>
    <n v="39000337155"/>
    <s v="Red Outpost"/>
    <s v="Mars"/>
    <n v="1"/>
    <s v="STRAWBERRY MILKSHAKE 12OZ LS"/>
    <s v="STRAWBERRY MILKSHAKE"/>
    <d v="2025-03-04T00:00:00"/>
    <x v="1"/>
  </r>
  <r>
    <n v="423"/>
    <s v="20250226"/>
    <n v="39000341328"/>
    <s v="Red Outpost"/>
    <s v="Mars"/>
    <n v="1"/>
    <s v="MAPLE SYRUP 8.4OZ LS"/>
    <s v="MAPLE SYRUP"/>
    <d v="2025-02-26T00:00:00"/>
    <x v="2"/>
  </r>
  <r>
    <n v="424"/>
    <s v="20250123"/>
    <n v="39001519661"/>
    <s v="Scranton"/>
    <s v="Dunder Mifflin"/>
    <n v="1"/>
    <s v="BLUEBERRY SMOOTHIE 12oz LS"/>
    <s v="BLUEBERRY SMOOTHIE"/>
    <d v="2025-01-23T00:00:00"/>
    <x v="0"/>
  </r>
  <r>
    <n v="425"/>
    <s v="20250129"/>
    <n v="39000956072"/>
    <s v="Mumbai"/>
    <s v="India"/>
    <n v="1"/>
    <s v="DIET COOKIE 20OZ LS"/>
    <s v="DIET COOKIE"/>
    <d v="2025-01-29T00:00:00"/>
    <x v="0"/>
  </r>
  <r>
    <n v="426"/>
    <s v="20250225"/>
    <n v="39001585168"/>
    <s v="Scranton"/>
    <s v="Dunder Mifflin"/>
    <n v="2"/>
    <s v="SPICY MEATBALL 16OZ LS"/>
    <s v="SPICY MEATBALL"/>
    <d v="2025-02-25T00:00:00"/>
    <x v="2"/>
  </r>
  <r>
    <n v="427"/>
    <s v="20250226"/>
    <n v="39000586001"/>
    <s v="Rio de Janiero"/>
    <s v="Brasil"/>
    <n v="1"/>
    <s v="DIET COOKIE 8.4OZ LS"/>
    <s v="DIET COOKIE"/>
    <d v="2025-02-26T00:00:00"/>
    <x v="2"/>
  </r>
  <r>
    <n v="428"/>
    <s v="20250305"/>
    <n v="39001772030"/>
    <s v="Metropolis"/>
    <s v="Detective Comics"/>
    <n v="2"/>
    <s v="LEMONADE 12OZ LS"/>
    <s v="LEMONADE"/>
    <d v="2025-03-05T00:00:00"/>
    <x v="1"/>
  </r>
  <r>
    <n v="429"/>
    <s v="20250218"/>
    <n v="39000963742"/>
    <s v="Mumbai"/>
    <s v="India"/>
    <n v="1"/>
    <s v="DIET SODA 12OZ LS"/>
    <s v="DIET SODA"/>
    <d v="2025-02-18T00:00:00"/>
    <x v="2"/>
  </r>
  <r>
    <n v="430"/>
    <s v="20250212"/>
    <n v="39002261480"/>
    <s v="Santas Workshop"/>
    <s v="North Pole"/>
    <n v="1"/>
    <s v="SPICY MEATBALL 8.4oz 4PK"/>
    <s v="SPICY MEATBALL"/>
    <d v="2025-02-12T00:00:00"/>
    <x v="2"/>
  </r>
  <r>
    <n v="431"/>
    <s v="20250210"/>
    <n v="39000334698"/>
    <s v="Red Outpost"/>
    <s v="Mars"/>
    <n v="2"/>
    <s v="SPICY MEATBALL 16OZ LS"/>
    <s v="SPICY MEATBALL"/>
    <d v="2025-02-10T00:00:00"/>
    <x v="2"/>
  </r>
  <r>
    <n v="432"/>
    <s v="20250211"/>
    <n v="39000264589"/>
    <s v="The Wall"/>
    <s v="Westeros"/>
    <n v="1"/>
    <s v="SF VAR PK 8.4OZ 12P"/>
    <s v="SF VAR PK"/>
    <d v="2025-02-11T00:00:00"/>
    <x v="2"/>
  </r>
  <r>
    <n v="433"/>
    <s v="20250102"/>
    <n v="39001520064"/>
    <s v="Scranton"/>
    <s v="Dunder Mifflin"/>
    <n v="1"/>
    <s v="SUSHI ROLL 8.4OZ 4P"/>
    <s v="SUSHI ROLL"/>
    <d v="2025-01-02T00:00:00"/>
    <x v="0"/>
  </r>
  <r>
    <n v="434"/>
    <s v="20250211"/>
    <n v="39000599690"/>
    <s v="Rio de Janiero"/>
    <s v="Brasil"/>
    <n v="-8.3000000000000004E-2"/>
    <s v="SF KETCHUP 12OZ LS"/>
    <s v="SF KETCHUP"/>
    <d v="2025-02-11T00:00:00"/>
    <x v="2"/>
  </r>
  <r>
    <n v="435"/>
    <s v="20250107"/>
    <n v="39001488448"/>
    <s v="Summer House"/>
    <s v="Cousins Beach"/>
    <n v="2"/>
    <s v="SPICY MEATBALL 8.4OZ LS"/>
    <s v="SPICY MEATBALL"/>
    <d v="2025-01-07T00:00:00"/>
    <x v="0"/>
  </r>
  <r>
    <n v="436"/>
    <s v="20250113"/>
    <n v="39000341484"/>
    <s v="Red Outpost"/>
    <s v="Mars"/>
    <n v="1"/>
    <s v="SPICY MEATBALL 20oz LS"/>
    <s v="SPICY MEATBALL"/>
    <d v="2025-01-13T00:00:00"/>
    <x v="0"/>
  </r>
  <r>
    <n v="437"/>
    <s v="20250207"/>
    <n v="39000269854"/>
    <s v="The Wall"/>
    <s v="Westeros"/>
    <n v="1"/>
    <s v="SPICY MEATBALL 8.4oz 4PK"/>
    <s v="SPICY MEATBALL"/>
    <d v="2025-02-07T00:00:00"/>
    <x v="2"/>
  </r>
  <r>
    <n v="438"/>
    <s v="20250124"/>
    <n v="39000201292"/>
    <s v="Gotham"/>
    <s v="Detective Comics"/>
    <n v="1"/>
    <s v="KETCHUP 12OZ LS"/>
    <s v="KETCHUP"/>
    <d v="2025-01-24T00:00:00"/>
    <x v="0"/>
  </r>
  <r>
    <n v="439"/>
    <s v="20250304"/>
    <n v="39000340769"/>
    <s v="Red Outpost"/>
    <s v="Mars"/>
    <n v="1"/>
    <s v="SPICY MEATBALL 16OZ LS"/>
    <s v="SPICY MEATBALL"/>
    <d v="2025-03-04T00:00:00"/>
    <x v="1"/>
  </r>
  <r>
    <n v="440"/>
    <s v="20250122"/>
    <n v="39000241059"/>
    <s v="Gotham"/>
    <s v="Detective Comics"/>
    <n v="1"/>
    <s v="PICKLE JUICE 12OZ LS"/>
    <s v="PICKLE JUICE"/>
    <d v="2025-01-22T00:00:00"/>
    <x v="0"/>
  </r>
  <r>
    <n v="441"/>
    <s v="20250115"/>
    <n v="39000979550"/>
    <s v="Mumbai"/>
    <s v="India"/>
    <n v="-0.83299999999999996"/>
    <s v="FLAT SODA 8.4OZ LS"/>
    <s v="FLAT SODA"/>
    <d v="2025-01-15T00:00:00"/>
    <x v="0"/>
  </r>
  <r>
    <n v="442"/>
    <s v="20250203"/>
    <n v="39002768155"/>
    <s v="Santas Workshop"/>
    <s v="North Pole"/>
    <n v="2"/>
    <s v="SUSHI ROLL 8.4OZ LS"/>
    <s v="SUSHI ROLL"/>
    <d v="2025-02-03T00:00:00"/>
    <x v="2"/>
  </r>
  <r>
    <n v="443"/>
    <s v="20250131"/>
    <n v="39001431612"/>
    <s v="Nashua"/>
    <s v="Dunder Mifflin"/>
    <n v="2"/>
    <s v="SPICY MEATBALL 8.4oz 4PK"/>
    <s v="SPICY MEATBALL"/>
    <d v="2025-01-31T00:00:00"/>
    <x v="0"/>
  </r>
  <r>
    <n v="444"/>
    <s v="20250304"/>
    <n v="39001520116"/>
    <s v="Scranton"/>
    <s v="Dunder Mifflin"/>
    <n v="2"/>
    <s v="STRAWBERRY MILKSHAKE 12OZ LS"/>
    <s v="STRAWBERRY MILKSHAKE"/>
    <d v="2025-03-04T00:00:00"/>
    <x v="1"/>
  </r>
  <r>
    <n v="445"/>
    <s v="20250115"/>
    <n v="39000948818"/>
    <s v="Mumbai"/>
    <s v="India"/>
    <n v="2"/>
    <s v="BLUEBERRY SMOOTHIE 12oz LS"/>
    <s v="BLUEBERRY SMOOTHIE"/>
    <d v="2025-01-15T00:00:00"/>
    <x v="0"/>
  </r>
  <r>
    <n v="446"/>
    <s v="20250114"/>
    <n v="39001379001"/>
    <s v="Hoth"/>
    <s v="Hoth"/>
    <n v="1"/>
    <s v="PICKLE JUICE 12OZ LS"/>
    <s v="PICKLE JUICE"/>
    <d v="2025-01-14T00:00:00"/>
    <x v="0"/>
  </r>
  <r>
    <n v="447"/>
    <s v="20250219"/>
    <n v="39000197249"/>
    <s v="Gotham"/>
    <s v="Detective Comics"/>
    <n v="1"/>
    <s v="DIET COOKIE 12oz"/>
    <s v="DIET"/>
    <d v="2025-02-19T00:00:00"/>
    <x v="2"/>
  </r>
  <r>
    <n v="448"/>
    <s v="20250203"/>
    <n v="39000198094"/>
    <s v="Gotham"/>
    <s v="Detective Comics"/>
    <n v="4"/>
    <s v="SPICY MEATBALL 16OZ LS"/>
    <s v="SPICY MEATBALL"/>
    <d v="2025-02-03T00:00:00"/>
    <x v="2"/>
  </r>
  <r>
    <n v="449"/>
    <s v="20250226"/>
    <n v="39000586183"/>
    <s v="Rio de Janiero"/>
    <s v="Brasil"/>
    <n v="1"/>
    <s v="DIET COOKIE 16OZ LS"/>
    <s v="DIET COOKIE"/>
    <d v="2025-02-26T00:00:00"/>
    <x v="2"/>
  </r>
  <r>
    <n v="450"/>
    <s v="20250224"/>
    <n v="39000665067"/>
    <s v="Hoth"/>
    <s v="Hoth"/>
    <n v="6"/>
    <s v="SF STRAWBERRY MILKSHAKE 12OZ LS"/>
    <s v="SF STRAWBERRY MILKSHAKE"/>
    <d v="2025-02-24T00:00:00"/>
    <x v="2"/>
  </r>
  <r>
    <n v="451"/>
    <s v="20250122"/>
    <n v="39000658606"/>
    <s v="Hoth"/>
    <s v="Hoth"/>
    <n v="2"/>
    <s v="SPICY MEATBALL 12OZ LS"/>
    <s v="SPICY MEATBALL"/>
    <d v="2025-01-22T00:00:00"/>
    <x v="0"/>
  </r>
  <r>
    <n v="452"/>
    <s v="20250210"/>
    <n v="39000590629"/>
    <s v="Rio de Janiero"/>
    <s v="Brasil"/>
    <n v="1"/>
    <s v="BLUEBERRY SMOOTHIE 12oz LS"/>
    <s v="BLUEBERRY SMOOTHIE"/>
    <d v="2025-02-10T00:00:00"/>
    <x v="2"/>
  </r>
  <r>
    <n v="453"/>
    <s v="20250106"/>
    <n v="39000220194"/>
    <s v="Gotham"/>
    <s v="Detective Comics"/>
    <n v="6"/>
    <s v="SPICY MEATBALL 8.4OZ 12PK"/>
    <s v="SPICY MEATBALL"/>
    <d v="2025-01-06T00:00:00"/>
    <x v="0"/>
  </r>
  <r>
    <n v="454"/>
    <s v="20250207"/>
    <n v="39001461187"/>
    <s v="Scranton"/>
    <s v="Dunder Mifflin"/>
    <n v="1"/>
    <s v="BLUEBERRY SMOOTHIE 8.4OZ LS"/>
    <s v="BLUEBERRY SMOOTHIE"/>
    <d v="2025-02-07T00:00:00"/>
    <x v="2"/>
  </r>
  <r>
    <n v="455"/>
    <s v="20250305"/>
    <n v="39000348413"/>
    <s v="Red Outpost"/>
    <s v="Mars"/>
    <n v="2"/>
    <s v="STRAWBERRY MILKSHAKE 8.4OZ LS"/>
    <s v="STRAWBERRY MILKSHAKE"/>
    <d v="2025-03-05T00:00:00"/>
    <x v="1"/>
  </r>
  <r>
    <n v="456"/>
    <s v="20250117"/>
    <n v="39000592085"/>
    <s v="Rio de Janiero"/>
    <s v="Brasil"/>
    <n v="1"/>
    <s v="COCONUT MILK 12oz LS"/>
    <s v="COCONUT MILK"/>
    <d v="2025-01-17T00:00:00"/>
    <x v="0"/>
  </r>
  <r>
    <n v="457"/>
    <s v="20250303"/>
    <n v="39002257359"/>
    <s v="Santas Workshop"/>
    <s v="North Pole"/>
    <n v="1"/>
    <s v="SPICY MEATBALL 12OZ LS"/>
    <s v="SPICY MEATBALL"/>
    <d v="2025-03-03T00:00:00"/>
    <x v="1"/>
  </r>
  <r>
    <n v="458"/>
    <s v="20250217"/>
    <n v="39000661219"/>
    <s v="Hoth"/>
    <s v="Hoth"/>
    <n v="3"/>
    <s v="SPICY MEATBALL 8.4OZ LS"/>
    <s v="SPICY MEATBALL"/>
    <d v="2025-02-17T00:00:00"/>
    <x v="2"/>
  </r>
  <r>
    <n v="459"/>
    <s v="20250218"/>
    <n v="39000336648"/>
    <s v="Red Outpost"/>
    <s v="Mars"/>
    <n v="1"/>
    <s v="WASABI BANANA PUDDING 8.4OZ 4PK"/>
    <s v="WASABI BANANA PUDDING"/>
    <d v="2025-02-18T00:00:00"/>
    <x v="2"/>
  </r>
  <r>
    <n v="460"/>
    <s v="20250213"/>
    <n v="39000586898"/>
    <s v="Rio de Janiero"/>
    <s v="Brasil"/>
    <n v="1"/>
    <s v="SPICY MEATBALL 16OZ LS"/>
    <s v="SPICY MEATBALL"/>
    <d v="2025-02-13T00:00:00"/>
    <x v="2"/>
  </r>
  <r>
    <n v="461"/>
    <s v="20250205"/>
    <n v="39000423449"/>
    <s v="Red Outpost"/>
    <s v="Mars"/>
    <n v="2"/>
    <s v="SUSHI ROLL 12OZ LS"/>
    <s v="SUSHI ROLL"/>
    <d v="2025-02-05T00:00:00"/>
    <x v="2"/>
  </r>
  <r>
    <n v="462"/>
    <s v="20250226"/>
    <n v="39001709643"/>
    <s v="Casa Amor"/>
    <s v="The Villa"/>
    <n v="1"/>
    <s v="BLUEBERRY SMOOTHIE 12oz LS"/>
    <s v="BLUEBERRY SMOOTHIE"/>
    <d v="2025-02-26T00:00:00"/>
    <x v="2"/>
  </r>
  <r>
    <n v="463"/>
    <s v="20250221"/>
    <n v="39000280280"/>
    <s v="House Stark"/>
    <s v="Westeros"/>
    <n v="1"/>
    <s v="DIET COOKIE 12oz"/>
    <s v="DIET"/>
    <d v="2025-02-21T00:00:00"/>
    <x v="2"/>
  </r>
  <r>
    <n v="464"/>
    <s v="20250124"/>
    <n v="39001431313"/>
    <s v="Scranton"/>
    <s v="Dunder Mifflin"/>
    <n v="1"/>
    <s v="PICKLE JUICE 12OZ LS"/>
    <s v="PICKLE JUICE"/>
    <d v="2025-01-24T00:00:00"/>
    <x v="0"/>
  </r>
  <r>
    <n v="465"/>
    <s v="20250227"/>
    <n v="39000212979"/>
    <s v="Gotham"/>
    <s v="Detective Comics"/>
    <n v="1"/>
    <s v="DIET SODA 12OZ LS"/>
    <s v="DIET SODA"/>
    <d v="2025-02-27T00:00:00"/>
    <x v="2"/>
  </r>
  <r>
    <n v="466"/>
    <s v="20250103"/>
    <n v="39000338663"/>
    <s v="Red Outpost"/>
    <s v="Mars"/>
    <n v="1"/>
    <s v="AVOCADO TOAST 8.4oz LS"/>
    <s v="AVOCADO TOAST"/>
    <d v="2025-01-03T00:00:00"/>
    <x v="0"/>
  </r>
  <r>
    <n v="467"/>
    <s v="20250121"/>
    <n v="39002175732"/>
    <s v="Gotham"/>
    <s v="Detective Comics"/>
    <n v="1"/>
    <s v="PEACH COBBLER 8.4oz LS"/>
    <s v="PEACH COBBLER"/>
    <d v="2025-01-21T00:00:00"/>
    <x v="0"/>
  </r>
  <r>
    <n v="468"/>
    <s v="20250228"/>
    <n v="39000964912"/>
    <s v="Mumbai"/>
    <s v="India"/>
    <n v="1"/>
    <s v="STRAWBERRY MILKSHAKE 8.4OZ LS"/>
    <s v="STRAWBERRY MILKSHAKE"/>
    <d v="2025-02-28T00:00:00"/>
    <x v="2"/>
  </r>
  <r>
    <n v="469"/>
    <s v="20250206"/>
    <n v="39000657098"/>
    <s v="Hoth"/>
    <s v="Hoth"/>
    <n v="1"/>
    <s v="SPICY MEATBALL 8.4OZ 12PK"/>
    <s v="SPICY MEATBALL"/>
    <d v="2025-02-06T00:00:00"/>
    <x v="2"/>
  </r>
  <r>
    <n v="470"/>
    <s v="20250220"/>
    <n v="39000658710"/>
    <s v="Hoth"/>
    <s v="Hoth"/>
    <n v="1"/>
    <s v="WASABI BANANA PUDDING 8.4OZ LS"/>
    <s v="WASABI BANANA PUDDING"/>
    <d v="2025-02-20T00:00:00"/>
    <x v="2"/>
  </r>
  <r>
    <n v="471"/>
    <s v="20250211"/>
    <n v="39000285168"/>
    <s v="House Stark"/>
    <s v="Westeros"/>
    <n v="12"/>
    <s v="SPICY MEATBALL 8.4OZ 12PK"/>
    <s v="SPICY MEATBALL"/>
    <d v="2025-02-11T00:00:00"/>
    <x v="2"/>
  </r>
  <r>
    <n v="472"/>
    <s v="20250227"/>
    <n v="39000218114"/>
    <s v="Metropolis"/>
    <s v="Detective Comics"/>
    <n v="1"/>
    <s v="SPICY MEATBALL 8.4OZ LS"/>
    <s v="SPICY MEATBALL"/>
    <d v="2025-02-27T00:00:00"/>
    <x v="2"/>
  </r>
  <r>
    <n v="473"/>
    <s v="20250103"/>
    <n v="39000212407"/>
    <s v="Gotham"/>
    <s v="Detective Comics"/>
    <n v="1"/>
    <s v="MAPLE SYRUP 12OZ LS"/>
    <s v="MAPLE SYRUP"/>
    <d v="2025-01-03T00:00:00"/>
    <x v="0"/>
  </r>
  <r>
    <n v="474"/>
    <s v="20250224"/>
    <n v="39000220766"/>
    <s v="Metropolis"/>
    <s v="Detective Comics"/>
    <n v="1"/>
    <s v="MAPLE SYRUP 12OZ LS"/>
    <s v="MAPLE SYRUP"/>
    <d v="2025-02-24T00:00:00"/>
    <x v="2"/>
  </r>
  <r>
    <n v="475"/>
    <s v="20250218"/>
    <n v="39000955760"/>
    <s v="Mumbai"/>
    <s v="India"/>
    <n v="1"/>
    <s v="BLUEBERRY SMOOTHIE 12oz LS"/>
    <s v="BLUEBERRY SMOOTHIE"/>
    <d v="2025-02-18T00:00:00"/>
    <x v="2"/>
  </r>
  <r>
    <n v="476"/>
    <s v="20250224"/>
    <n v="39000220337"/>
    <s v="Gotham"/>
    <s v="Detective Comics"/>
    <n v="1"/>
    <s v="SPICY MEATBALL 8.4OZ LS"/>
    <s v="SPICY MEATBALL"/>
    <d v="2025-02-24T00:00:00"/>
    <x v="2"/>
  </r>
  <r>
    <n v="477"/>
    <s v="20250221"/>
    <n v="39000198003"/>
    <s v="Gotham"/>
    <s v="Detective Comics"/>
    <n v="6"/>
    <s v="SPICY MEATBALL 12OZ LS"/>
    <s v="SPICY MEATBALL"/>
    <d v="2025-02-21T00:00:00"/>
    <x v="2"/>
  </r>
  <r>
    <n v="478"/>
    <s v="20250228"/>
    <n v="39000330031"/>
    <s v="Red Outpost"/>
    <s v="Mars"/>
    <n v="1"/>
    <s v="SF STRAWBERRY MILKSHAKE 8.4OZ LS"/>
    <s v="SF STRAWBERRY MILKSHAKE"/>
    <d v="2025-02-28T00:00:00"/>
    <x v="2"/>
  </r>
  <r>
    <n v="479"/>
    <s v="20250127"/>
    <n v="39000590057"/>
    <s v="Rio de Janiero"/>
    <s v="Brasil"/>
    <n v="1"/>
    <s v="DIET SODA 12OZ LS"/>
    <s v="DIET SODA"/>
    <d v="2025-01-27T00:00:00"/>
    <x v="0"/>
  </r>
  <r>
    <n v="480"/>
    <s v="20250211"/>
    <n v="39001434628"/>
    <s v="Scranton"/>
    <s v="Dunder Mifflin"/>
    <n v="-1"/>
    <s v="DIET COOKIE 12oz"/>
    <s v="DIET"/>
    <d v="2025-02-11T00:00:00"/>
    <x v="2"/>
  </r>
  <r>
    <n v="481"/>
    <s v="20250306"/>
    <n v="39000217061"/>
    <s v="Gotham"/>
    <s v="Detective Comics"/>
    <n v="1"/>
    <s v="COCONUT MILK 12oz LS"/>
    <s v="COCONUT MILK"/>
    <d v="2025-03-06T00:00:00"/>
    <x v="1"/>
  </r>
  <r>
    <n v="482"/>
    <s v="20250117"/>
    <n v="39001392196"/>
    <s v="Scranton"/>
    <s v="Dunder Mifflin"/>
    <n v="1"/>
    <s v="PICKLE JUICE 8.4OZ LS"/>
    <s v="PICKLE JUICE"/>
    <d v="2025-01-17T00:00:00"/>
    <x v="0"/>
  </r>
  <r>
    <n v="483"/>
    <s v="20250203"/>
    <n v="39001718886"/>
    <s v="Casa Amor"/>
    <s v="The Villa"/>
    <n v="1"/>
    <s v="SPICY MEATBALL 8.4oz 4PK"/>
    <s v="SPICY MEATBALL"/>
    <d v="2025-02-03T00:00:00"/>
    <x v="2"/>
  </r>
  <r>
    <n v="484"/>
    <s v="20250121"/>
    <n v="39000263770"/>
    <s v="The Wall"/>
    <s v="Westeros"/>
    <n v="1"/>
    <s v="DIET COOKIE 16OZ LS"/>
    <s v="DIET COOKIE"/>
    <d v="2025-01-21T00:00:00"/>
    <x v="0"/>
  </r>
  <r>
    <n v="485"/>
    <s v="20250131"/>
    <n v="39001516281"/>
    <s v="Scranton"/>
    <s v="Dunder Mifflin"/>
    <n v="4"/>
    <s v="SPICY MEATBALL 8.4OZ LS"/>
    <s v="SPICY MEATBALL"/>
    <d v="2025-01-31T00:00:00"/>
    <x v="0"/>
  </r>
  <r>
    <n v="486"/>
    <s v="20250108"/>
    <n v="39000964652"/>
    <s v="Mumbai"/>
    <s v="India"/>
    <n v="1"/>
    <s v="DIET SODA 12OZ LS"/>
    <s v="DIET SODA"/>
    <d v="2025-01-08T00:00:00"/>
    <x v="0"/>
  </r>
  <r>
    <n v="487"/>
    <s v="20250102"/>
    <n v="39001457560"/>
    <s v="Scranton"/>
    <s v="Dunder Mifflin"/>
    <n v="1"/>
    <s v="MAPLE SYRUP 12OZ LS"/>
    <s v="MAPLE SYRUP"/>
    <d v="2025-01-02T00:00:00"/>
    <x v="0"/>
  </r>
  <r>
    <n v="488"/>
    <s v="20250304"/>
    <n v="39000223054"/>
    <s v="Metropolis"/>
    <s v="Detective Comics"/>
    <n v="1"/>
    <s v="SF SUSHI ROLL 12OZ LS"/>
    <s v="SF SUSHI ROLL"/>
    <d v="2025-03-04T00:00:00"/>
    <x v="1"/>
  </r>
  <r>
    <n v="489"/>
    <s v="20250122"/>
    <n v="39001417949"/>
    <s v="Scranton"/>
    <s v="Dunder Mifflin"/>
    <n v="1"/>
    <s v="SPICY MEATBALL 20oz LS"/>
    <s v="SPICY MEATBALL"/>
    <d v="2025-01-22T00:00:00"/>
    <x v="0"/>
  </r>
  <r>
    <n v="490"/>
    <s v="20250304"/>
    <n v="39000952458"/>
    <s v="Mumbai"/>
    <s v="India"/>
    <n v="1"/>
    <s v="STRAWBERRY MILKSHAKE 8.4OZ LS"/>
    <s v="STRAWBERRY MILKSHAKE"/>
    <d v="2025-03-04T00:00:00"/>
    <x v="1"/>
  </r>
  <r>
    <n v="491"/>
    <s v="20250221"/>
    <n v="39000199563"/>
    <s v="Metropolis"/>
    <s v="Detective Comics"/>
    <n v="-0.16700000000000001"/>
    <s v="SPICY MEATBALL 8.4OZ LS"/>
    <s v="SPICY MEATBALL"/>
    <d v="2025-02-21T00:00:00"/>
    <x v="2"/>
  </r>
  <r>
    <n v="492"/>
    <s v="20250305"/>
    <n v="39000662519"/>
    <s v="Hoth"/>
    <s v="Hoth"/>
    <n v="3"/>
    <s v="MAPLE SYRUP 12OZ LS"/>
    <s v="MAPLE SYRUP"/>
    <d v="2025-03-05T00:00:00"/>
    <x v="1"/>
  </r>
  <r>
    <n v="493"/>
    <s v="20250124"/>
    <n v="39001435096"/>
    <s v="Scranton"/>
    <s v="Dunder Mifflin"/>
    <n v="1"/>
    <s v="MAPLE SYRUP 12OZ LS"/>
    <s v="MAPLE SYRUP"/>
    <d v="2025-01-24T00:00:00"/>
    <x v="0"/>
  </r>
  <r>
    <n v="494"/>
    <s v="20250206"/>
    <n v="39000280761"/>
    <s v="House Stark"/>
    <s v="Westeros"/>
    <n v="-0.125"/>
    <s v="SPICY MEATBALL 8.4OZ LS"/>
    <s v="SPICY MEATBALL"/>
    <d v="2025-02-06T00:00:00"/>
    <x v="2"/>
  </r>
  <r>
    <n v="495"/>
    <s v="20250129"/>
    <n v="39002666001"/>
    <s v="Hoth"/>
    <s v="Hoth"/>
    <n v="1"/>
    <s v="KETCHUP 12OZ LS"/>
    <s v="KETCHUP"/>
    <d v="2025-01-29T00:00:00"/>
    <x v="0"/>
  </r>
  <r>
    <n v="496"/>
    <s v="20250225"/>
    <n v="39000213005"/>
    <s v="Gotham"/>
    <s v="Detective Comics"/>
    <n v="1"/>
    <s v="DIET COOKIE 8.4OZ 12PK"/>
    <s v="DIET COOKIE"/>
    <d v="2025-02-25T00:00:00"/>
    <x v="2"/>
  </r>
  <r>
    <n v="497"/>
    <s v="20250115"/>
    <n v="39000201708"/>
    <s v="Gotham"/>
    <s v="Detective Comics"/>
    <n v="2"/>
    <s v="SPICY MEATBALL 8.4OZ LS"/>
    <s v="SPICY MEATBALL"/>
    <d v="2025-01-15T00:00:00"/>
    <x v="0"/>
  </r>
  <r>
    <n v="498"/>
    <s v="20250110"/>
    <n v="39000336531"/>
    <s v="Red Outpost"/>
    <s v="Mars"/>
    <n v="1"/>
    <s v="PICKLE JUICE 12OZ LS"/>
    <s v="PICKLE JUICE"/>
    <d v="2025-01-10T00:00:00"/>
    <x v="0"/>
  </r>
  <r>
    <n v="499"/>
    <s v="20250124"/>
    <n v="39000237523"/>
    <s v="Gotham"/>
    <s v="Detective Comics"/>
    <n v="1"/>
    <s v="PICKLE JUICE 8.4OZ LS"/>
    <s v="PICKLE JUICE"/>
    <d v="2025-01-24T00:00:0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0"/>
    <x v="0"/>
    <x v="0"/>
    <s v="39AP14"/>
    <n v="39001706939"/>
    <m/>
  </r>
  <r>
    <n v="1"/>
    <x v="1"/>
    <x v="1"/>
    <s v="295M02"/>
    <n v="39001519869"/>
    <m/>
  </r>
  <r>
    <n v="2"/>
    <x v="0"/>
    <x v="2"/>
    <s v="39AA07"/>
    <n v="39002391246"/>
    <m/>
  </r>
  <r>
    <n v="3"/>
    <x v="1"/>
    <x v="2"/>
    <s v="295A19"/>
    <n v="39001516242"/>
    <m/>
  </r>
  <r>
    <n v="4"/>
    <x v="2"/>
    <x v="2"/>
    <s v="790A20"/>
    <n v="39000971178"/>
    <m/>
  </r>
  <r>
    <n v="5"/>
    <x v="3"/>
    <x v="2"/>
    <s v="690A03"/>
    <n v="39000229567"/>
    <m/>
  </r>
  <r>
    <n v="6"/>
    <x v="4"/>
    <x v="0"/>
    <s v="398P03"/>
    <n v="39000422123"/>
    <m/>
  </r>
  <r>
    <n v="7"/>
    <x v="2"/>
    <x v="2"/>
    <s v="790A22"/>
    <n v="39001968473"/>
    <m/>
  </r>
  <r>
    <n v="8"/>
    <x v="5"/>
    <x v="2"/>
    <s v="393A24"/>
    <n v="39000269503"/>
    <m/>
  </r>
  <r>
    <n v="9"/>
    <x v="6"/>
    <x v="2"/>
    <s v="39DA04"/>
    <n v="39001668264"/>
    <m/>
  </r>
  <r>
    <n v="10"/>
    <x v="6"/>
    <x v="1"/>
    <s v="39DM03"/>
    <n v="39000741715"/>
    <m/>
  </r>
  <r>
    <n v="11"/>
    <x v="4"/>
    <x v="3"/>
    <s v="398C05"/>
    <n v="39000337480"/>
    <m/>
  </r>
  <r>
    <n v="12"/>
    <x v="2"/>
    <x v="2"/>
    <s v="790A28"/>
    <n v="39000971035"/>
    <m/>
  </r>
  <r>
    <n v="13"/>
    <x v="4"/>
    <x v="1"/>
    <s v="398M01"/>
    <n v="39000410878"/>
    <m/>
  </r>
  <r>
    <n v="14"/>
    <x v="3"/>
    <x v="0"/>
    <s v="690P18"/>
    <n v="39000202046"/>
    <m/>
  </r>
  <r>
    <n v="15"/>
    <x v="7"/>
    <x v="2"/>
    <s v="592A07"/>
    <n v="39000653887"/>
    <m/>
  </r>
  <r>
    <n v="16"/>
    <x v="4"/>
    <x v="0"/>
    <s v="398P04"/>
    <n v="39000335179"/>
    <m/>
  </r>
  <r>
    <n v="17"/>
    <x v="8"/>
    <x v="1"/>
    <s v="393M06"/>
    <n v="39000283751"/>
    <m/>
  </r>
  <r>
    <n v="18"/>
    <x v="6"/>
    <x v="0"/>
    <s v="39DP02"/>
    <n v="39002807038"/>
    <m/>
  </r>
  <r>
    <n v="19"/>
    <x v="4"/>
    <x v="3"/>
    <s v="398C03"/>
    <n v="39000336713"/>
    <m/>
  </r>
  <r>
    <n v="20"/>
    <x v="7"/>
    <x v="1"/>
    <s v="592M02"/>
    <n v="39000665951"/>
    <m/>
  </r>
  <r>
    <n v="21"/>
    <x v="1"/>
    <x v="2"/>
    <s v="295A01"/>
    <n v="39001628445"/>
    <m/>
  </r>
  <r>
    <n v="22"/>
    <x v="4"/>
    <x v="2"/>
    <s v="398A18"/>
    <n v="39000332488"/>
    <m/>
  </r>
  <r>
    <n v="23"/>
    <x v="4"/>
    <x v="2"/>
    <s v="398A13"/>
    <n v="39000339339"/>
    <m/>
  </r>
  <r>
    <n v="24"/>
    <x v="9"/>
    <x v="2"/>
    <s v="690A46"/>
    <n v="39000207259"/>
    <m/>
  </r>
  <r>
    <n v="25"/>
    <x v="10"/>
    <x v="2"/>
    <s v="295A27"/>
    <n v="39001488552"/>
    <m/>
  </r>
  <r>
    <n v="26"/>
    <x v="11"/>
    <x v="2"/>
    <s v="593A22"/>
    <n v="39001619085"/>
    <m/>
  </r>
  <r>
    <n v="27"/>
    <x v="9"/>
    <x v="2"/>
    <s v="690A19"/>
    <n v="39000200993"/>
    <m/>
  </r>
  <r>
    <n v="28"/>
    <x v="3"/>
    <x v="4"/>
    <s v="690S03"/>
    <n v="39000212602"/>
    <m/>
  </r>
  <r>
    <n v="29"/>
    <x v="4"/>
    <x v="2"/>
    <s v="398A13"/>
    <n v="39000341601"/>
    <m/>
  </r>
  <r>
    <n v="30"/>
    <x v="12"/>
    <x v="2"/>
    <s v="69BA09"/>
    <n v="39000587353"/>
    <m/>
  </r>
  <r>
    <n v="31"/>
    <x v="3"/>
    <x v="2"/>
    <s v="690A05"/>
    <n v="39002860260"/>
    <m/>
  </r>
  <r>
    <n v="32"/>
    <x v="12"/>
    <x v="2"/>
    <s v="69BA11"/>
    <n v="39000589394"/>
    <m/>
  </r>
  <r>
    <n v="33"/>
    <x v="1"/>
    <x v="2"/>
    <s v="295A09"/>
    <n v="39001520571"/>
    <m/>
  </r>
  <r>
    <n v="34"/>
    <x v="9"/>
    <x v="2"/>
    <s v="690A52"/>
    <n v="39000202293"/>
    <m/>
  </r>
  <r>
    <n v="35"/>
    <x v="6"/>
    <x v="1"/>
    <s v="39DM03"/>
    <n v="39000744016"/>
    <m/>
  </r>
  <r>
    <n v="36"/>
    <x v="13"/>
    <x v="0"/>
    <s v="79IP10"/>
    <n v="39002246023"/>
    <m/>
  </r>
  <r>
    <n v="37"/>
    <x v="2"/>
    <x v="2"/>
    <s v="790A17"/>
    <n v="39000958360"/>
    <m/>
  </r>
  <r>
    <n v="38"/>
    <x v="1"/>
    <x v="2"/>
    <s v="295A04"/>
    <n v="39002654457"/>
    <m/>
  </r>
  <r>
    <n v="39"/>
    <x v="7"/>
    <x v="2"/>
    <s v="592A10"/>
    <n v="39000654316"/>
    <m/>
  </r>
  <r>
    <n v="40"/>
    <x v="9"/>
    <x v="2"/>
    <s v="690A43"/>
    <n v="39000198367"/>
    <m/>
  </r>
  <r>
    <n v="41"/>
    <x v="6"/>
    <x v="0"/>
    <s v="39DP03"/>
    <n v="39000745511"/>
    <m/>
  </r>
  <r>
    <n v="42"/>
    <x v="6"/>
    <x v="2"/>
    <s v="39DA05"/>
    <n v="39002185092"/>
    <m/>
  </r>
  <r>
    <n v="43"/>
    <x v="12"/>
    <x v="2"/>
    <s v="69BA11"/>
    <n v="39000591604"/>
    <m/>
  </r>
  <r>
    <n v="44"/>
    <x v="0"/>
    <x v="0"/>
    <s v="39AP13"/>
    <n v="39001702532"/>
    <m/>
  </r>
  <r>
    <n v="45"/>
    <x v="2"/>
    <x v="1"/>
    <s v="790M03"/>
    <n v="39000966121"/>
    <m/>
  </r>
  <r>
    <n v="46"/>
    <x v="1"/>
    <x v="2"/>
    <s v="295A09"/>
    <n v="39001392742"/>
    <m/>
  </r>
  <r>
    <n v="47"/>
    <x v="3"/>
    <x v="2"/>
    <s v="690A02"/>
    <n v="39000213187"/>
    <m/>
  </r>
  <r>
    <n v="48"/>
    <x v="1"/>
    <x v="2"/>
    <s v="295A09"/>
    <n v="39002901522"/>
    <m/>
  </r>
  <r>
    <n v="49"/>
    <x v="6"/>
    <x v="1"/>
    <s v="39DM03"/>
    <n v="39000736723"/>
    <m/>
  </r>
  <r>
    <n v="50"/>
    <x v="9"/>
    <x v="2"/>
    <s v="690A44"/>
    <n v="39000214240"/>
    <m/>
  </r>
  <r>
    <n v="51"/>
    <x v="7"/>
    <x v="4"/>
    <s v="592S01"/>
    <n v="39000666003"/>
    <m/>
  </r>
  <r>
    <n v="52"/>
    <x v="4"/>
    <x v="2"/>
    <s v="398A11"/>
    <n v="39000329472"/>
    <m/>
  </r>
  <r>
    <n v="53"/>
    <x v="6"/>
    <x v="1"/>
    <s v="39DM03"/>
    <n v="39000736723"/>
    <m/>
  </r>
  <r>
    <n v="54"/>
    <x v="2"/>
    <x v="2"/>
    <s v="790A28"/>
    <n v="39000952302"/>
    <m/>
  </r>
  <r>
    <n v="55"/>
    <x v="9"/>
    <x v="2"/>
    <s v="690A45"/>
    <n v="39000224627"/>
    <m/>
  </r>
  <r>
    <n v="56"/>
    <x v="3"/>
    <x v="2"/>
    <s v="690A05"/>
    <n v="39000232661"/>
    <m/>
  </r>
  <r>
    <n v="57"/>
    <x v="11"/>
    <x v="2"/>
    <s v="593A23"/>
    <n v="39001764789"/>
    <m/>
  </r>
  <r>
    <n v="58"/>
    <x v="9"/>
    <x v="2"/>
    <s v="690A33"/>
    <n v="39000213837"/>
    <m/>
  </r>
  <r>
    <n v="59"/>
    <x v="2"/>
    <x v="2"/>
    <s v="790A13"/>
    <n v="39000967083"/>
    <m/>
  </r>
  <r>
    <n v="60"/>
    <x v="7"/>
    <x v="1"/>
    <s v="592M03"/>
    <n v="39000665262"/>
    <m/>
  </r>
  <r>
    <n v="61"/>
    <x v="13"/>
    <x v="5"/>
    <s v="4406"/>
    <n v="39002230709"/>
    <m/>
  </r>
  <r>
    <n v="62"/>
    <x v="1"/>
    <x v="2"/>
    <s v="295A06"/>
    <n v="39001463436"/>
    <m/>
  </r>
  <r>
    <n v="63"/>
    <x v="4"/>
    <x v="3"/>
    <s v="398C08"/>
    <n v="39000342953"/>
    <m/>
  </r>
  <r>
    <n v="64"/>
    <x v="6"/>
    <x v="2"/>
    <s v="39DA05"/>
    <n v="39000735280"/>
    <m/>
  </r>
  <r>
    <n v="65"/>
    <x v="3"/>
    <x v="0"/>
    <s v="690P15"/>
    <n v="39002858141"/>
    <m/>
  </r>
  <r>
    <n v="66"/>
    <x v="10"/>
    <x v="2"/>
    <s v="295A27"/>
    <n v="39001395589"/>
    <m/>
  </r>
  <r>
    <n v="67"/>
    <x v="1"/>
    <x v="2"/>
    <s v="295A18"/>
    <n v="39002694588"/>
    <m/>
  </r>
  <r>
    <n v="68"/>
    <x v="7"/>
    <x v="0"/>
    <s v="592P01"/>
    <n v="39000752791"/>
    <m/>
  </r>
  <r>
    <n v="69"/>
    <x v="10"/>
    <x v="2"/>
    <s v="295A26"/>
    <n v="39001531426"/>
    <m/>
  </r>
  <r>
    <n v="70"/>
    <x v="8"/>
    <x v="2"/>
    <s v="393A33"/>
    <n v="39000284349"/>
    <m/>
  </r>
  <r>
    <n v="71"/>
    <x v="4"/>
    <x v="2"/>
    <s v="398A08"/>
    <n v="39000347113"/>
    <m/>
  </r>
  <r>
    <n v="72"/>
    <x v="13"/>
    <x v="2"/>
    <s v="79IA01"/>
    <n v="39002265705"/>
    <m/>
  </r>
  <r>
    <n v="73"/>
    <x v="7"/>
    <x v="2"/>
    <s v="592A15"/>
    <n v="39000665613"/>
    <m/>
  </r>
  <r>
    <n v="74"/>
    <x v="1"/>
    <x v="2"/>
    <s v="295A08"/>
    <n v="39001551589"/>
    <m/>
  </r>
  <r>
    <n v="75"/>
    <x v="10"/>
    <x v="4"/>
    <s v="295S02"/>
    <n v="39001386450"/>
    <m/>
  </r>
  <r>
    <n v="76"/>
    <x v="12"/>
    <x v="2"/>
    <s v="69BA09"/>
    <n v="39000587353"/>
    <m/>
  </r>
  <r>
    <n v="77"/>
    <x v="9"/>
    <x v="2"/>
    <s v="690A25"/>
    <n v="39000220948"/>
    <m/>
  </r>
  <r>
    <n v="78"/>
    <x v="9"/>
    <x v="2"/>
    <s v="690A31"/>
    <n v="39000230035"/>
    <m/>
  </r>
  <r>
    <n v="79"/>
    <x v="1"/>
    <x v="2"/>
    <s v="295A12"/>
    <n v="39001547377"/>
    <m/>
  </r>
  <r>
    <n v="80"/>
    <x v="3"/>
    <x v="1"/>
    <s v="690M06"/>
    <n v="39000219921"/>
    <m/>
  </r>
  <r>
    <n v="81"/>
    <x v="2"/>
    <x v="2"/>
    <s v="790A18"/>
    <n v="39000966212"/>
    <m/>
  </r>
  <r>
    <n v="82"/>
    <x v="7"/>
    <x v="2"/>
    <s v="592A11"/>
    <n v="39000658606"/>
    <m/>
  </r>
  <r>
    <n v="83"/>
    <x v="12"/>
    <x v="2"/>
    <s v="69BA06"/>
    <n v="39000585559"/>
    <m/>
  </r>
  <r>
    <n v="84"/>
    <x v="9"/>
    <x v="2"/>
    <s v="690A52"/>
    <n v="39000204529"/>
    <m/>
  </r>
  <r>
    <n v="85"/>
    <x v="8"/>
    <x v="2"/>
    <s v="393A39"/>
    <n v="39000288535"/>
    <m/>
  </r>
  <r>
    <n v="86"/>
    <x v="3"/>
    <x v="1"/>
    <s v="690M02"/>
    <n v="39000220701"/>
    <m/>
  </r>
  <r>
    <n v="87"/>
    <x v="8"/>
    <x v="2"/>
    <s v="393A33"/>
    <n v="39000281645"/>
    <m/>
  </r>
  <r>
    <n v="88"/>
    <x v="7"/>
    <x v="0"/>
    <s v="592P30"/>
    <n v="39000658060"/>
    <m/>
  </r>
  <r>
    <n v="89"/>
    <x v="2"/>
    <x v="2"/>
    <s v="790A15"/>
    <n v="39000977938"/>
    <m/>
  </r>
  <r>
    <n v="90"/>
    <x v="2"/>
    <x v="0"/>
    <s v="790P01"/>
    <n v="39000985439"/>
    <m/>
  </r>
  <r>
    <n v="91"/>
    <x v="8"/>
    <x v="2"/>
    <s v="393A35"/>
    <n v="39000280735"/>
    <m/>
  </r>
  <r>
    <n v="92"/>
    <x v="9"/>
    <x v="2"/>
    <s v="690A35"/>
    <n v="39002332915"/>
    <m/>
  </r>
  <r>
    <n v="93"/>
    <x v="4"/>
    <x v="2"/>
    <s v="398A10"/>
    <n v="39002925091"/>
    <m/>
  </r>
  <r>
    <n v="94"/>
    <x v="10"/>
    <x v="2"/>
    <s v="295A27"/>
    <n v="39001386476"/>
    <m/>
  </r>
  <r>
    <n v="95"/>
    <x v="4"/>
    <x v="2"/>
    <s v="398A14"/>
    <n v="39000337090"/>
    <m/>
  </r>
  <r>
    <n v="96"/>
    <x v="4"/>
    <x v="2"/>
    <s v="398A13"/>
    <n v="39000343902"/>
    <m/>
  </r>
  <r>
    <n v="97"/>
    <x v="0"/>
    <x v="0"/>
    <s v="39AP15"/>
    <n v="39001689844"/>
    <m/>
  </r>
  <r>
    <n v="98"/>
    <x v="12"/>
    <x v="2"/>
    <s v="69BA30"/>
    <n v="39000586378"/>
    <m/>
  </r>
  <r>
    <n v="99"/>
    <x v="9"/>
    <x v="2"/>
    <s v="690A32"/>
    <n v="39000224900"/>
    <m/>
  </r>
  <r>
    <n v="100"/>
    <x v="1"/>
    <x v="2"/>
    <s v="295A15"/>
    <n v="39001417390"/>
    <m/>
  </r>
  <r>
    <n v="101"/>
    <x v="12"/>
    <x v="2"/>
    <s v="69BA10"/>
    <n v="39000584987"/>
    <m/>
  </r>
  <r>
    <n v="102"/>
    <x v="11"/>
    <x v="2"/>
    <s v="593A23"/>
    <n v="39001550731"/>
    <m/>
  </r>
  <r>
    <n v="103"/>
    <x v="8"/>
    <x v="1"/>
    <s v="393M06"/>
    <n v="39000283465"/>
    <m/>
  </r>
  <r>
    <n v="104"/>
    <x v="13"/>
    <x v="2"/>
    <s v="79IA06"/>
    <n v="39002286388"/>
    <m/>
  </r>
  <r>
    <n v="105"/>
    <x v="7"/>
    <x v="2"/>
    <s v="592A10"/>
    <n v="39000666575"/>
    <m/>
  </r>
  <r>
    <n v="106"/>
    <x v="9"/>
    <x v="2"/>
    <s v="690A28"/>
    <n v="39000240981"/>
    <m/>
  </r>
  <r>
    <n v="107"/>
    <x v="1"/>
    <x v="4"/>
    <s v="295S03"/>
    <n v="39001417234"/>
    <m/>
  </r>
  <r>
    <n v="108"/>
    <x v="7"/>
    <x v="1"/>
    <s v="592M09"/>
    <n v="39000665041"/>
    <m/>
  </r>
  <r>
    <n v="109"/>
    <x v="11"/>
    <x v="2"/>
    <s v="593A26"/>
    <n v="39001387490"/>
    <m/>
  </r>
  <r>
    <n v="110"/>
    <x v="13"/>
    <x v="0"/>
    <s v="79IP10"/>
    <n v="39002243943"/>
    <m/>
  </r>
  <r>
    <n v="111"/>
    <x v="9"/>
    <x v="6"/>
    <s v="690B01"/>
    <n v="39000227422"/>
    <m/>
  </r>
  <r>
    <n v="112"/>
    <x v="11"/>
    <x v="2"/>
    <s v="593A22"/>
    <n v="39001483989"/>
    <m/>
  </r>
  <r>
    <n v="113"/>
    <x v="7"/>
    <x v="4"/>
    <s v="592S01"/>
    <n v="39000753233"/>
    <m/>
  </r>
  <r>
    <n v="114"/>
    <x v="1"/>
    <x v="2"/>
    <s v="295A04"/>
    <n v="39001547403"/>
    <m/>
  </r>
  <r>
    <n v="115"/>
    <x v="12"/>
    <x v="2"/>
    <s v="69BA15"/>
    <n v="39001729351"/>
    <m/>
  </r>
  <r>
    <n v="116"/>
    <x v="12"/>
    <x v="2"/>
    <s v="69BA15"/>
    <n v="39000592696"/>
    <m/>
  </r>
  <r>
    <n v="117"/>
    <x v="2"/>
    <x v="0"/>
    <s v="790P40"/>
    <n v="39000983177"/>
    <m/>
  </r>
  <r>
    <n v="118"/>
    <x v="9"/>
    <x v="2"/>
    <s v="690A26"/>
    <n v="39000208572"/>
    <m/>
  </r>
  <r>
    <n v="119"/>
    <x v="0"/>
    <x v="2"/>
    <s v="39AA11"/>
    <n v="39001708915"/>
    <m/>
  </r>
  <r>
    <n v="120"/>
    <x v="2"/>
    <x v="1"/>
    <s v="790M03"/>
    <n v="39000965133"/>
    <m/>
  </r>
  <r>
    <n v="121"/>
    <x v="4"/>
    <x v="2"/>
    <s v="398A11"/>
    <n v="39000331019"/>
    <m/>
  </r>
  <r>
    <n v="122"/>
    <x v="12"/>
    <x v="2"/>
    <s v="69BA14"/>
    <n v="39002736084"/>
    <m/>
  </r>
  <r>
    <n v="123"/>
    <x v="2"/>
    <x v="1"/>
    <s v="790M06"/>
    <n v="39000966212"/>
    <m/>
  </r>
  <r>
    <n v="124"/>
    <x v="2"/>
    <x v="2"/>
    <s v="790A14"/>
    <n v="39000951262"/>
    <m/>
  </r>
  <r>
    <n v="125"/>
    <x v="3"/>
    <x v="2"/>
    <s v="690A11"/>
    <n v="39000199771"/>
    <m/>
  </r>
  <r>
    <n v="126"/>
    <x v="9"/>
    <x v="2"/>
    <s v="690A34"/>
    <n v="39002856828"/>
    <m/>
  </r>
  <r>
    <n v="127"/>
    <x v="3"/>
    <x v="0"/>
    <s v="690P16"/>
    <n v="39000200889"/>
    <m/>
  </r>
  <r>
    <n v="128"/>
    <x v="9"/>
    <x v="2"/>
    <s v="690A42"/>
    <n v="39000424606"/>
    <m/>
  </r>
  <r>
    <n v="129"/>
    <x v="12"/>
    <x v="2"/>
    <s v="69BA05"/>
    <n v="39000593268"/>
    <m/>
  </r>
  <r>
    <n v="130"/>
    <x v="6"/>
    <x v="4"/>
    <s v="39DS01"/>
    <n v="39002797470"/>
    <m/>
  </r>
  <r>
    <n v="131"/>
    <x v="2"/>
    <x v="1"/>
    <s v="790M03"/>
    <n v="39000957008"/>
    <m/>
  </r>
  <r>
    <n v="132"/>
    <x v="0"/>
    <x v="1"/>
    <s v="39AM06"/>
    <n v="39001707030"/>
    <m/>
  </r>
  <r>
    <n v="133"/>
    <x v="2"/>
    <x v="2"/>
    <s v="790A26"/>
    <n v="39000976196"/>
    <m/>
  </r>
  <r>
    <n v="134"/>
    <x v="4"/>
    <x v="2"/>
    <s v="398A09"/>
    <n v="39000330577"/>
    <m/>
  </r>
  <r>
    <n v="135"/>
    <x v="1"/>
    <x v="2"/>
    <s v="295A20"/>
    <n v="39001519648"/>
    <m/>
  </r>
  <r>
    <n v="136"/>
    <x v="2"/>
    <x v="2"/>
    <s v="790A25"/>
    <n v="39000980447"/>
    <m/>
  </r>
  <r>
    <n v="137"/>
    <x v="1"/>
    <x v="2"/>
    <s v="295A13"/>
    <n v="39001584947"/>
    <m/>
  </r>
  <r>
    <n v="138"/>
    <x v="7"/>
    <x v="0"/>
    <s v="592P01"/>
    <n v="39000752271"/>
    <m/>
  </r>
  <r>
    <n v="139"/>
    <x v="7"/>
    <x v="1"/>
    <s v="592M08"/>
    <n v="39000660634"/>
    <m/>
  </r>
  <r>
    <n v="140"/>
    <x v="4"/>
    <x v="1"/>
    <s v="398M03"/>
    <n v="39000337337"/>
    <m/>
  </r>
  <r>
    <n v="141"/>
    <x v="1"/>
    <x v="2"/>
    <s v="295A20"/>
    <n v="39001392560"/>
    <m/>
  </r>
  <r>
    <n v="142"/>
    <x v="0"/>
    <x v="5"/>
    <s v="4402"/>
    <n v="39001695486"/>
    <m/>
  </r>
  <r>
    <n v="143"/>
    <x v="12"/>
    <x v="1"/>
    <s v="69BM93"/>
    <n v="39000592683"/>
    <m/>
  </r>
  <r>
    <n v="144"/>
    <x v="3"/>
    <x v="0"/>
    <s v="690P17"/>
    <n v="39000234221"/>
    <m/>
  </r>
  <r>
    <n v="145"/>
    <x v="8"/>
    <x v="2"/>
    <s v="393A37"/>
    <n v="39000287664"/>
    <m/>
  </r>
  <r>
    <n v="146"/>
    <x v="9"/>
    <x v="0"/>
    <s v="690P30"/>
    <n v="39000206388"/>
    <m/>
  </r>
  <r>
    <n v="147"/>
    <x v="12"/>
    <x v="2"/>
    <s v="69BA11"/>
    <n v="39000593164"/>
    <m/>
  </r>
  <r>
    <n v="148"/>
    <x v="9"/>
    <x v="2"/>
    <s v="690A46"/>
    <n v="39000220584"/>
    <m/>
  </r>
  <r>
    <n v="149"/>
    <x v="1"/>
    <x v="2"/>
    <s v="295A17"/>
    <n v="39001392820"/>
    <m/>
  </r>
  <r>
    <n v="150"/>
    <x v="4"/>
    <x v="1"/>
    <s v="398M95"/>
    <n v="39000342823"/>
    <m/>
  </r>
  <r>
    <n v="151"/>
    <x v="0"/>
    <x v="2"/>
    <s v="39AA10"/>
    <n v="39001969578"/>
    <m/>
  </r>
  <r>
    <n v="152"/>
    <x v="3"/>
    <x v="2"/>
    <s v="690A07"/>
    <n v="39000219284"/>
    <m/>
  </r>
  <r>
    <n v="153"/>
    <x v="1"/>
    <x v="2"/>
    <s v="295A07"/>
    <n v="39001479270"/>
    <m/>
  </r>
  <r>
    <n v="154"/>
    <x v="8"/>
    <x v="1"/>
    <s v="393M05"/>
    <n v="39000279890"/>
    <m/>
  </r>
  <r>
    <n v="155"/>
    <x v="4"/>
    <x v="2"/>
    <s v="398A14"/>
    <n v="39000347984"/>
    <m/>
  </r>
  <r>
    <n v="156"/>
    <x v="1"/>
    <x v="2"/>
    <s v="295A20"/>
    <n v="39001585194"/>
    <m/>
  </r>
  <r>
    <n v="157"/>
    <x v="5"/>
    <x v="2"/>
    <s v="393A25"/>
    <n v="39000264667"/>
    <m/>
  </r>
  <r>
    <n v="158"/>
    <x v="6"/>
    <x v="0"/>
    <s v="39DP03"/>
    <n v="39002793505"/>
    <m/>
  </r>
  <r>
    <n v="159"/>
    <x v="9"/>
    <x v="1"/>
    <s v="690M15"/>
    <n v="39000220441"/>
    <m/>
  </r>
  <r>
    <n v="160"/>
    <x v="4"/>
    <x v="2"/>
    <s v="398A10"/>
    <n v="39000340795"/>
    <m/>
  </r>
  <r>
    <n v="161"/>
    <x v="9"/>
    <x v="2"/>
    <s v="690A24"/>
    <n v="39000199589"/>
    <m/>
  </r>
  <r>
    <n v="162"/>
    <x v="7"/>
    <x v="2"/>
    <s v="592A14"/>
    <n v="39000656097"/>
    <m/>
  </r>
  <r>
    <n v="163"/>
    <x v="7"/>
    <x v="4"/>
    <s v="592S03"/>
    <n v="39000665184"/>
    <m/>
  </r>
  <r>
    <n v="164"/>
    <x v="9"/>
    <x v="2"/>
    <s v="690A31"/>
    <n v="39001846988"/>
    <m/>
  </r>
  <r>
    <n v="165"/>
    <x v="1"/>
    <x v="1"/>
    <s v="295M05"/>
    <n v="39001525238"/>
    <m/>
  </r>
  <r>
    <n v="166"/>
    <x v="8"/>
    <x v="1"/>
    <s v="393M04"/>
    <n v="39000283803"/>
    <m/>
  </r>
  <r>
    <n v="167"/>
    <x v="1"/>
    <x v="2"/>
    <s v="295A24"/>
    <n v="39001520298"/>
    <m/>
  </r>
  <r>
    <n v="168"/>
    <x v="4"/>
    <x v="1"/>
    <s v="398M04"/>
    <n v="39000337402"/>
    <m/>
  </r>
  <r>
    <n v="169"/>
    <x v="3"/>
    <x v="2"/>
    <s v="690A02"/>
    <n v="39000228449"/>
    <m/>
  </r>
  <r>
    <n v="170"/>
    <x v="8"/>
    <x v="2"/>
    <s v="393A34"/>
    <n v="39002382822"/>
    <m/>
  </r>
  <r>
    <n v="171"/>
    <x v="0"/>
    <x v="0"/>
    <s v="39AP17"/>
    <n v="39001721733"/>
    <m/>
  </r>
  <r>
    <n v="172"/>
    <x v="9"/>
    <x v="2"/>
    <s v="690A45"/>
    <n v="39000205335"/>
    <m/>
  </r>
  <r>
    <n v="173"/>
    <x v="1"/>
    <x v="4"/>
    <s v="295S03"/>
    <n v="39001417598"/>
    <m/>
  </r>
  <r>
    <n v="174"/>
    <x v="4"/>
    <x v="2"/>
    <s v="398A13"/>
    <n v="39000346268"/>
    <m/>
  </r>
  <r>
    <n v="175"/>
    <x v="9"/>
    <x v="2"/>
    <s v="690A43"/>
    <n v="39000198367"/>
    <m/>
  </r>
  <r>
    <n v="176"/>
    <x v="4"/>
    <x v="2"/>
    <s v="398A10"/>
    <n v="39000341900"/>
    <m/>
  </r>
  <r>
    <n v="177"/>
    <x v="9"/>
    <x v="2"/>
    <s v="690A19"/>
    <n v="39002901834"/>
    <m/>
  </r>
  <r>
    <n v="178"/>
    <x v="12"/>
    <x v="2"/>
    <s v="69BA16"/>
    <n v="39000600717"/>
    <m/>
  </r>
  <r>
    <n v="179"/>
    <x v="5"/>
    <x v="2"/>
    <s v="393A23"/>
    <n v="39000263718"/>
    <m/>
  </r>
  <r>
    <n v="180"/>
    <x v="1"/>
    <x v="4"/>
    <s v="295S01"/>
    <n v="39001488526"/>
    <m/>
  </r>
  <r>
    <n v="181"/>
    <x v="13"/>
    <x v="2"/>
    <s v="79IA03"/>
    <n v="39002200068"/>
    <m/>
  </r>
  <r>
    <n v="182"/>
    <x v="4"/>
    <x v="2"/>
    <s v="398A19"/>
    <n v="39000340691"/>
    <m/>
  </r>
  <r>
    <n v="183"/>
    <x v="3"/>
    <x v="2"/>
    <s v="690A06"/>
    <n v="39000206570"/>
    <m/>
  </r>
  <r>
    <n v="184"/>
    <x v="5"/>
    <x v="2"/>
    <s v="393A22"/>
    <n v="39000267358"/>
    <m/>
  </r>
  <r>
    <n v="185"/>
    <x v="2"/>
    <x v="2"/>
    <s v="790A19"/>
    <n v="39000962897"/>
    <m/>
  </r>
  <r>
    <n v="186"/>
    <x v="1"/>
    <x v="2"/>
    <s v="295A10"/>
    <n v="39001501617"/>
    <m/>
  </r>
  <r>
    <n v="187"/>
    <x v="8"/>
    <x v="2"/>
    <s v="393A41"/>
    <n v="39000278057"/>
    <m/>
  </r>
  <r>
    <n v="188"/>
    <x v="4"/>
    <x v="1"/>
    <s v="398M01"/>
    <n v="39000408993"/>
    <m/>
  </r>
  <r>
    <n v="189"/>
    <x v="3"/>
    <x v="2"/>
    <s v="690A04"/>
    <n v="39000214370"/>
    <m/>
  </r>
  <r>
    <n v="190"/>
    <x v="3"/>
    <x v="1"/>
    <s v="690M06"/>
    <n v="39000212394"/>
    <m/>
  </r>
  <r>
    <n v="191"/>
    <x v="2"/>
    <x v="2"/>
    <s v="790A29"/>
    <n v="39000963482"/>
    <m/>
  </r>
  <r>
    <n v="192"/>
    <x v="9"/>
    <x v="2"/>
    <s v="690A52"/>
    <n v="39000214643"/>
    <m/>
  </r>
  <r>
    <n v="193"/>
    <x v="12"/>
    <x v="2"/>
    <s v="69BA06"/>
    <n v="39000593242"/>
    <m/>
  </r>
  <r>
    <n v="194"/>
    <x v="13"/>
    <x v="2"/>
    <s v="79IA03"/>
    <n v="39002280668"/>
    <m/>
  </r>
  <r>
    <n v="195"/>
    <x v="3"/>
    <x v="1"/>
    <s v="690M05"/>
    <n v="39000220389"/>
    <m/>
  </r>
  <r>
    <n v="196"/>
    <x v="5"/>
    <x v="2"/>
    <s v="393A23"/>
    <n v="39000266513"/>
    <m/>
  </r>
  <r>
    <n v="197"/>
    <x v="2"/>
    <x v="2"/>
    <s v="790A15"/>
    <n v="39000963534"/>
    <m/>
  </r>
  <r>
    <n v="198"/>
    <x v="10"/>
    <x v="1"/>
    <s v="295M09"/>
    <n v="39001386463"/>
    <m/>
  </r>
  <r>
    <n v="199"/>
    <x v="10"/>
    <x v="1"/>
    <s v="295M12"/>
    <n v="39001520129"/>
    <m/>
  </r>
  <r>
    <n v="200"/>
    <x v="2"/>
    <x v="2"/>
    <s v="790A26"/>
    <n v="39000957008"/>
    <m/>
  </r>
  <r>
    <n v="201"/>
    <x v="4"/>
    <x v="2"/>
    <s v="398A09"/>
    <n v="39000404053"/>
    <m/>
  </r>
  <r>
    <n v="202"/>
    <x v="4"/>
    <x v="2"/>
    <s v="398A13"/>
    <n v="39000342524"/>
    <m/>
  </r>
  <r>
    <n v="203"/>
    <x v="13"/>
    <x v="2"/>
    <s v="79IA02"/>
    <n v="39002218307"/>
    <m/>
  </r>
  <r>
    <n v="204"/>
    <x v="9"/>
    <x v="1"/>
    <s v="690M10"/>
    <n v="39000213616"/>
    <m/>
  </r>
  <r>
    <n v="205"/>
    <x v="2"/>
    <x v="2"/>
    <s v="790A25"/>
    <n v="39000964288"/>
    <m/>
  </r>
  <r>
    <n v="206"/>
    <x v="0"/>
    <x v="0"/>
    <s v="39AP15"/>
    <n v="39002180022"/>
    <m/>
  </r>
  <r>
    <n v="207"/>
    <x v="4"/>
    <x v="3"/>
    <s v="398C07"/>
    <n v="39000336544"/>
    <m/>
  </r>
  <r>
    <n v="208"/>
    <x v="0"/>
    <x v="0"/>
    <s v="39AP15"/>
    <n v="39001699217"/>
    <m/>
  </r>
  <r>
    <n v="209"/>
    <x v="13"/>
    <x v="1"/>
    <s v="79IM02"/>
    <n v="39002289040"/>
    <m/>
  </r>
  <r>
    <n v="210"/>
    <x v="1"/>
    <x v="2"/>
    <s v="295A17"/>
    <n v="39001520363"/>
    <m/>
  </r>
  <r>
    <n v="211"/>
    <x v="9"/>
    <x v="2"/>
    <s v="690A21"/>
    <n v="39000201500"/>
    <m/>
  </r>
  <r>
    <n v="212"/>
    <x v="7"/>
    <x v="0"/>
    <s v="592P30"/>
    <n v="39000666133"/>
    <m/>
  </r>
  <r>
    <n v="213"/>
    <x v="4"/>
    <x v="2"/>
    <s v="398A20"/>
    <n v="39000346983"/>
    <m/>
  </r>
  <r>
    <n v="214"/>
    <x v="1"/>
    <x v="2"/>
    <s v="295A12"/>
    <n v="39001585558"/>
    <m/>
  </r>
  <r>
    <n v="215"/>
    <x v="7"/>
    <x v="1"/>
    <s v="592M09"/>
    <n v="39000667121"/>
    <m/>
  </r>
  <r>
    <n v="216"/>
    <x v="1"/>
    <x v="2"/>
    <s v="295A21"/>
    <n v="39001551576"/>
    <m/>
  </r>
  <r>
    <n v="217"/>
    <x v="11"/>
    <x v="2"/>
    <s v="593A26"/>
    <n v="39001488318"/>
    <m/>
  </r>
  <r>
    <n v="218"/>
    <x v="2"/>
    <x v="2"/>
    <s v="790A16"/>
    <n v="39000967447"/>
    <m/>
  </r>
  <r>
    <n v="219"/>
    <x v="7"/>
    <x v="2"/>
    <s v="592A17"/>
    <n v="39000658619"/>
    <m/>
  </r>
  <r>
    <n v="220"/>
    <x v="3"/>
    <x v="2"/>
    <s v="690A04"/>
    <n v="39000198341"/>
    <m/>
  </r>
  <r>
    <n v="221"/>
    <x v="4"/>
    <x v="2"/>
    <s v="398A20"/>
    <n v="39001971463"/>
    <m/>
  </r>
  <r>
    <n v="222"/>
    <x v="12"/>
    <x v="1"/>
    <s v="69BM06"/>
    <n v="39000588588"/>
    <m/>
  </r>
  <r>
    <n v="223"/>
    <x v="3"/>
    <x v="2"/>
    <s v="690A01"/>
    <n v="39000220675"/>
    <m/>
  </r>
  <r>
    <n v="224"/>
    <x v="2"/>
    <x v="2"/>
    <s v="790A14"/>
    <n v="39000959231"/>
    <m/>
  </r>
  <r>
    <n v="225"/>
    <x v="4"/>
    <x v="0"/>
    <s v="398P04"/>
    <n v="39001670630"/>
    <m/>
  </r>
  <r>
    <n v="226"/>
    <x v="11"/>
    <x v="2"/>
    <s v="593A26"/>
    <n v="39001483911"/>
    <m/>
  </r>
  <r>
    <n v="227"/>
    <x v="13"/>
    <x v="2"/>
    <s v="79IA06"/>
    <n v="39002276547"/>
    <m/>
  </r>
  <r>
    <n v="228"/>
    <x v="0"/>
    <x v="2"/>
    <s v="39AA11"/>
    <n v="39001687504"/>
    <m/>
  </r>
  <r>
    <n v="229"/>
    <x v="4"/>
    <x v="2"/>
    <s v="398A18"/>
    <n v="39002374879"/>
    <m/>
  </r>
  <r>
    <n v="230"/>
    <x v="13"/>
    <x v="2"/>
    <s v="79IA06"/>
    <n v="39002261974"/>
    <m/>
  </r>
  <r>
    <n v="231"/>
    <x v="9"/>
    <x v="2"/>
    <s v="690A33"/>
    <n v="39000198770"/>
    <m/>
  </r>
  <r>
    <n v="232"/>
    <x v="0"/>
    <x v="0"/>
    <s v="39AP13"/>
    <n v="39002657603"/>
    <m/>
  </r>
  <r>
    <n v="233"/>
    <x v="3"/>
    <x v="2"/>
    <s v="690A06"/>
    <n v="39002650258"/>
    <m/>
  </r>
  <r>
    <n v="234"/>
    <x v="9"/>
    <x v="2"/>
    <s v="690A35"/>
    <n v="39000237614"/>
    <m/>
  </r>
  <r>
    <n v="235"/>
    <x v="13"/>
    <x v="2"/>
    <s v="79IA03"/>
    <n v="39002246140"/>
    <m/>
  </r>
  <r>
    <n v="236"/>
    <x v="9"/>
    <x v="2"/>
    <s v="690A22"/>
    <n v="39000207207"/>
    <m/>
  </r>
  <r>
    <n v="237"/>
    <x v="0"/>
    <x v="2"/>
    <s v="39AA12"/>
    <n v="39001703182"/>
    <m/>
  </r>
  <r>
    <n v="238"/>
    <x v="1"/>
    <x v="2"/>
    <s v="295A04"/>
    <n v="39001648660"/>
    <m/>
  </r>
  <r>
    <n v="239"/>
    <x v="3"/>
    <x v="2"/>
    <s v="690A14"/>
    <n v="39000208429"/>
    <m/>
  </r>
  <r>
    <n v="240"/>
    <x v="6"/>
    <x v="2"/>
    <s v="39DA05"/>
    <n v="39000728026"/>
    <m/>
  </r>
  <r>
    <n v="241"/>
    <x v="6"/>
    <x v="1"/>
    <s v="39DM06"/>
    <n v="39002797418"/>
    <m/>
  </r>
  <r>
    <n v="242"/>
    <x v="4"/>
    <x v="2"/>
    <s v="398A07"/>
    <n v="39000337116"/>
    <m/>
  </r>
  <r>
    <n v="243"/>
    <x v="4"/>
    <x v="2"/>
    <s v="398A08"/>
    <n v="39002373969"/>
    <m/>
  </r>
  <r>
    <n v="244"/>
    <x v="4"/>
    <x v="2"/>
    <s v="398A16"/>
    <n v="39000330174"/>
    <m/>
  </r>
  <r>
    <n v="245"/>
    <x v="4"/>
    <x v="2"/>
    <s v="398A20"/>
    <n v="39000338273"/>
    <m/>
  </r>
  <r>
    <n v="246"/>
    <x v="8"/>
    <x v="2"/>
    <s v="393A39"/>
    <n v="39000282113"/>
    <m/>
  </r>
  <r>
    <n v="247"/>
    <x v="13"/>
    <x v="4"/>
    <s v="79IS01"/>
    <n v="39002280551"/>
    <m/>
  </r>
  <r>
    <n v="248"/>
    <x v="6"/>
    <x v="1"/>
    <s v="39DM06"/>
    <n v="39002797470"/>
    <m/>
  </r>
  <r>
    <n v="249"/>
    <x v="3"/>
    <x v="0"/>
    <s v="690P15"/>
    <n v="39000201669"/>
    <m/>
  </r>
  <r>
    <n v="250"/>
    <x v="5"/>
    <x v="2"/>
    <s v="393A22"/>
    <n v="39002660944"/>
    <m/>
  </r>
  <r>
    <n v="251"/>
    <x v="3"/>
    <x v="1"/>
    <s v="690M05"/>
    <n v="39000212784"/>
    <m/>
  </r>
  <r>
    <n v="252"/>
    <x v="8"/>
    <x v="2"/>
    <s v="393A37"/>
    <n v="39000279201"/>
    <m/>
  </r>
  <r>
    <n v="253"/>
    <x v="9"/>
    <x v="2"/>
    <s v="690A42"/>
    <n v="39000213551"/>
    <m/>
  </r>
  <r>
    <n v="254"/>
    <x v="0"/>
    <x v="0"/>
    <s v="39AP16"/>
    <n v="39001698645"/>
    <m/>
  </r>
  <r>
    <n v="255"/>
    <x v="9"/>
    <x v="2"/>
    <s v="690A34"/>
    <n v="39000201344"/>
    <m/>
  </r>
  <r>
    <n v="256"/>
    <x v="3"/>
    <x v="2"/>
    <s v="690A06"/>
    <n v="39000203398"/>
    <m/>
  </r>
  <r>
    <n v="257"/>
    <x v="9"/>
    <x v="2"/>
    <s v="690A31"/>
    <n v="39000200135"/>
    <m/>
  </r>
  <r>
    <n v="258"/>
    <x v="2"/>
    <x v="2"/>
    <s v="790A19"/>
    <n v="39000953693"/>
    <m/>
  </r>
  <r>
    <n v="259"/>
    <x v="1"/>
    <x v="2"/>
    <s v="295A09"/>
    <n v="39001626950"/>
    <m/>
  </r>
  <r>
    <n v="260"/>
    <x v="2"/>
    <x v="1"/>
    <s v="790M05"/>
    <n v="39000957697"/>
    <m/>
  </r>
  <r>
    <n v="261"/>
    <x v="3"/>
    <x v="2"/>
    <s v="690A11"/>
    <n v="39002903836"/>
    <m/>
  </r>
  <r>
    <n v="262"/>
    <x v="1"/>
    <x v="2"/>
    <s v="295A01"/>
    <n v="39002696720"/>
    <m/>
  </r>
  <r>
    <n v="263"/>
    <x v="9"/>
    <x v="2"/>
    <s v="690A43"/>
    <n v="39000196885"/>
    <m/>
  </r>
  <r>
    <n v="264"/>
    <x v="10"/>
    <x v="2"/>
    <s v="295A26"/>
    <n v="39001482117"/>
    <m/>
  </r>
  <r>
    <n v="265"/>
    <x v="12"/>
    <x v="2"/>
    <s v="69BA12"/>
    <n v="39002366117"/>
    <m/>
  </r>
  <r>
    <n v="266"/>
    <x v="2"/>
    <x v="0"/>
    <s v="790P40"/>
    <n v="39000983359"/>
    <m/>
  </r>
  <r>
    <n v="267"/>
    <x v="3"/>
    <x v="2"/>
    <s v="690A05"/>
    <n v="39000214669"/>
    <m/>
  </r>
  <r>
    <n v="268"/>
    <x v="7"/>
    <x v="2"/>
    <s v="592A08"/>
    <n v="39000665262"/>
    <m/>
  </r>
  <r>
    <n v="269"/>
    <x v="8"/>
    <x v="2"/>
    <s v="393A41"/>
    <n v="39000278083"/>
    <m/>
  </r>
  <r>
    <n v="270"/>
    <x v="10"/>
    <x v="2"/>
    <s v="295A27"/>
    <n v="39001418053"/>
    <m/>
  </r>
  <r>
    <n v="271"/>
    <x v="8"/>
    <x v="2"/>
    <s v="393A37"/>
    <n v="39000285155"/>
    <m/>
  </r>
  <r>
    <n v="272"/>
    <x v="4"/>
    <x v="2"/>
    <s v="398A10"/>
    <n v="39000342745"/>
    <m/>
  </r>
  <r>
    <n v="273"/>
    <x v="5"/>
    <x v="2"/>
    <s v="393A23"/>
    <n v="39001770353"/>
    <m/>
  </r>
  <r>
    <n v="274"/>
    <x v="4"/>
    <x v="2"/>
    <s v="398A14"/>
    <n v="39000346658"/>
    <m/>
  </r>
  <r>
    <n v="275"/>
    <x v="6"/>
    <x v="1"/>
    <s v="39DM06"/>
    <n v="39002797470"/>
    <m/>
  </r>
  <r>
    <n v="276"/>
    <x v="4"/>
    <x v="2"/>
    <s v="398A08"/>
    <n v="39002147418"/>
    <m/>
  </r>
  <r>
    <n v="277"/>
    <x v="2"/>
    <x v="2"/>
    <s v="790A30"/>
    <n v="39000950911"/>
    <m/>
  </r>
  <r>
    <n v="278"/>
    <x v="7"/>
    <x v="2"/>
    <s v="592A15"/>
    <n v="39000665080"/>
    <m/>
  </r>
  <r>
    <n v="279"/>
    <x v="4"/>
    <x v="2"/>
    <s v="398A23"/>
    <n v="39000332748"/>
    <m/>
  </r>
  <r>
    <n v="280"/>
    <x v="6"/>
    <x v="0"/>
    <s v="39DP03"/>
    <n v="39002793466"/>
    <m/>
  </r>
  <r>
    <n v="281"/>
    <x v="2"/>
    <x v="0"/>
    <s v="790P40"/>
    <n v="39002843919"/>
    <m/>
  </r>
  <r>
    <n v="282"/>
    <x v="2"/>
    <x v="2"/>
    <s v="790A27"/>
    <n v="39000950079"/>
    <m/>
  </r>
  <r>
    <n v="283"/>
    <x v="12"/>
    <x v="2"/>
    <s v="69BA09"/>
    <n v="39000589537"/>
    <m/>
  </r>
  <r>
    <n v="284"/>
    <x v="3"/>
    <x v="2"/>
    <s v="690A04"/>
    <n v="39000220103"/>
    <m/>
  </r>
  <r>
    <n v="285"/>
    <x v="2"/>
    <x v="0"/>
    <s v="790P39"/>
    <n v="39000988364"/>
    <m/>
  </r>
  <r>
    <n v="286"/>
    <x v="1"/>
    <x v="2"/>
    <s v="295A05"/>
    <n v="39001451502"/>
    <m/>
  </r>
  <r>
    <n v="287"/>
    <x v="9"/>
    <x v="2"/>
    <s v="690A37"/>
    <n v="39000223847"/>
    <m/>
  </r>
  <r>
    <n v="288"/>
    <x v="1"/>
    <x v="2"/>
    <s v="295A13"/>
    <n v="39001475955"/>
    <m/>
  </r>
  <r>
    <n v="289"/>
    <x v="9"/>
    <x v="2"/>
    <s v="690A52"/>
    <n v="39002332954"/>
    <m/>
  </r>
  <r>
    <n v="290"/>
    <x v="1"/>
    <x v="2"/>
    <s v="295A01"/>
    <n v="39001417988"/>
    <m/>
  </r>
  <r>
    <n v="291"/>
    <x v="4"/>
    <x v="0"/>
    <s v="398P03"/>
    <n v="39000333385"/>
    <m/>
  </r>
  <r>
    <n v="292"/>
    <x v="11"/>
    <x v="2"/>
    <s v="593A26"/>
    <n v="39002763319"/>
    <m/>
  </r>
  <r>
    <n v="293"/>
    <x v="9"/>
    <x v="2"/>
    <s v="690A33"/>
    <n v="39000234741"/>
    <m/>
  </r>
  <r>
    <n v="294"/>
    <x v="7"/>
    <x v="2"/>
    <s v="592A19"/>
    <n v="39002363140"/>
    <m/>
  </r>
  <r>
    <n v="295"/>
    <x v="8"/>
    <x v="2"/>
    <s v="393A36"/>
    <n v="39000279383"/>
    <m/>
  </r>
  <r>
    <n v="296"/>
    <x v="3"/>
    <x v="0"/>
    <s v="690P50"/>
    <n v="39000204399"/>
    <m/>
  </r>
  <r>
    <n v="297"/>
    <x v="4"/>
    <x v="2"/>
    <s v="398A08"/>
    <n v="39000344981"/>
    <m/>
  </r>
  <r>
    <n v="298"/>
    <x v="8"/>
    <x v="0"/>
    <s v="393P42"/>
    <n v="39000278993"/>
    <m/>
  </r>
  <r>
    <n v="299"/>
    <x v="9"/>
    <x v="1"/>
    <s v="690M08"/>
    <n v="39000220922"/>
    <m/>
  </r>
  <r>
    <n v="300"/>
    <x v="9"/>
    <x v="2"/>
    <s v="690A34"/>
    <n v="39000211900"/>
    <m/>
  </r>
  <r>
    <n v="301"/>
    <x v="7"/>
    <x v="2"/>
    <s v="592A11"/>
    <n v="39000660738"/>
    <m/>
  </r>
  <r>
    <n v="302"/>
    <x v="1"/>
    <x v="2"/>
    <s v="295A04"/>
    <n v="39001525121"/>
    <m/>
  </r>
  <r>
    <n v="303"/>
    <x v="9"/>
    <x v="2"/>
    <s v="690A34"/>
    <n v="39000203021"/>
    <m/>
  </r>
  <r>
    <n v="304"/>
    <x v="11"/>
    <x v="1"/>
    <s v="593M09"/>
    <n v="39001550913"/>
    <m/>
  </r>
  <r>
    <n v="305"/>
    <x v="12"/>
    <x v="2"/>
    <s v="69BA13"/>
    <n v="39002684266"/>
    <m/>
  </r>
  <r>
    <n v="306"/>
    <x v="9"/>
    <x v="6"/>
    <s v="690B01"/>
    <n v="39000215774"/>
    <m/>
  </r>
  <r>
    <n v="307"/>
    <x v="4"/>
    <x v="2"/>
    <s v="398A15"/>
    <n v="39000332332"/>
    <m/>
  </r>
  <r>
    <n v="308"/>
    <x v="11"/>
    <x v="1"/>
    <s v="593M09"/>
    <n v="39001449695"/>
    <m/>
  </r>
  <r>
    <n v="309"/>
    <x v="12"/>
    <x v="2"/>
    <s v="69BA13"/>
    <n v="39000587119"/>
    <m/>
  </r>
  <r>
    <n v="310"/>
    <x v="8"/>
    <x v="2"/>
    <s v="393A40"/>
    <n v="39002864017"/>
    <m/>
  </r>
  <r>
    <n v="311"/>
    <x v="4"/>
    <x v="2"/>
    <s v="398A10"/>
    <n v="39000341328"/>
    <m/>
  </r>
  <r>
    <n v="312"/>
    <x v="8"/>
    <x v="0"/>
    <s v="393P43"/>
    <n v="39000282152"/>
    <m/>
  </r>
  <r>
    <n v="313"/>
    <x v="4"/>
    <x v="0"/>
    <s v="398P04"/>
    <n v="39000334074"/>
    <m/>
  </r>
  <r>
    <n v="314"/>
    <x v="4"/>
    <x v="2"/>
    <s v="398A14"/>
    <n v="39000336453"/>
    <m/>
  </r>
  <r>
    <n v="315"/>
    <x v="10"/>
    <x v="2"/>
    <s v="295A27"/>
    <n v="39002414061"/>
    <m/>
  </r>
  <r>
    <n v="316"/>
    <x v="5"/>
    <x v="2"/>
    <s v="393A26"/>
    <n v="39000263055"/>
    <m/>
  </r>
  <r>
    <n v="317"/>
    <x v="1"/>
    <x v="2"/>
    <s v="295A11"/>
    <n v="39001434875"/>
    <m/>
  </r>
  <r>
    <n v="318"/>
    <x v="6"/>
    <x v="0"/>
    <s v="39DP02"/>
    <n v="39002793427"/>
    <m/>
  </r>
  <r>
    <n v="319"/>
    <x v="4"/>
    <x v="2"/>
    <s v="398A21"/>
    <n v="39000314912"/>
    <m/>
  </r>
  <r>
    <n v="320"/>
    <x v="6"/>
    <x v="0"/>
    <s v="39DP03"/>
    <n v="39002794610"/>
    <m/>
  </r>
  <r>
    <n v="321"/>
    <x v="7"/>
    <x v="1"/>
    <s v="592M07"/>
    <n v="39000665106"/>
    <m/>
  </r>
  <r>
    <n v="322"/>
    <x v="6"/>
    <x v="2"/>
    <s v="39DA04"/>
    <n v="39000741715"/>
    <m/>
  </r>
  <r>
    <n v="323"/>
    <x v="7"/>
    <x v="1"/>
    <s v="592M02"/>
    <n v="39000665314"/>
    <m/>
  </r>
  <r>
    <n v="324"/>
    <x v="7"/>
    <x v="2"/>
    <s v="592A20"/>
    <n v="39000660777"/>
    <m/>
  </r>
  <r>
    <n v="325"/>
    <x v="9"/>
    <x v="2"/>
    <s v="690A53"/>
    <n v="39002397018"/>
    <m/>
  </r>
  <r>
    <n v="326"/>
    <x v="7"/>
    <x v="6"/>
    <s v="592B01"/>
    <n v="39002912221"/>
    <m/>
  </r>
  <r>
    <n v="327"/>
    <x v="1"/>
    <x v="1"/>
    <s v="295M05"/>
    <n v="39001429181"/>
    <m/>
  </r>
  <r>
    <n v="328"/>
    <x v="2"/>
    <x v="2"/>
    <s v="790A24"/>
    <n v="39000958295"/>
    <m/>
  </r>
  <r>
    <n v="329"/>
    <x v="4"/>
    <x v="2"/>
    <s v="398A10"/>
    <n v="39000340964"/>
    <m/>
  </r>
  <r>
    <n v="330"/>
    <x v="8"/>
    <x v="1"/>
    <s v="393M07"/>
    <n v="39000285168"/>
    <m/>
  </r>
  <r>
    <n v="331"/>
    <x v="9"/>
    <x v="2"/>
    <s v="690A37"/>
    <n v="39000227240"/>
    <m/>
  </r>
  <r>
    <n v="332"/>
    <x v="3"/>
    <x v="1"/>
    <s v="690M04"/>
    <n v="39000220064"/>
    <m/>
  </r>
  <r>
    <n v="333"/>
    <x v="13"/>
    <x v="2"/>
    <s v="79IA02"/>
    <n v="39002209181"/>
    <m/>
  </r>
  <r>
    <n v="334"/>
    <x v="4"/>
    <x v="1"/>
    <s v="398M06"/>
    <n v="39000337311"/>
    <m/>
  </r>
  <r>
    <n v="335"/>
    <x v="2"/>
    <x v="2"/>
    <s v="790A29"/>
    <n v="39000966394"/>
    <m/>
  </r>
  <r>
    <n v="336"/>
    <x v="5"/>
    <x v="0"/>
    <s v="393P21"/>
    <n v="39000268320"/>
    <m/>
  </r>
  <r>
    <n v="337"/>
    <x v="2"/>
    <x v="2"/>
    <s v="790A15"/>
    <n v="39000970528"/>
    <m/>
  </r>
  <r>
    <n v="338"/>
    <x v="7"/>
    <x v="2"/>
    <s v="592A20"/>
    <n v="39000671307"/>
    <m/>
  </r>
  <r>
    <n v="339"/>
    <x v="7"/>
    <x v="2"/>
    <s v="592A08"/>
    <n v="39000659763"/>
    <m/>
  </r>
  <r>
    <n v="340"/>
    <x v="7"/>
    <x v="1"/>
    <s v="592M03"/>
    <n v="39000666991"/>
    <m/>
  </r>
  <r>
    <n v="341"/>
    <x v="0"/>
    <x v="0"/>
    <s v="39AP14"/>
    <n v="39000086008"/>
    <m/>
  </r>
  <r>
    <n v="342"/>
    <x v="9"/>
    <x v="2"/>
    <s v="690A49"/>
    <n v="39000205114"/>
    <m/>
  </r>
  <r>
    <n v="343"/>
    <x v="9"/>
    <x v="2"/>
    <s v="690A43"/>
    <n v="39000235482"/>
    <m/>
  </r>
  <r>
    <n v="344"/>
    <x v="2"/>
    <x v="0"/>
    <s v="790P40"/>
    <n v="39001729091"/>
    <m/>
  </r>
  <r>
    <n v="345"/>
    <x v="3"/>
    <x v="0"/>
    <s v="690P16"/>
    <n v="39002712658"/>
    <m/>
  </r>
  <r>
    <n v="346"/>
    <x v="2"/>
    <x v="2"/>
    <s v="790A26"/>
    <n v="39000962910"/>
    <m/>
  </r>
  <r>
    <n v="347"/>
    <x v="5"/>
    <x v="2"/>
    <s v="393A26"/>
    <n v="39000263055"/>
    <m/>
  </r>
  <r>
    <n v="348"/>
    <x v="8"/>
    <x v="2"/>
    <s v="393A37"/>
    <n v="39000283296"/>
    <m/>
  </r>
  <r>
    <n v="349"/>
    <x v="12"/>
    <x v="2"/>
    <s v="69BA30"/>
    <n v="39002396524"/>
    <m/>
  </r>
  <r>
    <n v="350"/>
    <x v="9"/>
    <x v="2"/>
    <s v="690A31"/>
    <n v="39000217594"/>
    <m/>
  </r>
  <r>
    <n v="351"/>
    <x v="7"/>
    <x v="2"/>
    <s v="592A14"/>
    <n v="39002894190"/>
    <m/>
  </r>
  <r>
    <n v="352"/>
    <x v="7"/>
    <x v="2"/>
    <s v="592A10"/>
    <n v="39000665964"/>
    <m/>
  </r>
  <r>
    <n v="353"/>
    <x v="4"/>
    <x v="1"/>
    <s v="398M94"/>
    <n v="39000343018"/>
    <m/>
  </r>
  <r>
    <n v="354"/>
    <x v="9"/>
    <x v="1"/>
    <s v="690M08"/>
    <n v="39000217165"/>
    <m/>
  </r>
  <r>
    <n v="355"/>
    <x v="1"/>
    <x v="2"/>
    <s v="295A04"/>
    <n v="39001756092"/>
    <m/>
  </r>
  <r>
    <n v="356"/>
    <x v="7"/>
    <x v="1"/>
    <s v="592M06"/>
    <n v="39000664534"/>
    <m/>
  </r>
  <r>
    <n v="357"/>
    <x v="6"/>
    <x v="0"/>
    <s v="39DP03"/>
    <n v="39002796716"/>
    <m/>
  </r>
  <r>
    <n v="358"/>
    <x v="10"/>
    <x v="1"/>
    <s v="295M12"/>
    <n v="39001520025"/>
    <m/>
  </r>
  <r>
    <n v="359"/>
    <x v="7"/>
    <x v="4"/>
    <s v="592S03"/>
    <n v="39000667342"/>
    <m/>
  </r>
  <r>
    <n v="360"/>
    <x v="5"/>
    <x v="2"/>
    <s v="393A25"/>
    <n v="39000262340"/>
    <m/>
  </r>
  <r>
    <n v="361"/>
    <x v="4"/>
    <x v="2"/>
    <s v="398A10"/>
    <n v="39000329212"/>
    <m/>
  </r>
  <r>
    <n v="362"/>
    <x v="1"/>
    <x v="4"/>
    <s v="295S03"/>
    <n v="39001418768"/>
    <m/>
  </r>
  <r>
    <n v="363"/>
    <x v="9"/>
    <x v="5"/>
    <s v="4402"/>
    <n v="39001774552"/>
    <m/>
  </r>
  <r>
    <n v="364"/>
    <x v="2"/>
    <x v="2"/>
    <s v="790A14"/>
    <n v="39002854176"/>
    <m/>
  </r>
  <r>
    <n v="365"/>
    <x v="9"/>
    <x v="2"/>
    <s v="690A43"/>
    <n v="39000222651"/>
    <m/>
  </r>
  <r>
    <n v="366"/>
    <x v="3"/>
    <x v="0"/>
    <s v="690P18"/>
    <n v="39000241085"/>
    <m/>
  </r>
  <r>
    <n v="367"/>
    <x v="13"/>
    <x v="2"/>
    <s v="79IA02"/>
    <n v="39002193347"/>
    <m/>
  </r>
  <r>
    <n v="368"/>
    <x v="4"/>
    <x v="2"/>
    <s v="398A19"/>
    <n v="39000339560"/>
    <m/>
  </r>
  <r>
    <n v="369"/>
    <x v="5"/>
    <x v="2"/>
    <s v="393A26"/>
    <n v="39000261014"/>
    <m/>
  </r>
  <r>
    <n v="370"/>
    <x v="0"/>
    <x v="1"/>
    <s v="39AM06"/>
    <n v="39001707030"/>
    <m/>
  </r>
  <r>
    <n v="371"/>
    <x v="4"/>
    <x v="2"/>
    <s v="398A12"/>
    <n v="39000341575"/>
    <m/>
  </r>
  <r>
    <n v="372"/>
    <x v="4"/>
    <x v="2"/>
    <s v="398A08"/>
    <n v="39000338130"/>
    <m/>
  </r>
  <r>
    <n v="373"/>
    <x v="9"/>
    <x v="2"/>
    <s v="690A52"/>
    <n v="39000223795"/>
    <m/>
  </r>
  <r>
    <n v="374"/>
    <x v="12"/>
    <x v="2"/>
    <s v="69BA13"/>
    <n v="39000592072"/>
    <m/>
  </r>
  <r>
    <n v="375"/>
    <x v="9"/>
    <x v="1"/>
    <s v="690M12"/>
    <n v="39000220909"/>
    <m/>
  </r>
  <r>
    <n v="376"/>
    <x v="9"/>
    <x v="2"/>
    <s v="690A12"/>
    <n v="39000207363"/>
    <m/>
  </r>
  <r>
    <n v="377"/>
    <x v="2"/>
    <x v="2"/>
    <s v="790A19"/>
    <n v="39000962884"/>
    <m/>
  </r>
  <r>
    <n v="378"/>
    <x v="0"/>
    <x v="2"/>
    <s v="39AA08"/>
    <n v="39001716897"/>
    <m/>
  </r>
  <r>
    <n v="379"/>
    <x v="12"/>
    <x v="2"/>
    <s v="69BA07"/>
    <n v="39000589992"/>
    <m/>
  </r>
  <r>
    <n v="380"/>
    <x v="3"/>
    <x v="2"/>
    <s v="690A13"/>
    <n v="39000211809"/>
    <m/>
  </r>
  <r>
    <n v="381"/>
    <x v="5"/>
    <x v="2"/>
    <s v="393A24"/>
    <n v="39000265135"/>
    <m/>
  </r>
  <r>
    <n v="382"/>
    <x v="9"/>
    <x v="2"/>
    <s v="690A12"/>
    <n v="39000207363"/>
    <m/>
  </r>
  <r>
    <n v="383"/>
    <x v="1"/>
    <x v="1"/>
    <s v="295M10"/>
    <n v="39001516216"/>
    <m/>
  </r>
  <r>
    <n v="384"/>
    <x v="7"/>
    <x v="2"/>
    <s v="592A18"/>
    <n v="39000662519"/>
    <m/>
  </r>
  <r>
    <n v="385"/>
    <x v="6"/>
    <x v="0"/>
    <s v="39DP01"/>
    <n v="39002795676"/>
    <m/>
  </r>
  <r>
    <n v="386"/>
    <x v="7"/>
    <x v="2"/>
    <s v="592A07"/>
    <n v="39000661726"/>
    <m/>
  </r>
  <r>
    <n v="387"/>
    <x v="8"/>
    <x v="2"/>
    <s v="393A41"/>
    <n v="39002660346"/>
    <m/>
  </r>
  <r>
    <n v="388"/>
    <x v="0"/>
    <x v="0"/>
    <s v="39AP16"/>
    <n v="39001696149"/>
    <m/>
  </r>
  <r>
    <n v="389"/>
    <x v="2"/>
    <x v="2"/>
    <s v="790A26"/>
    <n v="39000957216"/>
    <m/>
  </r>
  <r>
    <n v="390"/>
    <x v="3"/>
    <x v="0"/>
    <s v="690P18"/>
    <n v="39000199394"/>
    <m/>
  </r>
  <r>
    <n v="391"/>
    <x v="1"/>
    <x v="1"/>
    <s v="295M11"/>
    <n v="39001525056"/>
    <m/>
  </r>
  <r>
    <n v="392"/>
    <x v="3"/>
    <x v="2"/>
    <s v="690A03"/>
    <n v="39002851927"/>
    <m/>
  </r>
  <r>
    <n v="393"/>
    <x v="1"/>
    <x v="2"/>
    <s v="295A03"/>
    <n v="39001392378"/>
    <m/>
  </r>
  <r>
    <n v="394"/>
    <x v="12"/>
    <x v="1"/>
    <s v="69BM04"/>
    <n v="39000588653"/>
    <m/>
  </r>
  <r>
    <n v="395"/>
    <x v="8"/>
    <x v="2"/>
    <s v="393A34"/>
    <n v="39000280644"/>
    <m/>
  </r>
  <r>
    <n v="396"/>
    <x v="5"/>
    <x v="0"/>
    <s v="393P20"/>
    <n v="39000271206"/>
    <m/>
  </r>
  <r>
    <n v="397"/>
    <x v="9"/>
    <x v="2"/>
    <s v="690A09"/>
    <n v="39000203086"/>
    <m/>
  </r>
  <r>
    <n v="398"/>
    <x v="3"/>
    <x v="0"/>
    <s v="690P15"/>
    <n v="39000223054"/>
    <m/>
  </r>
  <r>
    <n v="399"/>
    <x v="7"/>
    <x v="1"/>
    <s v="592M08"/>
    <n v="39002428179"/>
    <m/>
  </r>
  <r>
    <n v="400"/>
    <x v="10"/>
    <x v="2"/>
    <s v="295A27"/>
    <n v="39002737202"/>
    <m/>
  </r>
  <r>
    <n v="401"/>
    <x v="13"/>
    <x v="2"/>
    <s v="79IA01"/>
    <n v="39002244580"/>
    <m/>
  </r>
  <r>
    <n v="402"/>
    <x v="9"/>
    <x v="1"/>
    <s v="690M07"/>
    <n v="39000220220"/>
    <m/>
  </r>
  <r>
    <n v="403"/>
    <x v="7"/>
    <x v="2"/>
    <s v="592A18"/>
    <n v="39000662090"/>
    <m/>
  </r>
  <r>
    <n v="404"/>
    <x v="5"/>
    <x v="2"/>
    <s v="393A22"/>
    <n v="39000261924"/>
    <m/>
  </r>
  <r>
    <n v="405"/>
    <x v="8"/>
    <x v="2"/>
    <s v="393A33"/>
    <n v="39002338479"/>
    <m/>
  </r>
  <r>
    <n v="406"/>
    <x v="9"/>
    <x v="1"/>
    <s v="690M03"/>
    <n v="39000213837"/>
    <m/>
  </r>
  <r>
    <n v="407"/>
    <x v="3"/>
    <x v="2"/>
    <s v="690A08"/>
    <n v="39000212420"/>
    <m/>
  </r>
  <r>
    <n v="408"/>
    <x v="9"/>
    <x v="2"/>
    <s v="690A44"/>
    <n v="39000217854"/>
    <m/>
  </r>
  <r>
    <n v="409"/>
    <x v="2"/>
    <x v="2"/>
    <s v="790A18"/>
    <n v="39000966212"/>
    <m/>
  </r>
  <r>
    <n v="410"/>
    <x v="1"/>
    <x v="2"/>
    <s v="295A20"/>
    <n v="39001585168"/>
    <m/>
  </r>
  <r>
    <n v="411"/>
    <x v="2"/>
    <x v="0"/>
    <s v="790P40"/>
    <n v="39000984854"/>
    <m/>
  </r>
  <r>
    <n v="412"/>
    <x v="1"/>
    <x v="4"/>
    <s v="295S02"/>
    <n v="39001519778"/>
    <m/>
  </r>
  <r>
    <n v="413"/>
    <x v="7"/>
    <x v="2"/>
    <s v="592A20"/>
    <n v="39000669409"/>
    <m/>
  </r>
  <r>
    <n v="414"/>
    <x v="0"/>
    <x v="2"/>
    <s v="39AA10"/>
    <n v="39002906475"/>
    <m/>
  </r>
  <r>
    <n v="415"/>
    <x v="4"/>
    <x v="1"/>
    <s v="398M06"/>
    <n v="39000337155"/>
    <m/>
  </r>
  <r>
    <n v="416"/>
    <x v="1"/>
    <x v="2"/>
    <s v="295A12"/>
    <n v="39001520532"/>
    <m/>
  </r>
  <r>
    <n v="417"/>
    <x v="9"/>
    <x v="1"/>
    <s v="690M11"/>
    <n v="39000217295"/>
    <m/>
  </r>
  <r>
    <n v="418"/>
    <x v="13"/>
    <x v="2"/>
    <s v="79IA01"/>
    <n v="39002246920"/>
    <m/>
  </r>
  <r>
    <n v="419"/>
    <x v="4"/>
    <x v="2"/>
    <s v="398A09"/>
    <n v="39000343746"/>
    <m/>
  </r>
  <r>
    <n v="420"/>
    <x v="2"/>
    <x v="1"/>
    <s v="790M03"/>
    <n v="39000965055"/>
    <m/>
  </r>
  <r>
    <n v="421"/>
    <x v="13"/>
    <x v="0"/>
    <s v="79IP09"/>
    <n v="39002321631"/>
    <m/>
  </r>
  <r>
    <n v="422"/>
    <x v="3"/>
    <x v="2"/>
    <s v="690A10"/>
    <n v="39002425709"/>
    <m/>
  </r>
  <r>
    <n v="423"/>
    <x v="4"/>
    <x v="3"/>
    <s v="398C04"/>
    <n v="39000336570"/>
    <m/>
  </r>
  <r>
    <n v="424"/>
    <x v="1"/>
    <x v="2"/>
    <s v="295A05"/>
    <n v="39002649257"/>
    <m/>
  </r>
  <r>
    <n v="425"/>
    <x v="4"/>
    <x v="2"/>
    <s v="398A14"/>
    <n v="39001961947"/>
    <m/>
  </r>
  <r>
    <n v="426"/>
    <x v="4"/>
    <x v="2"/>
    <s v="398A15"/>
    <n v="39000761163"/>
    <m/>
  </r>
  <r>
    <n v="427"/>
    <x v="1"/>
    <x v="2"/>
    <s v="295A19"/>
    <n v="39001675193"/>
    <m/>
  </r>
  <r>
    <n v="428"/>
    <x v="2"/>
    <x v="2"/>
    <s v="790A16"/>
    <n v="39000949897"/>
    <m/>
  </r>
  <r>
    <n v="429"/>
    <x v="4"/>
    <x v="2"/>
    <s v="398A23"/>
    <n v="39000338481"/>
    <m/>
  </r>
  <r>
    <n v="430"/>
    <x v="4"/>
    <x v="3"/>
    <s v="398C05"/>
    <n v="39000337480"/>
    <m/>
  </r>
  <r>
    <n v="431"/>
    <x v="12"/>
    <x v="2"/>
    <s v="69BA09"/>
    <n v="39001765231"/>
    <m/>
  </r>
  <r>
    <n v="432"/>
    <x v="12"/>
    <x v="2"/>
    <s v="69BA05"/>
    <n v="39000593177"/>
    <m/>
  </r>
  <r>
    <n v="433"/>
    <x v="3"/>
    <x v="0"/>
    <s v="690P15"/>
    <n v="39002182024"/>
    <m/>
  </r>
  <r>
    <n v="434"/>
    <x v="7"/>
    <x v="2"/>
    <s v="592A18"/>
    <n v="39001724138"/>
    <m/>
  </r>
  <r>
    <n v="435"/>
    <x v="4"/>
    <x v="2"/>
    <s v="398A22"/>
    <n v="39000334035"/>
    <m/>
  </r>
  <r>
    <n v="436"/>
    <x v="0"/>
    <x v="0"/>
    <s v="39AP13"/>
    <n v="39001709734"/>
    <m/>
  </r>
  <r>
    <n v="437"/>
    <x v="12"/>
    <x v="1"/>
    <s v="69BM05"/>
    <n v="39000591409"/>
    <m/>
  </r>
  <r>
    <n v="438"/>
    <x v="9"/>
    <x v="2"/>
    <s v="690A24"/>
    <n v="39000214422"/>
    <m/>
  </r>
  <r>
    <n v="439"/>
    <x v="10"/>
    <x v="2"/>
    <s v="295A27"/>
    <n v="39001519986"/>
    <m/>
  </r>
  <r>
    <n v="440"/>
    <x v="5"/>
    <x v="2"/>
    <s v="393A24"/>
    <n v="39000262041"/>
    <m/>
  </r>
  <r>
    <n v="441"/>
    <x v="8"/>
    <x v="2"/>
    <s v="393A38"/>
    <n v="39000278187"/>
    <m/>
  </r>
  <r>
    <n v="442"/>
    <x v="3"/>
    <x v="2"/>
    <s v="690A02"/>
    <n v="39000222963"/>
    <m/>
  </r>
  <r>
    <n v="443"/>
    <x v="5"/>
    <x v="0"/>
    <s v="393P21"/>
    <n v="39000269113"/>
    <m/>
  </r>
  <r>
    <n v="444"/>
    <x v="9"/>
    <x v="2"/>
    <s v="690A43"/>
    <n v="39000221351"/>
    <m/>
  </r>
  <r>
    <n v="445"/>
    <x v="1"/>
    <x v="4"/>
    <s v="295S01"/>
    <n v="39001386541"/>
    <m/>
  </r>
  <r>
    <n v="446"/>
    <x v="1"/>
    <x v="2"/>
    <s v="295A11"/>
    <n v="39001527812"/>
    <m/>
  </r>
  <r>
    <n v="447"/>
    <x v="2"/>
    <x v="2"/>
    <s v="790A27"/>
    <n v="39002437539"/>
    <m/>
  </r>
  <r>
    <n v="448"/>
    <x v="1"/>
    <x v="2"/>
    <s v="295A03"/>
    <n v="39001438008"/>
    <m/>
  </r>
  <r>
    <n v="449"/>
    <x v="4"/>
    <x v="2"/>
    <s v="398A23"/>
    <n v="39000332982"/>
    <m/>
  </r>
  <r>
    <n v="450"/>
    <x v="7"/>
    <x v="1"/>
    <s v="592M08"/>
    <n v="39000667134"/>
    <m/>
  </r>
  <r>
    <n v="451"/>
    <x v="11"/>
    <x v="2"/>
    <s v="593A26"/>
    <n v="39002882893"/>
    <m/>
  </r>
  <r>
    <n v="452"/>
    <x v="7"/>
    <x v="2"/>
    <s v="592A10"/>
    <n v="39000657358"/>
    <m/>
  </r>
  <r>
    <n v="453"/>
    <x v="9"/>
    <x v="2"/>
    <s v="690A33"/>
    <n v="39000226668"/>
    <m/>
  </r>
  <r>
    <n v="454"/>
    <x v="12"/>
    <x v="1"/>
    <s v="69BM93"/>
    <n v="39000592696"/>
    <m/>
  </r>
  <r>
    <n v="455"/>
    <x v="9"/>
    <x v="2"/>
    <s v="690A31"/>
    <n v="39000202020"/>
    <m/>
  </r>
  <r>
    <n v="456"/>
    <x v="1"/>
    <x v="2"/>
    <s v="295A09"/>
    <n v="39001417039"/>
    <m/>
  </r>
  <r>
    <n v="457"/>
    <x v="8"/>
    <x v="2"/>
    <s v="393A41"/>
    <n v="39000288405"/>
    <m/>
  </r>
  <r>
    <n v="458"/>
    <x v="12"/>
    <x v="2"/>
    <s v="69BA15"/>
    <n v="39000591344"/>
    <m/>
  </r>
  <r>
    <n v="459"/>
    <x v="2"/>
    <x v="2"/>
    <s v="790A25"/>
    <n v="39000958802"/>
    <m/>
  </r>
  <r>
    <n v="460"/>
    <x v="13"/>
    <x v="2"/>
    <s v="79IA01"/>
    <n v="39002309697"/>
    <m/>
  </r>
  <r>
    <n v="461"/>
    <x v="0"/>
    <x v="2"/>
    <s v="39AA09"/>
    <n v="39001708122"/>
    <m/>
  </r>
  <r>
    <n v="462"/>
    <x v="9"/>
    <x v="2"/>
    <s v="690A34"/>
    <n v="39002332824"/>
    <m/>
  </r>
  <r>
    <n v="463"/>
    <x v="7"/>
    <x v="1"/>
    <s v="592M06"/>
    <n v="39000665184"/>
    <m/>
  </r>
  <r>
    <n v="464"/>
    <x v="3"/>
    <x v="2"/>
    <s v="690A07"/>
    <n v="39000212511"/>
    <m/>
  </r>
  <r>
    <n v="465"/>
    <x v="4"/>
    <x v="1"/>
    <s v="398M02"/>
    <n v="39000337493"/>
    <m/>
  </r>
  <r>
    <n v="466"/>
    <x v="9"/>
    <x v="0"/>
    <s v="690P30"/>
    <n v="39000236548"/>
    <m/>
  </r>
  <r>
    <n v="467"/>
    <x v="9"/>
    <x v="2"/>
    <s v="690A42"/>
    <n v="39000237887"/>
    <m/>
  </r>
  <r>
    <n v="468"/>
    <x v="6"/>
    <x v="0"/>
    <s v="39DP02"/>
    <n v="39002793791"/>
    <m/>
  </r>
  <r>
    <n v="469"/>
    <x v="4"/>
    <x v="2"/>
    <s v="398A23"/>
    <n v="39000342992"/>
    <m/>
  </r>
  <r>
    <n v="470"/>
    <x v="4"/>
    <x v="2"/>
    <s v="398A11"/>
    <n v="39000335023"/>
    <m/>
  </r>
  <r>
    <n v="471"/>
    <x v="12"/>
    <x v="2"/>
    <s v="69BA16"/>
    <n v="39000597415"/>
    <m/>
  </r>
  <r>
    <n v="472"/>
    <x v="1"/>
    <x v="2"/>
    <s v="295A19"/>
    <n v="39002852655"/>
    <m/>
  </r>
  <r>
    <n v="473"/>
    <x v="1"/>
    <x v="1"/>
    <s v="295M11"/>
    <n v="39001479322"/>
    <m/>
  </r>
  <r>
    <n v="474"/>
    <x v="9"/>
    <x v="1"/>
    <s v="690M13"/>
    <n v="39000220519"/>
    <m/>
  </r>
  <r>
    <n v="475"/>
    <x v="2"/>
    <x v="0"/>
    <s v="790P01"/>
    <n v="39000984789"/>
    <m/>
  </r>
  <r>
    <n v="476"/>
    <x v="9"/>
    <x v="2"/>
    <s v="690A20"/>
    <n v="39000217711"/>
    <m/>
  </r>
  <r>
    <n v="477"/>
    <x v="4"/>
    <x v="2"/>
    <s v="398A17"/>
    <n v="39000349063"/>
    <m/>
  </r>
  <r>
    <n v="478"/>
    <x v="2"/>
    <x v="2"/>
    <s v="790A20"/>
    <n v="39000978276"/>
    <m/>
  </r>
  <r>
    <n v="479"/>
    <x v="1"/>
    <x v="2"/>
    <s v="295A20"/>
    <n v="39001773304"/>
    <m/>
  </r>
  <r>
    <n v="480"/>
    <x v="7"/>
    <x v="2"/>
    <s v="592A13"/>
    <n v="39000666003"/>
    <m/>
  </r>
  <r>
    <n v="481"/>
    <x v="9"/>
    <x v="2"/>
    <s v="690A35"/>
    <n v="39000205101"/>
    <m/>
  </r>
  <r>
    <n v="482"/>
    <x v="3"/>
    <x v="2"/>
    <s v="690A10"/>
    <n v="39001955733"/>
    <m/>
  </r>
  <r>
    <n v="483"/>
    <x v="9"/>
    <x v="1"/>
    <s v="690M08"/>
    <n v="39000214513"/>
    <m/>
  </r>
  <r>
    <n v="484"/>
    <x v="3"/>
    <x v="5"/>
    <s v="4402"/>
    <n v="39000238550"/>
    <m/>
  </r>
  <r>
    <n v="485"/>
    <x v="4"/>
    <x v="3"/>
    <s v="398C07"/>
    <n v="39000336687"/>
    <m/>
  </r>
  <r>
    <n v="486"/>
    <x v="12"/>
    <x v="2"/>
    <s v="69BA15"/>
    <n v="39000591344"/>
    <m/>
  </r>
  <r>
    <n v="487"/>
    <x v="2"/>
    <x v="2"/>
    <s v="790A16"/>
    <n v="39000955071"/>
    <m/>
  </r>
  <r>
    <n v="488"/>
    <x v="8"/>
    <x v="2"/>
    <s v="393A33"/>
    <n v="39000278525"/>
    <m/>
  </r>
  <r>
    <n v="489"/>
    <x v="12"/>
    <x v="2"/>
    <s v="69BA11"/>
    <n v="39000590161"/>
    <m/>
  </r>
  <r>
    <n v="490"/>
    <x v="7"/>
    <x v="2"/>
    <s v="592A21"/>
    <n v="39000661024"/>
    <m/>
  </r>
  <r>
    <n v="491"/>
    <x v="12"/>
    <x v="2"/>
    <s v="69BA16"/>
    <n v="39002331420"/>
    <m/>
  </r>
  <r>
    <n v="492"/>
    <x v="0"/>
    <x v="2"/>
    <s v="39AA10"/>
    <n v="39001736033"/>
    <m/>
  </r>
  <r>
    <n v="493"/>
    <x v="1"/>
    <x v="2"/>
    <s v="295A09"/>
    <n v="39001506011"/>
    <m/>
  </r>
  <r>
    <n v="494"/>
    <x v="1"/>
    <x v="2"/>
    <s v="295A11"/>
    <n v="39001587313"/>
    <m/>
  </r>
  <r>
    <n v="495"/>
    <x v="9"/>
    <x v="4"/>
    <s v="690S04"/>
    <n v="39000220584"/>
    <m/>
  </r>
  <r>
    <n v="496"/>
    <x v="2"/>
    <x v="1"/>
    <s v="790M03"/>
    <n v="39000965029"/>
    <m/>
  </r>
  <r>
    <n v="497"/>
    <x v="12"/>
    <x v="2"/>
    <s v="69BA30"/>
    <n v="39000589784"/>
    <m/>
  </r>
  <r>
    <n v="498"/>
    <x v="2"/>
    <x v="2"/>
    <s v="790A14"/>
    <n v="39000948675"/>
    <m/>
  </r>
  <r>
    <n v="499"/>
    <x v="1"/>
    <x v="2"/>
    <s v="295A18"/>
    <n v="3900154221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CB336-F24D-CC4F-9975-E9CC1E5A8C25}" name="PivotTable1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ales Group">
  <location ref="A3:B9" firstHeaderRow="1" firstDataRow="1" firstDataCol="1" rowPageCount="1" colPageCount="1"/>
  <pivotFields count="10">
    <pivotField showAll="0"/>
    <pivotField showAll="0"/>
    <pivotField dataField="1" showAll="0"/>
    <pivotField showAll="0"/>
    <pivotField axis="axisRow" showAll="0" sortType="descending">
      <items count="12">
        <item x="10"/>
        <item x="2"/>
        <item x="6"/>
        <item x="0"/>
        <item x="3"/>
        <item x="4"/>
        <item x="5"/>
        <item x="7"/>
        <item x="9"/>
        <item x="1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axis="axisPage" multipleItemSelectionAllowed="1" showAll="0">
      <items count="5">
        <item x="2"/>
        <item h="1" x="1"/>
        <item h="1" x="0"/>
        <item h="1" x="3"/>
        <item t="default"/>
      </items>
    </pivotField>
    <pivotField showAll="0"/>
  </pivotFields>
  <rowFields count="1">
    <field x="4"/>
  </rowFields>
  <rowItems count="6">
    <i>
      <x v="1"/>
    </i>
    <i>
      <x v="7"/>
    </i>
    <i>
      <x v="10"/>
    </i>
    <i>
      <x v="2"/>
    </i>
    <i>
      <x v="6"/>
    </i>
    <i t="grand">
      <x/>
    </i>
  </rowItems>
  <colItems count="1">
    <i/>
  </colItems>
  <pageFields count="1">
    <pageField fld="8" hier="-1"/>
  </pageFields>
  <dataFields count="1">
    <dataField name="Count of Custome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6E452C-B349-6D4B-930C-1D9F178B493B}" name="PivotTable2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ales Group">
  <location ref="A3:B4" firstHeaderRow="1" firstDataRow="1" firstDataCol="1" rowPageCount="1" colPageCount="1"/>
  <pivotFields count="10">
    <pivotField showAll="0"/>
    <pivotField showAll="0"/>
    <pivotField showAll="0"/>
    <pivotField showAll="0"/>
    <pivotField axis="axisRow" showAll="0">
      <items count="12">
        <item x="10"/>
        <item x="2"/>
        <item x="6"/>
        <item x="0"/>
        <item x="3"/>
        <item x="4"/>
        <item x="5"/>
        <item x="7"/>
        <item x="9"/>
        <item x="1"/>
        <item x="8"/>
        <item t="default"/>
      </items>
    </pivotField>
    <pivotField dataField="1" showAll="0"/>
    <pivotField showAll="0"/>
    <pivotField showAll="0"/>
    <pivotField axis="axisPage" multipleItemSelectionAllowed="1" showAll="0">
      <items count="5">
        <item h="1" x="2"/>
        <item h="1" x="1"/>
        <item h="1" x="0"/>
        <item h="1" x="3"/>
        <item t="default"/>
      </items>
    </pivotField>
    <pivotField showAll="0"/>
  </pivotFields>
  <rowFields count="1">
    <field x="4"/>
  </rowFields>
  <rowItems count="1">
    <i t="grand">
      <x/>
    </i>
  </rowItems>
  <colItems count="1">
    <i/>
  </colItems>
  <pageFields count="1">
    <pageField fld="8" hier="-1"/>
  </pageFields>
  <dataFields count="1">
    <dataField name="Sum of t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6E190E-E6A2-A04D-9CE3-D0F6E687AA68}" name="PivotTable3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Flavor">
  <location ref="A3:B24" firstHeaderRow="1" firstDataRow="1" firstDataCol="1" rowPageCount="1" colPageCount="1"/>
  <pivotFields count="8">
    <pivotField showAll="0"/>
    <pivotField showAll="0"/>
    <pivotField showAll="0"/>
    <pivotField showAll="0"/>
    <pivotField axis="axisPage" multipleItemSelectionAllowed="1" showAll="0">
      <items count="12">
        <item h="1" x="10"/>
        <item x="0"/>
        <item h="1" x="9"/>
        <item h="1" x="3"/>
        <item h="1" x="8"/>
        <item h="1" x="7"/>
        <item h="1" x="2"/>
        <item h="1" x="6"/>
        <item h="1" x="1"/>
        <item h="1" x="5"/>
        <item h="1" x="4"/>
        <item t="default"/>
      </items>
    </pivotField>
    <pivotField dataField="1" showAll="0"/>
    <pivotField showAll="0"/>
    <pivotField axis="axisRow" showAll="0" sortType="descending">
      <items count="28">
        <item x="19"/>
        <item x="4"/>
        <item x="13"/>
        <item x="9"/>
        <item x="7"/>
        <item x="1"/>
        <item x="23"/>
        <item x="20"/>
        <item x="22"/>
        <item x="14"/>
        <item x="11"/>
        <item x="12"/>
        <item x="18"/>
        <item x="0"/>
        <item x="6"/>
        <item x="15"/>
        <item x="21"/>
        <item x="3"/>
        <item x="16"/>
        <item x="2"/>
        <item x="24"/>
        <item x="5"/>
        <item x="17"/>
        <item x="10"/>
        <item x="25"/>
        <item x="2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7"/>
  </rowFields>
  <rowItems count="21">
    <i>
      <x v="21"/>
    </i>
    <i>
      <x v="4"/>
    </i>
    <i>
      <x v="23"/>
    </i>
    <i>
      <x v="13"/>
    </i>
    <i>
      <x v="16"/>
    </i>
    <i>
      <x v="5"/>
    </i>
    <i>
      <x v="2"/>
    </i>
    <i>
      <x v="3"/>
    </i>
    <i>
      <x v="1"/>
    </i>
    <i>
      <x v="9"/>
    </i>
    <i>
      <x v="11"/>
    </i>
    <i>
      <x v="22"/>
    </i>
    <i>
      <x v="10"/>
    </i>
    <i>
      <x v="19"/>
    </i>
    <i>
      <x v="18"/>
    </i>
    <i>
      <x/>
    </i>
    <i>
      <x v="26"/>
    </i>
    <i>
      <x v="14"/>
    </i>
    <i>
      <x v="15"/>
    </i>
    <i>
      <x v="17"/>
    </i>
    <i t="grand">
      <x/>
    </i>
  </rowItems>
  <colItems count="1">
    <i/>
  </colItems>
  <pageFields count="1">
    <pageField fld="4" hier="-1"/>
  </pageFields>
  <dataFields count="1">
    <dataField name="Sum of t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2481E-53FC-1345-8BDB-77887FC09A18}" name="PivotTable4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14" showAll="0"/>
    <pivotField axis="axisRow" showAll="0" sortType="descending">
      <items count="4">
        <item x="0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4">
    <i>
      <x v="1"/>
    </i>
    <i>
      <x/>
    </i>
    <i>
      <x v="2"/>
    </i>
    <i t="grand">
      <x/>
    </i>
  </rowItems>
  <colItems count="1">
    <i/>
  </colItems>
  <dataFields count="1">
    <dataField name="Sum of t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5C5E87-6277-1241-A98B-80594AF436FE}" name="PivotTable12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ales Groups">
  <location ref="A4:B13" firstHeaderRow="1" firstDataRow="1" firstDataCol="1" rowPageCount="1" colPageCount="1"/>
  <pivotFields count="10">
    <pivotField showAll="0"/>
    <pivotField showAll="0"/>
    <pivotField showAll="0"/>
    <pivotField showAll="0"/>
    <pivotField axis="axisRow" showAll="0" sortType="descending">
      <items count="12">
        <item x="10"/>
        <item x="2"/>
        <item x="6"/>
        <item x="0"/>
        <item x="3"/>
        <item x="4"/>
        <item x="5"/>
        <item x="7"/>
        <item x="9"/>
        <item x="1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xis="axisPage" multipleItemSelectionAllowed="1" showAll="0">
      <items count="75">
        <item h="1" x="56"/>
        <item h="1" x="42"/>
        <item h="1" x="64"/>
        <item h="1" x="58"/>
        <item h="1" x="45"/>
        <item h="1" x="21"/>
        <item h="1" x="3"/>
        <item h="1" x="33"/>
        <item h="1" x="27"/>
        <item h="1" x="8"/>
        <item h="1" x="30"/>
        <item h="1" x="23"/>
        <item h="1" x="24"/>
        <item h="1" x="14"/>
        <item h="1" x="28"/>
        <item h="1" x="18"/>
        <item h="1" x="43"/>
        <item h="1" x="65"/>
        <item h="1" x="41"/>
        <item h="1" x="50"/>
        <item h="1" x="63"/>
        <item h="1" x="69"/>
        <item h="1" x="4"/>
        <item h="1" x="62"/>
        <item h="1" x="5"/>
        <item h="1" x="38"/>
        <item h="1" x="2"/>
        <item h="1" x="31"/>
        <item h="1" x="32"/>
        <item h="1" x="16"/>
        <item h="1" x="71"/>
        <item h="1" x="15"/>
        <item h="1" x="40"/>
        <item h="1" x="57"/>
        <item x="9"/>
        <item x="52"/>
        <item x="12"/>
        <item h="1" x="22"/>
        <item h="1" x="70"/>
        <item h="1" x="51"/>
        <item h="1" x="49"/>
        <item h="1" x="35"/>
        <item h="1" x="73"/>
        <item h="1" x="54"/>
        <item h="1" x="61"/>
        <item h="1" x="1"/>
        <item h="1" x="20"/>
        <item h="1" x="47"/>
        <item h="1" x="36"/>
        <item h="1" x="46"/>
        <item h="1" x="48"/>
        <item h="1" x="6"/>
        <item h="1" x="19"/>
        <item h="1" x="66"/>
        <item h="1" x="60"/>
        <item h="1" x="7"/>
        <item h="1" x="0"/>
        <item h="1" x="26"/>
        <item h="1" x="13"/>
        <item h="1" x="10"/>
        <item h="1" x="34"/>
        <item h="1" x="37"/>
        <item h="1" x="17"/>
        <item h="1" x="44"/>
        <item h="1" x="55"/>
        <item h="1" x="29"/>
        <item h="1" x="11"/>
        <item h="1" x="72"/>
        <item h="1" x="39"/>
        <item h="1" x="59"/>
        <item h="1" x="68"/>
        <item h="1" x="25"/>
        <item h="1" x="53"/>
        <item h="1" x="67"/>
        <item t="default"/>
      </items>
    </pivotField>
    <pivotField showAll="0"/>
    <pivotField showAll="0"/>
    <pivotField showAll="0"/>
  </pivotFields>
  <rowFields count="1">
    <field x="4"/>
  </rowFields>
  <rowItems count="9">
    <i>
      <x v="3"/>
    </i>
    <i>
      <x v="6"/>
    </i>
    <i>
      <x v="1"/>
    </i>
    <i>
      <x v="10"/>
    </i>
    <i>
      <x v="4"/>
    </i>
    <i>
      <x v="7"/>
    </i>
    <i>
      <x v="5"/>
    </i>
    <i>
      <x v="9"/>
    </i>
    <i t="grand">
      <x/>
    </i>
  </rowItems>
  <colItems count="1">
    <i/>
  </colItems>
  <pageFields count="1">
    <pageField fld="6" hier="-1"/>
  </pageFields>
  <dataFields count="1">
    <dataField name="Sales (Ts)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8082CF-CD32-AA4E-908F-4E8CD6E69247}" name="PivotTable13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lants">
  <location ref="A3:I19" firstHeaderRow="1" firstDataRow="2" firstDataCol="1"/>
  <pivotFields count="6">
    <pivotField showAll="0"/>
    <pivotField axis="axisRow" showAll="0">
      <items count="15">
        <item x="0"/>
        <item x="9"/>
        <item x="7"/>
        <item x="8"/>
        <item x="3"/>
        <item x="2"/>
        <item x="10"/>
        <item x="4"/>
        <item x="12"/>
        <item x="6"/>
        <item x="13"/>
        <item x="1"/>
        <item x="11"/>
        <item x="5"/>
        <item t="default"/>
      </items>
    </pivotField>
    <pivotField axis="axisCol" showAll="0">
      <items count="8">
        <item x="3"/>
        <item x="1"/>
        <item x="0"/>
        <item x="4"/>
        <item x="2"/>
        <item x="6"/>
        <item x="5"/>
        <item t="default"/>
      </items>
    </pivotField>
    <pivotField showAll="0"/>
    <pivotField dataField="1" showAll="0"/>
    <pivotField showAl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ustomer Count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E43BFAF-01EB-8040-98A4-7C935D489823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row_id" tableColumnId="1"/>
      <queryTableField id="2" name="plant_assign_short_text" tableColumnId="2"/>
      <queryTableField id="3" name="Route Type" tableColumnId="3"/>
      <queryTableField id="4" name="RBDC ROUTE" tableColumnId="4"/>
      <queryTableField id="5" name="Customer" tableColumnId="5"/>
      <queryTableField id="6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208C3041-82CF-EA41-A668-B768853524F5}" autoFormatId="16" applyNumberFormats="0" applyBorderFormats="0" applyFontFormats="0" applyPatternFormats="0" applyAlignmentFormats="0" applyWidthHeightFormats="0">
  <queryTableRefresh nextId="12" unboundColumnsRight="1">
    <queryTableFields count="11">
      <queryTableField id="1" name="row_id" tableColumnId="1"/>
      <queryTableField id="2" name="Calendar Day" tableColumnId="2"/>
      <queryTableField id="3" name="Customer" tableColumnId="3"/>
      <queryTableField id="4" name="plant_act_short_text" tableColumnId="4"/>
      <queryTableField id="5" name="sales_group_assign_short_text" tableColumnId="5"/>
      <queryTableField id="6" name="ts" tableColumnId="6"/>
      <queryTableField id="7" name="material_short_text" tableColumnId="7"/>
      <queryTableField id="8" name="plant_assign_short_text" tableColumnId="8"/>
      <queryTableField id="9" name="Route Type" tableColumnId="9"/>
      <queryTableField id="10" name="RBDC ROUTE" tableColumnId="10"/>
      <queryTableField id="11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AFB16-B87E-DE41-99AA-A2E94DB5E655}" name="Case_Study_Route_Data" displayName="Case_Study_Route_Data" ref="A1:F501" tableType="queryTable" totalsRowShown="0">
  <autoFilter ref="A1:F501" xr:uid="{5CDAFB16-B87E-DE41-99AA-A2E94DB5E655}"/>
  <tableColumns count="6">
    <tableColumn id="1" xr3:uid="{5BD0FB69-147A-E245-894F-31BB793B96BD}" uniqueName="1" name="row_id" queryTableFieldId="1"/>
    <tableColumn id="2" xr3:uid="{FDC120F2-4FFD-4F44-95A7-D2A5F1DCC471}" uniqueName="2" name="plant_assign_short_text" queryTableFieldId="2" dataDxfId="10"/>
    <tableColumn id="3" xr3:uid="{61D12795-2C0F-E149-83F0-726ED613D7FD}" uniqueName="3" name="Route Type" queryTableFieldId="3" dataDxfId="9"/>
    <tableColumn id="4" xr3:uid="{09A07764-EE57-274D-A1B2-920A6244D1AD}" uniqueName="4" name="RBDC ROUTE" queryTableFieldId="4" dataDxfId="8"/>
    <tableColumn id="5" xr3:uid="{D1399298-6A8B-264D-9B59-17BCBE4A32ED}" uniqueName="5" name="Customer" queryTableFieldId="5"/>
    <tableColumn id="6" xr3:uid="{E1376478-432D-7141-8426-48D04F3ADB56}" uniqueName="6" name="Column1" queryTableFieldId="6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86E4E3-E12D-2D4F-8304-D5A58162240F}" name="Data" displayName="Data" ref="A1:K503" tableType="queryTable" totalsRowShown="0">
  <autoFilter ref="A1:K503" xr:uid="{9E86E4E3-E12D-2D4F-8304-D5A58162240F}">
    <filterColumn colId="6">
      <filters>
        <filter val="PICKLE JUICE 12OZ LS"/>
        <filter val="PICKLE JUICE 8.4OZ 4PK"/>
        <filter val="PICKLE JUICE 8.4OZ LS"/>
      </filters>
    </filterColumn>
  </autoFilter>
  <tableColumns count="11">
    <tableColumn id="1" xr3:uid="{CC248E44-2DF9-8A4A-B4BD-9064505213CF}" uniqueName="1" name="row_id" queryTableFieldId="1"/>
    <tableColumn id="2" xr3:uid="{C11AB53C-BB67-B04B-AF77-A80E12B7D902}" uniqueName="2" name="Calendar Day" queryTableFieldId="2"/>
    <tableColumn id="3" xr3:uid="{0874E74C-4CBD-EB4D-BBE4-1907C2C8F6CF}" uniqueName="3" name="Customer" queryTableFieldId="3"/>
    <tableColumn id="4" xr3:uid="{3E9A6F9D-4750-2348-95AA-34962CB205AE}" uniqueName="4" name="plant_act_short_text" queryTableFieldId="4" dataDxfId="6"/>
    <tableColumn id="5" xr3:uid="{ACE9AA41-E0C0-1246-84D8-7C2E7C5E5FEA}" uniqueName="5" name="sales_group_assign_short_text" queryTableFieldId="5" dataDxfId="5"/>
    <tableColumn id="6" xr3:uid="{B31305F6-3B8F-5D43-8B8D-B1666DF6DA45}" uniqueName="6" name="ts" queryTableFieldId="6"/>
    <tableColumn id="7" xr3:uid="{98D58F18-1C56-3D48-9630-9E76CF4D4536}" uniqueName="7" name="material_short_text" queryTableFieldId="7" dataDxfId="4"/>
    <tableColumn id="8" xr3:uid="{FE591C23-DD6D-BD4C-84BF-CE6C20D9EC72}" uniqueName="8" name="plant_assign_short_text" queryTableFieldId="8" dataDxfId="3"/>
    <tableColumn id="9" xr3:uid="{415D3DDD-6D55-D14E-B1AB-DD712F5C795B}" uniqueName="9" name="Route Type" queryTableFieldId="9" dataDxfId="2"/>
    <tableColumn id="10" xr3:uid="{914DBADA-FE56-CD45-9C15-4B1A411149DC}" uniqueName="10" name="RBDC ROUTE" queryTableFieldId="10" dataDxfId="1"/>
    <tableColumn id="11" xr3:uid="{E0973A2B-FB88-0C4C-A0AA-F55EC6756FD9}" uniqueName="11" name="Charger Flag" queryTableFieldId="11" dataDxfId="0">
      <calculatedColumnFormula>IF(I2="Charger","Has Charger","No Charger")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417C-B49D-1148-837D-2DF9BCBBEB96}">
  <dimension ref="A1:F501"/>
  <sheetViews>
    <sheetView topLeftCell="A2" workbookViewId="0">
      <selection activeCell="B2" sqref="A2:F501"/>
    </sheetView>
  </sheetViews>
  <sheetFormatPr baseColWidth="10" defaultRowHeight="15" x14ac:dyDescent="0.2"/>
  <cols>
    <col min="1" max="1" width="9" bestFit="1" customWidth="1"/>
    <col min="2" max="2" width="22" bestFit="1" customWidth="1"/>
    <col min="3" max="3" width="12.33203125" bestFit="1" customWidth="1"/>
    <col min="4" max="4" width="13.1640625" bestFit="1" customWidth="1"/>
    <col min="5" max="5" width="12.1640625" bestFit="1" customWidth="1"/>
  </cols>
  <sheetData>
    <row r="1" spans="1:6" x14ac:dyDescent="0.2">
      <c r="A1" t="s">
        <v>151</v>
      </c>
      <c r="B1" t="s">
        <v>152</v>
      </c>
      <c r="C1" t="s">
        <v>153</v>
      </c>
      <c r="D1" t="s">
        <v>154</v>
      </c>
      <c r="E1" t="s">
        <v>53</v>
      </c>
      <c r="F1" t="s">
        <v>440</v>
      </c>
    </row>
    <row r="2" spans="1:6" x14ac:dyDescent="0.2">
      <c r="A2">
        <v>0</v>
      </c>
      <c r="B2" t="s">
        <v>64</v>
      </c>
      <c r="C2" t="s">
        <v>155</v>
      </c>
      <c r="D2" t="s">
        <v>156</v>
      </c>
      <c r="E2">
        <v>39001706939</v>
      </c>
    </row>
    <row r="3" spans="1:6" x14ac:dyDescent="0.2">
      <c r="A3">
        <v>1</v>
      </c>
      <c r="B3" t="s">
        <v>70</v>
      </c>
      <c r="C3" t="s">
        <v>157</v>
      </c>
      <c r="D3" t="s">
        <v>158</v>
      </c>
      <c r="E3">
        <v>39001519869</v>
      </c>
    </row>
    <row r="4" spans="1:6" x14ac:dyDescent="0.2">
      <c r="A4">
        <v>2</v>
      </c>
      <c r="B4" t="s">
        <v>64</v>
      </c>
      <c r="C4" t="s">
        <v>159</v>
      </c>
      <c r="D4" t="s">
        <v>160</v>
      </c>
      <c r="E4">
        <v>39002391246</v>
      </c>
    </row>
    <row r="5" spans="1:6" x14ac:dyDescent="0.2">
      <c r="A5">
        <v>3</v>
      </c>
      <c r="B5" t="s">
        <v>70</v>
      </c>
      <c r="C5" t="s">
        <v>159</v>
      </c>
      <c r="D5" t="s">
        <v>161</v>
      </c>
      <c r="E5">
        <v>39001516242</v>
      </c>
    </row>
    <row r="6" spans="1:6" x14ac:dyDescent="0.2">
      <c r="A6">
        <v>4</v>
      </c>
      <c r="B6" t="s">
        <v>58</v>
      </c>
      <c r="C6" t="s">
        <v>159</v>
      </c>
      <c r="D6" t="s">
        <v>162</v>
      </c>
      <c r="E6">
        <v>39000971178</v>
      </c>
    </row>
    <row r="7" spans="1:6" x14ac:dyDescent="0.2">
      <c r="A7">
        <v>5</v>
      </c>
      <c r="B7" t="s">
        <v>69</v>
      </c>
      <c r="C7" t="s">
        <v>159</v>
      </c>
      <c r="D7" t="s">
        <v>163</v>
      </c>
      <c r="E7">
        <v>39000229567</v>
      </c>
    </row>
    <row r="8" spans="1:6" x14ac:dyDescent="0.2">
      <c r="A8">
        <v>6</v>
      </c>
      <c r="B8" t="s">
        <v>66</v>
      </c>
      <c r="C8" t="s">
        <v>155</v>
      </c>
      <c r="D8" t="s">
        <v>164</v>
      </c>
      <c r="E8">
        <v>39000422123</v>
      </c>
    </row>
    <row r="9" spans="1:6" x14ac:dyDescent="0.2">
      <c r="A9">
        <v>7</v>
      </c>
      <c r="B9" t="s">
        <v>58</v>
      </c>
      <c r="C9" t="s">
        <v>159</v>
      </c>
      <c r="D9" t="s">
        <v>165</v>
      </c>
      <c r="E9">
        <v>39001968473</v>
      </c>
    </row>
    <row r="10" spans="1:6" x14ac:dyDescent="0.2">
      <c r="A10">
        <v>8</v>
      </c>
      <c r="B10" t="s">
        <v>62</v>
      </c>
      <c r="C10" t="s">
        <v>159</v>
      </c>
      <c r="D10" t="s">
        <v>166</v>
      </c>
      <c r="E10">
        <v>39000269503</v>
      </c>
    </row>
    <row r="11" spans="1:6" x14ac:dyDescent="0.2">
      <c r="A11">
        <v>9</v>
      </c>
      <c r="B11" t="s">
        <v>76</v>
      </c>
      <c r="C11" t="s">
        <v>159</v>
      </c>
      <c r="D11" t="s">
        <v>167</v>
      </c>
      <c r="E11">
        <v>39001668264</v>
      </c>
    </row>
    <row r="12" spans="1:6" x14ac:dyDescent="0.2">
      <c r="A12">
        <v>10</v>
      </c>
      <c r="B12" t="s">
        <v>76</v>
      </c>
      <c r="C12" t="s">
        <v>157</v>
      </c>
      <c r="D12" t="s">
        <v>168</v>
      </c>
      <c r="E12">
        <v>39000741715</v>
      </c>
    </row>
    <row r="13" spans="1:6" x14ac:dyDescent="0.2">
      <c r="A13">
        <v>11</v>
      </c>
      <c r="B13" t="s">
        <v>66</v>
      </c>
      <c r="C13" t="s">
        <v>169</v>
      </c>
      <c r="D13" t="s">
        <v>170</v>
      </c>
      <c r="E13">
        <v>39000337480</v>
      </c>
    </row>
    <row r="14" spans="1:6" x14ac:dyDescent="0.2">
      <c r="A14">
        <v>12</v>
      </c>
      <c r="B14" t="s">
        <v>58</v>
      </c>
      <c r="C14" t="s">
        <v>159</v>
      </c>
      <c r="D14" t="s">
        <v>171</v>
      </c>
      <c r="E14">
        <v>39000971035</v>
      </c>
    </row>
    <row r="15" spans="1:6" x14ac:dyDescent="0.2">
      <c r="A15">
        <v>13</v>
      </c>
      <c r="B15" t="s">
        <v>66</v>
      </c>
      <c r="C15" t="s">
        <v>157</v>
      </c>
      <c r="D15" t="s">
        <v>172</v>
      </c>
      <c r="E15">
        <v>39000410878</v>
      </c>
    </row>
    <row r="16" spans="1:6" x14ac:dyDescent="0.2">
      <c r="A16">
        <v>14</v>
      </c>
      <c r="B16" t="s">
        <v>69</v>
      </c>
      <c r="C16" t="s">
        <v>155</v>
      </c>
      <c r="D16" t="s">
        <v>173</v>
      </c>
      <c r="E16">
        <v>39000202046</v>
      </c>
    </row>
    <row r="17" spans="1:5" x14ac:dyDescent="0.2">
      <c r="A17">
        <v>15</v>
      </c>
      <c r="B17" t="s">
        <v>68</v>
      </c>
      <c r="C17" t="s">
        <v>159</v>
      </c>
      <c r="D17" t="s">
        <v>174</v>
      </c>
      <c r="E17">
        <v>39000653887</v>
      </c>
    </row>
    <row r="18" spans="1:5" x14ac:dyDescent="0.2">
      <c r="A18">
        <v>16</v>
      </c>
      <c r="B18" t="s">
        <v>66</v>
      </c>
      <c r="C18" t="s">
        <v>155</v>
      </c>
      <c r="D18" t="s">
        <v>175</v>
      </c>
      <c r="E18">
        <v>39000335179</v>
      </c>
    </row>
    <row r="19" spans="1:5" x14ac:dyDescent="0.2">
      <c r="A19">
        <v>17</v>
      </c>
      <c r="B19" t="s">
        <v>74</v>
      </c>
      <c r="C19" t="s">
        <v>157</v>
      </c>
      <c r="D19" t="s">
        <v>176</v>
      </c>
      <c r="E19">
        <v>39000283751</v>
      </c>
    </row>
    <row r="20" spans="1:5" x14ac:dyDescent="0.2">
      <c r="A20">
        <v>18</v>
      </c>
      <c r="B20" t="s">
        <v>76</v>
      </c>
      <c r="C20" t="s">
        <v>155</v>
      </c>
      <c r="D20" t="s">
        <v>177</v>
      </c>
      <c r="E20">
        <v>39002807038</v>
      </c>
    </row>
    <row r="21" spans="1:5" x14ac:dyDescent="0.2">
      <c r="A21">
        <v>19</v>
      </c>
      <c r="B21" t="s">
        <v>66</v>
      </c>
      <c r="C21" t="s">
        <v>169</v>
      </c>
      <c r="D21" t="s">
        <v>178</v>
      </c>
      <c r="E21">
        <v>39000336713</v>
      </c>
    </row>
    <row r="22" spans="1:5" x14ac:dyDescent="0.2">
      <c r="A22">
        <v>20</v>
      </c>
      <c r="B22" t="s">
        <v>68</v>
      </c>
      <c r="C22" t="s">
        <v>157</v>
      </c>
      <c r="D22" t="s">
        <v>179</v>
      </c>
      <c r="E22">
        <v>39000665951</v>
      </c>
    </row>
    <row r="23" spans="1:5" x14ac:dyDescent="0.2">
      <c r="A23">
        <v>21</v>
      </c>
      <c r="B23" t="s">
        <v>70</v>
      </c>
      <c r="C23" t="s">
        <v>159</v>
      </c>
      <c r="D23" t="s">
        <v>180</v>
      </c>
      <c r="E23">
        <v>39001628445</v>
      </c>
    </row>
    <row r="24" spans="1:5" x14ac:dyDescent="0.2">
      <c r="A24">
        <v>22</v>
      </c>
      <c r="B24" t="s">
        <v>66</v>
      </c>
      <c r="C24" t="s">
        <v>159</v>
      </c>
      <c r="D24" t="s">
        <v>181</v>
      </c>
      <c r="E24">
        <v>39000332488</v>
      </c>
    </row>
    <row r="25" spans="1:5" x14ac:dyDescent="0.2">
      <c r="A25">
        <v>23</v>
      </c>
      <c r="B25" t="s">
        <v>66</v>
      </c>
      <c r="C25" t="s">
        <v>159</v>
      </c>
      <c r="D25" t="s">
        <v>182</v>
      </c>
      <c r="E25">
        <v>39000339339</v>
      </c>
    </row>
    <row r="26" spans="1:5" x14ac:dyDescent="0.2">
      <c r="A26">
        <v>24</v>
      </c>
      <c r="B26" t="s">
        <v>60</v>
      </c>
      <c r="C26" t="s">
        <v>159</v>
      </c>
      <c r="D26" t="s">
        <v>183</v>
      </c>
      <c r="E26">
        <v>39000207259</v>
      </c>
    </row>
    <row r="27" spans="1:5" x14ac:dyDescent="0.2">
      <c r="A27">
        <v>25</v>
      </c>
      <c r="B27" t="s">
        <v>75</v>
      </c>
      <c r="C27" t="s">
        <v>159</v>
      </c>
      <c r="D27" t="s">
        <v>184</v>
      </c>
      <c r="E27">
        <v>39001488552</v>
      </c>
    </row>
    <row r="28" spans="1:5" x14ac:dyDescent="0.2">
      <c r="A28">
        <v>26</v>
      </c>
      <c r="B28" t="s">
        <v>72</v>
      </c>
      <c r="C28" t="s">
        <v>159</v>
      </c>
      <c r="D28" t="s">
        <v>185</v>
      </c>
      <c r="E28">
        <v>39001619085</v>
      </c>
    </row>
    <row r="29" spans="1:5" x14ac:dyDescent="0.2">
      <c r="A29">
        <v>27</v>
      </c>
      <c r="B29" t="s">
        <v>60</v>
      </c>
      <c r="C29" t="s">
        <v>159</v>
      </c>
      <c r="D29" t="s">
        <v>186</v>
      </c>
      <c r="E29">
        <v>39000200993</v>
      </c>
    </row>
    <row r="30" spans="1:5" x14ac:dyDescent="0.2">
      <c r="A30">
        <v>28</v>
      </c>
      <c r="B30" t="s">
        <v>69</v>
      </c>
      <c r="C30" t="s">
        <v>187</v>
      </c>
      <c r="D30" t="s">
        <v>188</v>
      </c>
      <c r="E30">
        <v>39000212602</v>
      </c>
    </row>
    <row r="31" spans="1:5" x14ac:dyDescent="0.2">
      <c r="A31">
        <v>29</v>
      </c>
      <c r="B31" t="s">
        <v>66</v>
      </c>
      <c r="C31" t="s">
        <v>159</v>
      </c>
      <c r="D31" t="s">
        <v>182</v>
      </c>
      <c r="E31">
        <v>39000341601</v>
      </c>
    </row>
    <row r="32" spans="1:5" x14ac:dyDescent="0.2">
      <c r="A32">
        <v>30</v>
      </c>
      <c r="B32" t="s">
        <v>54</v>
      </c>
      <c r="C32" t="s">
        <v>159</v>
      </c>
      <c r="D32" t="s">
        <v>189</v>
      </c>
      <c r="E32">
        <v>39000587353</v>
      </c>
    </row>
    <row r="33" spans="1:5" x14ac:dyDescent="0.2">
      <c r="A33">
        <v>31</v>
      </c>
      <c r="B33" t="s">
        <v>69</v>
      </c>
      <c r="C33" t="s">
        <v>159</v>
      </c>
      <c r="D33" t="s">
        <v>190</v>
      </c>
      <c r="E33">
        <v>39002860260</v>
      </c>
    </row>
    <row r="34" spans="1:5" x14ac:dyDescent="0.2">
      <c r="A34">
        <v>32</v>
      </c>
      <c r="B34" t="s">
        <v>54</v>
      </c>
      <c r="C34" t="s">
        <v>159</v>
      </c>
      <c r="D34" t="s">
        <v>191</v>
      </c>
      <c r="E34">
        <v>39000589394</v>
      </c>
    </row>
    <row r="35" spans="1:5" x14ac:dyDescent="0.2">
      <c r="A35">
        <v>33</v>
      </c>
      <c r="B35" t="s">
        <v>70</v>
      </c>
      <c r="C35" t="s">
        <v>159</v>
      </c>
      <c r="D35" t="s">
        <v>192</v>
      </c>
      <c r="E35">
        <v>39001520571</v>
      </c>
    </row>
    <row r="36" spans="1:5" x14ac:dyDescent="0.2">
      <c r="A36">
        <v>34</v>
      </c>
      <c r="B36" t="s">
        <v>60</v>
      </c>
      <c r="C36" t="s">
        <v>159</v>
      </c>
      <c r="D36" t="s">
        <v>193</v>
      </c>
      <c r="E36">
        <v>39000202293</v>
      </c>
    </row>
    <row r="37" spans="1:5" x14ac:dyDescent="0.2">
      <c r="A37">
        <v>35</v>
      </c>
      <c r="B37" t="s">
        <v>76</v>
      </c>
      <c r="C37" t="s">
        <v>157</v>
      </c>
      <c r="D37" t="s">
        <v>168</v>
      </c>
      <c r="E37">
        <v>39000744016</v>
      </c>
    </row>
    <row r="38" spans="1:5" x14ac:dyDescent="0.2">
      <c r="A38">
        <v>36</v>
      </c>
      <c r="B38" t="s">
        <v>56</v>
      </c>
      <c r="C38" t="s">
        <v>155</v>
      </c>
      <c r="D38" t="s">
        <v>194</v>
      </c>
      <c r="E38">
        <v>39002246023</v>
      </c>
    </row>
    <row r="39" spans="1:5" x14ac:dyDescent="0.2">
      <c r="A39">
        <v>37</v>
      </c>
      <c r="B39" t="s">
        <v>58</v>
      </c>
      <c r="C39" t="s">
        <v>159</v>
      </c>
      <c r="D39" t="s">
        <v>195</v>
      </c>
      <c r="E39">
        <v>39000958360</v>
      </c>
    </row>
    <row r="40" spans="1:5" x14ac:dyDescent="0.2">
      <c r="A40">
        <v>38</v>
      </c>
      <c r="B40" t="s">
        <v>70</v>
      </c>
      <c r="C40" t="s">
        <v>159</v>
      </c>
      <c r="D40" t="s">
        <v>196</v>
      </c>
      <c r="E40">
        <v>39002654457</v>
      </c>
    </row>
    <row r="41" spans="1:5" x14ac:dyDescent="0.2">
      <c r="A41">
        <v>39</v>
      </c>
      <c r="B41" t="s">
        <v>68</v>
      </c>
      <c r="C41" t="s">
        <v>159</v>
      </c>
      <c r="D41" t="s">
        <v>197</v>
      </c>
      <c r="E41">
        <v>39000654316</v>
      </c>
    </row>
    <row r="42" spans="1:5" x14ac:dyDescent="0.2">
      <c r="A42">
        <v>40</v>
      </c>
      <c r="B42" t="s">
        <v>60</v>
      </c>
      <c r="C42" t="s">
        <v>159</v>
      </c>
      <c r="D42" t="s">
        <v>198</v>
      </c>
      <c r="E42">
        <v>39000198367</v>
      </c>
    </row>
    <row r="43" spans="1:5" x14ac:dyDescent="0.2">
      <c r="A43">
        <v>41</v>
      </c>
      <c r="B43" t="s">
        <v>76</v>
      </c>
      <c r="C43" t="s">
        <v>155</v>
      </c>
      <c r="D43" t="s">
        <v>199</v>
      </c>
      <c r="E43">
        <v>39000745511</v>
      </c>
    </row>
    <row r="44" spans="1:5" x14ac:dyDescent="0.2">
      <c r="A44">
        <v>42</v>
      </c>
      <c r="B44" t="s">
        <v>76</v>
      </c>
      <c r="C44" t="s">
        <v>159</v>
      </c>
      <c r="D44" t="s">
        <v>200</v>
      </c>
      <c r="E44">
        <v>39002185092</v>
      </c>
    </row>
    <row r="45" spans="1:5" x14ac:dyDescent="0.2">
      <c r="A45">
        <v>43</v>
      </c>
      <c r="B45" t="s">
        <v>54</v>
      </c>
      <c r="C45" t="s">
        <v>159</v>
      </c>
      <c r="D45" t="s">
        <v>191</v>
      </c>
      <c r="E45">
        <v>39000591604</v>
      </c>
    </row>
    <row r="46" spans="1:5" x14ac:dyDescent="0.2">
      <c r="A46">
        <v>44</v>
      </c>
      <c r="B46" t="s">
        <v>64</v>
      </c>
      <c r="C46" t="s">
        <v>155</v>
      </c>
      <c r="D46" t="s">
        <v>201</v>
      </c>
      <c r="E46">
        <v>39001702532</v>
      </c>
    </row>
    <row r="47" spans="1:5" x14ac:dyDescent="0.2">
      <c r="A47">
        <v>45</v>
      </c>
      <c r="B47" t="s">
        <v>58</v>
      </c>
      <c r="C47" t="s">
        <v>157</v>
      </c>
      <c r="D47" t="s">
        <v>202</v>
      </c>
      <c r="E47">
        <v>39000966121</v>
      </c>
    </row>
    <row r="48" spans="1:5" x14ac:dyDescent="0.2">
      <c r="A48">
        <v>46</v>
      </c>
      <c r="B48" t="s">
        <v>70</v>
      </c>
      <c r="C48" t="s">
        <v>159</v>
      </c>
      <c r="D48" t="s">
        <v>192</v>
      </c>
      <c r="E48">
        <v>39001392742</v>
      </c>
    </row>
    <row r="49" spans="1:5" x14ac:dyDescent="0.2">
      <c r="A49">
        <v>47</v>
      </c>
      <c r="B49" t="s">
        <v>69</v>
      </c>
      <c r="C49" t="s">
        <v>159</v>
      </c>
      <c r="D49" t="s">
        <v>203</v>
      </c>
      <c r="E49">
        <v>39000213187</v>
      </c>
    </row>
    <row r="50" spans="1:5" x14ac:dyDescent="0.2">
      <c r="A50">
        <v>48</v>
      </c>
      <c r="B50" t="s">
        <v>70</v>
      </c>
      <c r="C50" t="s">
        <v>159</v>
      </c>
      <c r="D50" t="s">
        <v>192</v>
      </c>
      <c r="E50">
        <v>39002901522</v>
      </c>
    </row>
    <row r="51" spans="1:5" x14ac:dyDescent="0.2">
      <c r="A51">
        <v>49</v>
      </c>
      <c r="B51" t="s">
        <v>76</v>
      </c>
      <c r="C51" t="s">
        <v>157</v>
      </c>
      <c r="D51" t="s">
        <v>168</v>
      </c>
      <c r="E51">
        <v>39000736723</v>
      </c>
    </row>
    <row r="52" spans="1:5" x14ac:dyDescent="0.2">
      <c r="A52">
        <v>50</v>
      </c>
      <c r="B52" t="s">
        <v>60</v>
      </c>
      <c r="C52" t="s">
        <v>159</v>
      </c>
      <c r="D52" t="s">
        <v>204</v>
      </c>
      <c r="E52">
        <v>39000214240</v>
      </c>
    </row>
    <row r="53" spans="1:5" x14ac:dyDescent="0.2">
      <c r="A53">
        <v>51</v>
      </c>
      <c r="B53" t="s">
        <v>68</v>
      </c>
      <c r="C53" t="s">
        <v>187</v>
      </c>
      <c r="D53" t="s">
        <v>205</v>
      </c>
      <c r="E53">
        <v>39000666003</v>
      </c>
    </row>
    <row r="54" spans="1:5" x14ac:dyDescent="0.2">
      <c r="A54">
        <v>52</v>
      </c>
      <c r="B54" t="s">
        <v>66</v>
      </c>
      <c r="C54" t="s">
        <v>159</v>
      </c>
      <c r="D54" t="s">
        <v>206</v>
      </c>
      <c r="E54">
        <v>39000329472</v>
      </c>
    </row>
    <row r="55" spans="1:5" x14ac:dyDescent="0.2">
      <c r="A55">
        <v>53</v>
      </c>
      <c r="B55" t="s">
        <v>76</v>
      </c>
      <c r="C55" t="s">
        <v>157</v>
      </c>
      <c r="D55" t="s">
        <v>168</v>
      </c>
      <c r="E55">
        <v>39000736723</v>
      </c>
    </row>
    <row r="56" spans="1:5" x14ac:dyDescent="0.2">
      <c r="A56">
        <v>54</v>
      </c>
      <c r="B56" t="s">
        <v>58</v>
      </c>
      <c r="C56" t="s">
        <v>159</v>
      </c>
      <c r="D56" t="s">
        <v>171</v>
      </c>
      <c r="E56">
        <v>39000952302</v>
      </c>
    </row>
    <row r="57" spans="1:5" x14ac:dyDescent="0.2">
      <c r="A57">
        <v>55</v>
      </c>
      <c r="B57" t="s">
        <v>60</v>
      </c>
      <c r="C57" t="s">
        <v>159</v>
      </c>
      <c r="D57" t="s">
        <v>207</v>
      </c>
      <c r="E57">
        <v>39000224627</v>
      </c>
    </row>
    <row r="58" spans="1:5" x14ac:dyDescent="0.2">
      <c r="A58">
        <v>56</v>
      </c>
      <c r="B58" t="s">
        <v>69</v>
      </c>
      <c r="C58" t="s">
        <v>159</v>
      </c>
      <c r="D58" t="s">
        <v>190</v>
      </c>
      <c r="E58">
        <v>39000232661</v>
      </c>
    </row>
    <row r="59" spans="1:5" x14ac:dyDescent="0.2">
      <c r="A59">
        <v>57</v>
      </c>
      <c r="B59" t="s">
        <v>72</v>
      </c>
      <c r="C59" t="s">
        <v>159</v>
      </c>
      <c r="D59" t="s">
        <v>208</v>
      </c>
      <c r="E59">
        <v>39001764789</v>
      </c>
    </row>
    <row r="60" spans="1:5" x14ac:dyDescent="0.2">
      <c r="A60">
        <v>58</v>
      </c>
      <c r="B60" t="s">
        <v>60</v>
      </c>
      <c r="C60" t="s">
        <v>159</v>
      </c>
      <c r="D60" t="s">
        <v>209</v>
      </c>
      <c r="E60">
        <v>39000213837</v>
      </c>
    </row>
    <row r="61" spans="1:5" x14ac:dyDescent="0.2">
      <c r="A61">
        <v>59</v>
      </c>
      <c r="B61" t="s">
        <v>58</v>
      </c>
      <c r="C61" t="s">
        <v>159</v>
      </c>
      <c r="D61" t="s">
        <v>210</v>
      </c>
      <c r="E61">
        <v>39000967083</v>
      </c>
    </row>
    <row r="62" spans="1:5" x14ac:dyDescent="0.2">
      <c r="A62">
        <v>60</v>
      </c>
      <c r="B62" t="s">
        <v>68</v>
      </c>
      <c r="C62" t="s">
        <v>157</v>
      </c>
      <c r="D62" t="s">
        <v>211</v>
      </c>
      <c r="E62">
        <v>39000665262</v>
      </c>
    </row>
    <row r="63" spans="1:5" x14ac:dyDescent="0.2">
      <c r="A63">
        <v>61</v>
      </c>
      <c r="B63" t="s">
        <v>56</v>
      </c>
      <c r="C63" t="s">
        <v>212</v>
      </c>
      <c r="D63" t="s">
        <v>213</v>
      </c>
      <c r="E63">
        <v>39002230709</v>
      </c>
    </row>
    <row r="64" spans="1:5" x14ac:dyDescent="0.2">
      <c r="A64">
        <v>62</v>
      </c>
      <c r="B64" t="s">
        <v>70</v>
      </c>
      <c r="C64" t="s">
        <v>159</v>
      </c>
      <c r="D64" t="s">
        <v>214</v>
      </c>
      <c r="E64">
        <v>39001463436</v>
      </c>
    </row>
    <row r="65" spans="1:5" x14ac:dyDescent="0.2">
      <c r="A65">
        <v>63</v>
      </c>
      <c r="B65" t="s">
        <v>66</v>
      </c>
      <c r="C65" t="s">
        <v>169</v>
      </c>
      <c r="D65" t="s">
        <v>215</v>
      </c>
      <c r="E65">
        <v>39000342953</v>
      </c>
    </row>
    <row r="66" spans="1:5" x14ac:dyDescent="0.2">
      <c r="A66">
        <v>64</v>
      </c>
      <c r="B66" t="s">
        <v>76</v>
      </c>
      <c r="C66" t="s">
        <v>159</v>
      </c>
      <c r="D66" t="s">
        <v>200</v>
      </c>
      <c r="E66">
        <v>39000735280</v>
      </c>
    </row>
    <row r="67" spans="1:5" x14ac:dyDescent="0.2">
      <c r="A67">
        <v>65</v>
      </c>
      <c r="B67" t="s">
        <v>69</v>
      </c>
      <c r="C67" t="s">
        <v>155</v>
      </c>
      <c r="D67" t="s">
        <v>216</v>
      </c>
      <c r="E67">
        <v>39002858141</v>
      </c>
    </row>
    <row r="68" spans="1:5" x14ac:dyDescent="0.2">
      <c r="A68">
        <v>66</v>
      </c>
      <c r="B68" t="s">
        <v>75</v>
      </c>
      <c r="C68" t="s">
        <v>159</v>
      </c>
      <c r="D68" t="s">
        <v>184</v>
      </c>
      <c r="E68">
        <v>39001395589</v>
      </c>
    </row>
    <row r="69" spans="1:5" x14ac:dyDescent="0.2">
      <c r="A69">
        <v>67</v>
      </c>
      <c r="B69" t="s">
        <v>70</v>
      </c>
      <c r="C69" t="s">
        <v>159</v>
      </c>
      <c r="D69" t="s">
        <v>217</v>
      </c>
      <c r="E69">
        <v>39002694588</v>
      </c>
    </row>
    <row r="70" spans="1:5" x14ac:dyDescent="0.2">
      <c r="A70">
        <v>68</v>
      </c>
      <c r="B70" t="s">
        <v>68</v>
      </c>
      <c r="C70" t="s">
        <v>155</v>
      </c>
      <c r="D70" t="s">
        <v>218</v>
      </c>
      <c r="E70">
        <v>39000752791</v>
      </c>
    </row>
    <row r="71" spans="1:5" x14ac:dyDescent="0.2">
      <c r="A71">
        <v>69</v>
      </c>
      <c r="B71" t="s">
        <v>75</v>
      </c>
      <c r="C71" t="s">
        <v>159</v>
      </c>
      <c r="D71" t="s">
        <v>219</v>
      </c>
      <c r="E71">
        <v>39001531426</v>
      </c>
    </row>
    <row r="72" spans="1:5" x14ac:dyDescent="0.2">
      <c r="A72">
        <v>70</v>
      </c>
      <c r="B72" t="s">
        <v>74</v>
      </c>
      <c r="C72" t="s">
        <v>159</v>
      </c>
      <c r="D72" t="s">
        <v>220</v>
      </c>
      <c r="E72">
        <v>39000284349</v>
      </c>
    </row>
    <row r="73" spans="1:5" x14ac:dyDescent="0.2">
      <c r="A73">
        <v>71</v>
      </c>
      <c r="B73" t="s">
        <v>66</v>
      </c>
      <c r="C73" t="s">
        <v>159</v>
      </c>
      <c r="D73" t="s">
        <v>221</v>
      </c>
      <c r="E73">
        <v>39000347113</v>
      </c>
    </row>
    <row r="74" spans="1:5" x14ac:dyDescent="0.2">
      <c r="A74">
        <v>72</v>
      </c>
      <c r="B74" t="s">
        <v>56</v>
      </c>
      <c r="C74" t="s">
        <v>159</v>
      </c>
      <c r="D74" t="s">
        <v>222</v>
      </c>
      <c r="E74">
        <v>39002265705</v>
      </c>
    </row>
    <row r="75" spans="1:5" x14ac:dyDescent="0.2">
      <c r="A75">
        <v>73</v>
      </c>
      <c r="B75" t="s">
        <v>68</v>
      </c>
      <c r="C75" t="s">
        <v>159</v>
      </c>
      <c r="D75" t="s">
        <v>223</v>
      </c>
      <c r="E75">
        <v>39000665613</v>
      </c>
    </row>
    <row r="76" spans="1:5" x14ac:dyDescent="0.2">
      <c r="A76">
        <v>74</v>
      </c>
      <c r="B76" t="s">
        <v>70</v>
      </c>
      <c r="C76" t="s">
        <v>159</v>
      </c>
      <c r="D76" t="s">
        <v>224</v>
      </c>
      <c r="E76">
        <v>39001551589</v>
      </c>
    </row>
    <row r="77" spans="1:5" x14ac:dyDescent="0.2">
      <c r="A77">
        <v>75</v>
      </c>
      <c r="B77" t="s">
        <v>75</v>
      </c>
      <c r="C77" t="s">
        <v>187</v>
      </c>
      <c r="D77" t="s">
        <v>225</v>
      </c>
      <c r="E77">
        <v>39001386450</v>
      </c>
    </row>
    <row r="78" spans="1:5" x14ac:dyDescent="0.2">
      <c r="A78">
        <v>76</v>
      </c>
      <c r="B78" t="s">
        <v>54</v>
      </c>
      <c r="C78" t="s">
        <v>159</v>
      </c>
      <c r="D78" t="s">
        <v>189</v>
      </c>
      <c r="E78">
        <v>39000587353</v>
      </c>
    </row>
    <row r="79" spans="1:5" x14ac:dyDescent="0.2">
      <c r="A79">
        <v>77</v>
      </c>
      <c r="B79" t="s">
        <v>60</v>
      </c>
      <c r="C79" t="s">
        <v>159</v>
      </c>
      <c r="D79" t="s">
        <v>226</v>
      </c>
      <c r="E79">
        <v>39000220948</v>
      </c>
    </row>
    <row r="80" spans="1:5" x14ac:dyDescent="0.2">
      <c r="A80">
        <v>78</v>
      </c>
      <c r="B80" t="s">
        <v>60</v>
      </c>
      <c r="C80" t="s">
        <v>159</v>
      </c>
      <c r="D80" t="s">
        <v>227</v>
      </c>
      <c r="E80">
        <v>39000230035</v>
      </c>
    </row>
    <row r="81" spans="1:5" x14ac:dyDescent="0.2">
      <c r="A81">
        <v>79</v>
      </c>
      <c r="B81" t="s">
        <v>70</v>
      </c>
      <c r="C81" t="s">
        <v>159</v>
      </c>
      <c r="D81" t="s">
        <v>228</v>
      </c>
      <c r="E81">
        <v>39001547377</v>
      </c>
    </row>
    <row r="82" spans="1:5" x14ac:dyDescent="0.2">
      <c r="A82">
        <v>80</v>
      </c>
      <c r="B82" t="s">
        <v>69</v>
      </c>
      <c r="C82" t="s">
        <v>157</v>
      </c>
      <c r="D82" t="s">
        <v>229</v>
      </c>
      <c r="E82">
        <v>39000219921</v>
      </c>
    </row>
    <row r="83" spans="1:5" x14ac:dyDescent="0.2">
      <c r="A83">
        <v>81</v>
      </c>
      <c r="B83" t="s">
        <v>58</v>
      </c>
      <c r="C83" t="s">
        <v>159</v>
      </c>
      <c r="D83" t="s">
        <v>230</v>
      </c>
      <c r="E83">
        <v>39000966212</v>
      </c>
    </row>
    <row r="84" spans="1:5" x14ac:dyDescent="0.2">
      <c r="A84">
        <v>82</v>
      </c>
      <c r="B84" t="s">
        <v>68</v>
      </c>
      <c r="C84" t="s">
        <v>159</v>
      </c>
      <c r="D84" t="s">
        <v>231</v>
      </c>
      <c r="E84">
        <v>39000658606</v>
      </c>
    </row>
    <row r="85" spans="1:5" x14ac:dyDescent="0.2">
      <c r="A85">
        <v>83</v>
      </c>
      <c r="B85" t="s">
        <v>54</v>
      </c>
      <c r="C85" t="s">
        <v>159</v>
      </c>
      <c r="D85" t="s">
        <v>232</v>
      </c>
      <c r="E85">
        <v>39000585559</v>
      </c>
    </row>
    <row r="86" spans="1:5" x14ac:dyDescent="0.2">
      <c r="A86">
        <v>84</v>
      </c>
      <c r="B86" t="s">
        <v>60</v>
      </c>
      <c r="C86" t="s">
        <v>159</v>
      </c>
      <c r="D86" t="s">
        <v>193</v>
      </c>
      <c r="E86">
        <v>39000204529</v>
      </c>
    </row>
    <row r="87" spans="1:5" x14ac:dyDescent="0.2">
      <c r="A87">
        <v>85</v>
      </c>
      <c r="B87" t="s">
        <v>74</v>
      </c>
      <c r="C87" t="s">
        <v>159</v>
      </c>
      <c r="D87" t="s">
        <v>233</v>
      </c>
      <c r="E87">
        <v>39000288535</v>
      </c>
    </row>
    <row r="88" spans="1:5" x14ac:dyDescent="0.2">
      <c r="A88">
        <v>86</v>
      </c>
      <c r="B88" t="s">
        <v>69</v>
      </c>
      <c r="C88" t="s">
        <v>157</v>
      </c>
      <c r="D88" t="s">
        <v>234</v>
      </c>
      <c r="E88">
        <v>39000220701</v>
      </c>
    </row>
    <row r="89" spans="1:5" x14ac:dyDescent="0.2">
      <c r="A89">
        <v>87</v>
      </c>
      <c r="B89" t="s">
        <v>74</v>
      </c>
      <c r="C89" t="s">
        <v>159</v>
      </c>
      <c r="D89" t="s">
        <v>220</v>
      </c>
      <c r="E89">
        <v>39000281645</v>
      </c>
    </row>
    <row r="90" spans="1:5" x14ac:dyDescent="0.2">
      <c r="A90">
        <v>88</v>
      </c>
      <c r="B90" t="s">
        <v>68</v>
      </c>
      <c r="C90" t="s">
        <v>155</v>
      </c>
      <c r="D90" t="s">
        <v>235</v>
      </c>
      <c r="E90">
        <v>39000658060</v>
      </c>
    </row>
    <row r="91" spans="1:5" x14ac:dyDescent="0.2">
      <c r="A91">
        <v>89</v>
      </c>
      <c r="B91" t="s">
        <v>58</v>
      </c>
      <c r="C91" t="s">
        <v>159</v>
      </c>
      <c r="D91" t="s">
        <v>236</v>
      </c>
      <c r="E91">
        <v>39000977938</v>
      </c>
    </row>
    <row r="92" spans="1:5" x14ac:dyDescent="0.2">
      <c r="A92">
        <v>90</v>
      </c>
      <c r="B92" t="s">
        <v>58</v>
      </c>
      <c r="C92" t="s">
        <v>155</v>
      </c>
      <c r="D92" t="s">
        <v>237</v>
      </c>
      <c r="E92">
        <v>39000985439</v>
      </c>
    </row>
    <row r="93" spans="1:5" x14ac:dyDescent="0.2">
      <c r="A93">
        <v>91</v>
      </c>
      <c r="B93" t="s">
        <v>74</v>
      </c>
      <c r="C93" t="s">
        <v>159</v>
      </c>
      <c r="D93" t="s">
        <v>238</v>
      </c>
      <c r="E93">
        <v>39000280735</v>
      </c>
    </row>
    <row r="94" spans="1:5" x14ac:dyDescent="0.2">
      <c r="A94">
        <v>92</v>
      </c>
      <c r="B94" t="s">
        <v>60</v>
      </c>
      <c r="C94" t="s">
        <v>159</v>
      </c>
      <c r="D94" t="s">
        <v>239</v>
      </c>
      <c r="E94">
        <v>39002332915</v>
      </c>
    </row>
    <row r="95" spans="1:5" x14ac:dyDescent="0.2">
      <c r="A95">
        <v>93</v>
      </c>
      <c r="B95" t="s">
        <v>66</v>
      </c>
      <c r="C95" t="s">
        <v>159</v>
      </c>
      <c r="D95" t="s">
        <v>240</v>
      </c>
      <c r="E95">
        <v>39002925091</v>
      </c>
    </row>
    <row r="96" spans="1:5" x14ac:dyDescent="0.2">
      <c r="A96">
        <v>94</v>
      </c>
      <c r="B96" t="s">
        <v>75</v>
      </c>
      <c r="C96" t="s">
        <v>159</v>
      </c>
      <c r="D96" t="s">
        <v>184</v>
      </c>
      <c r="E96">
        <v>39001386476</v>
      </c>
    </row>
    <row r="97" spans="1:5" x14ac:dyDescent="0.2">
      <c r="A97">
        <v>95</v>
      </c>
      <c r="B97" t="s">
        <v>66</v>
      </c>
      <c r="C97" t="s">
        <v>159</v>
      </c>
      <c r="D97" t="s">
        <v>241</v>
      </c>
      <c r="E97">
        <v>39000337090</v>
      </c>
    </row>
    <row r="98" spans="1:5" x14ac:dyDescent="0.2">
      <c r="A98">
        <v>96</v>
      </c>
      <c r="B98" t="s">
        <v>66</v>
      </c>
      <c r="C98" t="s">
        <v>159</v>
      </c>
      <c r="D98" t="s">
        <v>182</v>
      </c>
      <c r="E98">
        <v>39000343902</v>
      </c>
    </row>
    <row r="99" spans="1:5" x14ac:dyDescent="0.2">
      <c r="A99">
        <v>97</v>
      </c>
      <c r="B99" t="s">
        <v>64</v>
      </c>
      <c r="C99" t="s">
        <v>155</v>
      </c>
      <c r="D99" t="s">
        <v>242</v>
      </c>
      <c r="E99">
        <v>39001689844</v>
      </c>
    </row>
    <row r="100" spans="1:5" x14ac:dyDescent="0.2">
      <c r="A100">
        <v>98</v>
      </c>
      <c r="B100" t="s">
        <v>54</v>
      </c>
      <c r="C100" t="s">
        <v>159</v>
      </c>
      <c r="D100" t="s">
        <v>243</v>
      </c>
      <c r="E100">
        <v>39000586378</v>
      </c>
    </row>
    <row r="101" spans="1:5" x14ac:dyDescent="0.2">
      <c r="A101">
        <v>99</v>
      </c>
      <c r="B101" t="s">
        <v>60</v>
      </c>
      <c r="C101" t="s">
        <v>159</v>
      </c>
      <c r="D101" t="s">
        <v>244</v>
      </c>
      <c r="E101">
        <v>39000224900</v>
      </c>
    </row>
    <row r="102" spans="1:5" x14ac:dyDescent="0.2">
      <c r="A102">
        <v>100</v>
      </c>
      <c r="B102" t="s">
        <v>70</v>
      </c>
      <c r="C102" t="s">
        <v>159</v>
      </c>
      <c r="D102" t="s">
        <v>245</v>
      </c>
      <c r="E102">
        <v>39001417390</v>
      </c>
    </row>
    <row r="103" spans="1:5" x14ac:dyDescent="0.2">
      <c r="A103">
        <v>101</v>
      </c>
      <c r="B103" t="s">
        <v>54</v>
      </c>
      <c r="C103" t="s">
        <v>159</v>
      </c>
      <c r="D103" t="s">
        <v>246</v>
      </c>
      <c r="E103">
        <v>39000584987</v>
      </c>
    </row>
    <row r="104" spans="1:5" x14ac:dyDescent="0.2">
      <c r="A104">
        <v>102</v>
      </c>
      <c r="B104" t="s">
        <v>72</v>
      </c>
      <c r="C104" t="s">
        <v>159</v>
      </c>
      <c r="D104" t="s">
        <v>208</v>
      </c>
      <c r="E104">
        <v>39001550731</v>
      </c>
    </row>
    <row r="105" spans="1:5" x14ac:dyDescent="0.2">
      <c r="A105">
        <v>103</v>
      </c>
      <c r="B105" t="s">
        <v>74</v>
      </c>
      <c r="C105" t="s">
        <v>157</v>
      </c>
      <c r="D105" t="s">
        <v>176</v>
      </c>
      <c r="E105">
        <v>39000283465</v>
      </c>
    </row>
    <row r="106" spans="1:5" x14ac:dyDescent="0.2">
      <c r="A106">
        <v>104</v>
      </c>
      <c r="B106" t="s">
        <v>56</v>
      </c>
      <c r="C106" t="s">
        <v>159</v>
      </c>
      <c r="D106" t="s">
        <v>247</v>
      </c>
      <c r="E106">
        <v>39002286388</v>
      </c>
    </row>
    <row r="107" spans="1:5" x14ac:dyDescent="0.2">
      <c r="A107">
        <v>105</v>
      </c>
      <c r="B107" t="s">
        <v>68</v>
      </c>
      <c r="C107" t="s">
        <v>159</v>
      </c>
      <c r="D107" t="s">
        <v>197</v>
      </c>
      <c r="E107">
        <v>39000666575</v>
      </c>
    </row>
    <row r="108" spans="1:5" x14ac:dyDescent="0.2">
      <c r="A108">
        <v>106</v>
      </c>
      <c r="B108" t="s">
        <v>60</v>
      </c>
      <c r="C108" t="s">
        <v>159</v>
      </c>
      <c r="D108" t="s">
        <v>248</v>
      </c>
      <c r="E108">
        <v>39000240981</v>
      </c>
    </row>
    <row r="109" spans="1:5" x14ac:dyDescent="0.2">
      <c r="A109">
        <v>107</v>
      </c>
      <c r="B109" t="s">
        <v>70</v>
      </c>
      <c r="C109" t="s">
        <v>187</v>
      </c>
      <c r="D109" t="s">
        <v>249</v>
      </c>
      <c r="E109">
        <v>39001417234</v>
      </c>
    </row>
    <row r="110" spans="1:5" x14ac:dyDescent="0.2">
      <c r="A110">
        <v>108</v>
      </c>
      <c r="B110" t="s">
        <v>68</v>
      </c>
      <c r="C110" t="s">
        <v>157</v>
      </c>
      <c r="D110" t="s">
        <v>250</v>
      </c>
      <c r="E110">
        <v>39000665041</v>
      </c>
    </row>
    <row r="111" spans="1:5" x14ac:dyDescent="0.2">
      <c r="A111">
        <v>109</v>
      </c>
      <c r="B111" t="s">
        <v>72</v>
      </c>
      <c r="C111" t="s">
        <v>159</v>
      </c>
      <c r="D111" t="s">
        <v>251</v>
      </c>
      <c r="E111">
        <v>39001387490</v>
      </c>
    </row>
    <row r="112" spans="1:5" x14ac:dyDescent="0.2">
      <c r="A112">
        <v>110</v>
      </c>
      <c r="B112" t="s">
        <v>56</v>
      </c>
      <c r="C112" t="s">
        <v>155</v>
      </c>
      <c r="D112" t="s">
        <v>194</v>
      </c>
      <c r="E112">
        <v>39002243943</v>
      </c>
    </row>
    <row r="113" spans="1:5" x14ac:dyDescent="0.2">
      <c r="A113">
        <v>111</v>
      </c>
      <c r="B113" t="s">
        <v>60</v>
      </c>
      <c r="C113" t="s">
        <v>252</v>
      </c>
      <c r="D113" t="s">
        <v>253</v>
      </c>
      <c r="E113">
        <v>39000227422</v>
      </c>
    </row>
    <row r="114" spans="1:5" x14ac:dyDescent="0.2">
      <c r="A114">
        <v>112</v>
      </c>
      <c r="B114" t="s">
        <v>72</v>
      </c>
      <c r="C114" t="s">
        <v>159</v>
      </c>
      <c r="D114" t="s">
        <v>185</v>
      </c>
      <c r="E114">
        <v>39001483989</v>
      </c>
    </row>
    <row r="115" spans="1:5" x14ac:dyDescent="0.2">
      <c r="A115">
        <v>113</v>
      </c>
      <c r="B115" t="s">
        <v>68</v>
      </c>
      <c r="C115" t="s">
        <v>187</v>
      </c>
      <c r="D115" t="s">
        <v>205</v>
      </c>
      <c r="E115">
        <v>39000753233</v>
      </c>
    </row>
    <row r="116" spans="1:5" x14ac:dyDescent="0.2">
      <c r="A116">
        <v>114</v>
      </c>
      <c r="B116" t="s">
        <v>70</v>
      </c>
      <c r="C116" t="s">
        <v>159</v>
      </c>
      <c r="D116" t="s">
        <v>196</v>
      </c>
      <c r="E116">
        <v>39001547403</v>
      </c>
    </row>
    <row r="117" spans="1:5" x14ac:dyDescent="0.2">
      <c r="A117">
        <v>115</v>
      </c>
      <c r="B117" t="s">
        <v>54</v>
      </c>
      <c r="C117" t="s">
        <v>159</v>
      </c>
      <c r="D117" t="s">
        <v>254</v>
      </c>
      <c r="E117">
        <v>39001729351</v>
      </c>
    </row>
    <row r="118" spans="1:5" x14ac:dyDescent="0.2">
      <c r="A118">
        <v>116</v>
      </c>
      <c r="B118" t="s">
        <v>54</v>
      </c>
      <c r="C118" t="s">
        <v>159</v>
      </c>
      <c r="D118" t="s">
        <v>254</v>
      </c>
      <c r="E118">
        <v>39000592696</v>
      </c>
    </row>
    <row r="119" spans="1:5" x14ac:dyDescent="0.2">
      <c r="A119">
        <v>117</v>
      </c>
      <c r="B119" t="s">
        <v>58</v>
      </c>
      <c r="C119" t="s">
        <v>155</v>
      </c>
      <c r="D119" t="s">
        <v>255</v>
      </c>
      <c r="E119">
        <v>39000983177</v>
      </c>
    </row>
    <row r="120" spans="1:5" x14ac:dyDescent="0.2">
      <c r="A120">
        <v>118</v>
      </c>
      <c r="B120" t="s">
        <v>60</v>
      </c>
      <c r="C120" t="s">
        <v>159</v>
      </c>
      <c r="D120" t="s">
        <v>256</v>
      </c>
      <c r="E120">
        <v>39000208572</v>
      </c>
    </row>
    <row r="121" spans="1:5" x14ac:dyDescent="0.2">
      <c r="A121">
        <v>119</v>
      </c>
      <c r="B121" t="s">
        <v>64</v>
      </c>
      <c r="C121" t="s">
        <v>159</v>
      </c>
      <c r="D121" t="s">
        <v>257</v>
      </c>
      <c r="E121">
        <v>39001708915</v>
      </c>
    </row>
    <row r="122" spans="1:5" x14ac:dyDescent="0.2">
      <c r="A122">
        <v>120</v>
      </c>
      <c r="B122" t="s">
        <v>58</v>
      </c>
      <c r="C122" t="s">
        <v>157</v>
      </c>
      <c r="D122" t="s">
        <v>202</v>
      </c>
      <c r="E122">
        <v>39000965133</v>
      </c>
    </row>
    <row r="123" spans="1:5" x14ac:dyDescent="0.2">
      <c r="A123">
        <v>121</v>
      </c>
      <c r="B123" t="s">
        <v>66</v>
      </c>
      <c r="C123" t="s">
        <v>159</v>
      </c>
      <c r="D123" t="s">
        <v>206</v>
      </c>
      <c r="E123">
        <v>39000331019</v>
      </c>
    </row>
    <row r="124" spans="1:5" x14ac:dyDescent="0.2">
      <c r="A124">
        <v>122</v>
      </c>
      <c r="B124" t="s">
        <v>54</v>
      </c>
      <c r="C124" t="s">
        <v>159</v>
      </c>
      <c r="D124" t="s">
        <v>258</v>
      </c>
      <c r="E124">
        <v>39002736084</v>
      </c>
    </row>
    <row r="125" spans="1:5" x14ac:dyDescent="0.2">
      <c r="A125">
        <v>123</v>
      </c>
      <c r="B125" t="s">
        <v>58</v>
      </c>
      <c r="C125" t="s">
        <v>157</v>
      </c>
      <c r="D125" t="s">
        <v>259</v>
      </c>
      <c r="E125">
        <v>39000966212</v>
      </c>
    </row>
    <row r="126" spans="1:5" x14ac:dyDescent="0.2">
      <c r="A126">
        <v>124</v>
      </c>
      <c r="B126" t="s">
        <v>58</v>
      </c>
      <c r="C126" t="s">
        <v>159</v>
      </c>
      <c r="D126" t="s">
        <v>260</v>
      </c>
      <c r="E126">
        <v>39000951262</v>
      </c>
    </row>
    <row r="127" spans="1:5" x14ac:dyDescent="0.2">
      <c r="A127">
        <v>125</v>
      </c>
      <c r="B127" t="s">
        <v>69</v>
      </c>
      <c r="C127" t="s">
        <v>159</v>
      </c>
      <c r="D127" t="s">
        <v>261</v>
      </c>
      <c r="E127">
        <v>39000199771</v>
      </c>
    </row>
    <row r="128" spans="1:5" x14ac:dyDescent="0.2">
      <c r="A128">
        <v>126</v>
      </c>
      <c r="B128" t="s">
        <v>60</v>
      </c>
      <c r="C128" t="s">
        <v>159</v>
      </c>
      <c r="D128" t="s">
        <v>262</v>
      </c>
      <c r="E128">
        <v>39002856828</v>
      </c>
    </row>
    <row r="129" spans="1:5" x14ac:dyDescent="0.2">
      <c r="A129">
        <v>127</v>
      </c>
      <c r="B129" t="s">
        <v>69</v>
      </c>
      <c r="C129" t="s">
        <v>155</v>
      </c>
      <c r="D129" t="s">
        <v>263</v>
      </c>
      <c r="E129">
        <v>39000200889</v>
      </c>
    </row>
    <row r="130" spans="1:5" x14ac:dyDescent="0.2">
      <c r="A130">
        <v>128</v>
      </c>
      <c r="B130" t="s">
        <v>60</v>
      </c>
      <c r="C130" t="s">
        <v>159</v>
      </c>
      <c r="D130" t="s">
        <v>264</v>
      </c>
      <c r="E130">
        <v>39000424606</v>
      </c>
    </row>
    <row r="131" spans="1:5" x14ac:dyDescent="0.2">
      <c r="A131">
        <v>129</v>
      </c>
      <c r="B131" t="s">
        <v>54</v>
      </c>
      <c r="C131" t="s">
        <v>159</v>
      </c>
      <c r="D131" t="s">
        <v>265</v>
      </c>
      <c r="E131">
        <v>39000593268</v>
      </c>
    </row>
    <row r="132" spans="1:5" x14ac:dyDescent="0.2">
      <c r="A132">
        <v>130</v>
      </c>
      <c r="B132" t="s">
        <v>76</v>
      </c>
      <c r="C132" t="s">
        <v>187</v>
      </c>
      <c r="D132" t="s">
        <v>266</v>
      </c>
      <c r="E132">
        <v>39002797470</v>
      </c>
    </row>
    <row r="133" spans="1:5" x14ac:dyDescent="0.2">
      <c r="A133">
        <v>131</v>
      </c>
      <c r="B133" t="s">
        <v>58</v>
      </c>
      <c r="C133" t="s">
        <v>157</v>
      </c>
      <c r="D133" t="s">
        <v>202</v>
      </c>
      <c r="E133">
        <v>39000957008</v>
      </c>
    </row>
    <row r="134" spans="1:5" x14ac:dyDescent="0.2">
      <c r="A134">
        <v>132</v>
      </c>
      <c r="B134" t="s">
        <v>64</v>
      </c>
      <c r="C134" t="s">
        <v>157</v>
      </c>
      <c r="D134" t="s">
        <v>267</v>
      </c>
      <c r="E134">
        <v>39001707030</v>
      </c>
    </row>
    <row r="135" spans="1:5" x14ac:dyDescent="0.2">
      <c r="A135">
        <v>133</v>
      </c>
      <c r="B135" t="s">
        <v>58</v>
      </c>
      <c r="C135" t="s">
        <v>159</v>
      </c>
      <c r="D135" t="s">
        <v>268</v>
      </c>
      <c r="E135">
        <v>39000976196</v>
      </c>
    </row>
    <row r="136" spans="1:5" x14ac:dyDescent="0.2">
      <c r="A136">
        <v>134</v>
      </c>
      <c r="B136" t="s">
        <v>66</v>
      </c>
      <c r="C136" t="s">
        <v>159</v>
      </c>
      <c r="D136" t="s">
        <v>269</v>
      </c>
      <c r="E136">
        <v>39000330577</v>
      </c>
    </row>
    <row r="137" spans="1:5" x14ac:dyDescent="0.2">
      <c r="A137">
        <v>135</v>
      </c>
      <c r="B137" t="s">
        <v>70</v>
      </c>
      <c r="C137" t="s">
        <v>159</v>
      </c>
      <c r="D137" t="s">
        <v>270</v>
      </c>
      <c r="E137">
        <v>39001519648</v>
      </c>
    </row>
    <row r="138" spans="1:5" x14ac:dyDescent="0.2">
      <c r="A138">
        <v>136</v>
      </c>
      <c r="B138" t="s">
        <v>58</v>
      </c>
      <c r="C138" t="s">
        <v>159</v>
      </c>
      <c r="D138" t="s">
        <v>271</v>
      </c>
      <c r="E138">
        <v>39000980447</v>
      </c>
    </row>
    <row r="139" spans="1:5" x14ac:dyDescent="0.2">
      <c r="A139">
        <v>137</v>
      </c>
      <c r="B139" t="s">
        <v>70</v>
      </c>
      <c r="C139" t="s">
        <v>159</v>
      </c>
      <c r="D139" t="s">
        <v>272</v>
      </c>
      <c r="E139">
        <v>39001584947</v>
      </c>
    </row>
    <row r="140" spans="1:5" x14ac:dyDescent="0.2">
      <c r="A140">
        <v>138</v>
      </c>
      <c r="B140" t="s">
        <v>68</v>
      </c>
      <c r="C140" t="s">
        <v>155</v>
      </c>
      <c r="D140" t="s">
        <v>218</v>
      </c>
      <c r="E140">
        <v>39000752271</v>
      </c>
    </row>
    <row r="141" spans="1:5" x14ac:dyDescent="0.2">
      <c r="A141">
        <v>139</v>
      </c>
      <c r="B141" t="s">
        <v>68</v>
      </c>
      <c r="C141" t="s">
        <v>157</v>
      </c>
      <c r="D141" t="s">
        <v>273</v>
      </c>
      <c r="E141">
        <v>39000660634</v>
      </c>
    </row>
    <row r="142" spans="1:5" x14ac:dyDescent="0.2">
      <c r="A142">
        <v>140</v>
      </c>
      <c r="B142" t="s">
        <v>66</v>
      </c>
      <c r="C142" t="s">
        <v>157</v>
      </c>
      <c r="D142" t="s">
        <v>274</v>
      </c>
      <c r="E142">
        <v>39000337337</v>
      </c>
    </row>
    <row r="143" spans="1:5" x14ac:dyDescent="0.2">
      <c r="A143">
        <v>141</v>
      </c>
      <c r="B143" t="s">
        <v>70</v>
      </c>
      <c r="C143" t="s">
        <v>159</v>
      </c>
      <c r="D143" t="s">
        <v>270</v>
      </c>
      <c r="E143">
        <v>39001392560</v>
      </c>
    </row>
    <row r="144" spans="1:5" x14ac:dyDescent="0.2">
      <c r="A144">
        <v>142</v>
      </c>
      <c r="B144" t="s">
        <v>64</v>
      </c>
      <c r="C144" t="s">
        <v>212</v>
      </c>
      <c r="D144" t="s">
        <v>275</v>
      </c>
      <c r="E144">
        <v>39001695486</v>
      </c>
    </row>
    <row r="145" spans="1:5" x14ac:dyDescent="0.2">
      <c r="A145">
        <v>143</v>
      </c>
      <c r="B145" t="s">
        <v>54</v>
      </c>
      <c r="C145" t="s">
        <v>157</v>
      </c>
      <c r="D145" t="s">
        <v>276</v>
      </c>
      <c r="E145">
        <v>39000592683</v>
      </c>
    </row>
    <row r="146" spans="1:5" x14ac:dyDescent="0.2">
      <c r="A146">
        <v>144</v>
      </c>
      <c r="B146" t="s">
        <v>69</v>
      </c>
      <c r="C146" t="s">
        <v>155</v>
      </c>
      <c r="D146" t="s">
        <v>277</v>
      </c>
      <c r="E146">
        <v>39000234221</v>
      </c>
    </row>
    <row r="147" spans="1:5" x14ac:dyDescent="0.2">
      <c r="A147">
        <v>145</v>
      </c>
      <c r="B147" t="s">
        <v>74</v>
      </c>
      <c r="C147" t="s">
        <v>159</v>
      </c>
      <c r="D147" t="s">
        <v>278</v>
      </c>
      <c r="E147">
        <v>39000287664</v>
      </c>
    </row>
    <row r="148" spans="1:5" x14ac:dyDescent="0.2">
      <c r="A148">
        <v>146</v>
      </c>
      <c r="B148" t="s">
        <v>60</v>
      </c>
      <c r="C148" t="s">
        <v>155</v>
      </c>
      <c r="D148" t="s">
        <v>279</v>
      </c>
      <c r="E148">
        <v>39000206388</v>
      </c>
    </row>
    <row r="149" spans="1:5" x14ac:dyDescent="0.2">
      <c r="A149">
        <v>147</v>
      </c>
      <c r="B149" t="s">
        <v>54</v>
      </c>
      <c r="C149" t="s">
        <v>159</v>
      </c>
      <c r="D149" t="s">
        <v>191</v>
      </c>
      <c r="E149">
        <v>39000593164</v>
      </c>
    </row>
    <row r="150" spans="1:5" x14ac:dyDescent="0.2">
      <c r="A150">
        <v>148</v>
      </c>
      <c r="B150" t="s">
        <v>60</v>
      </c>
      <c r="C150" t="s">
        <v>159</v>
      </c>
      <c r="D150" t="s">
        <v>183</v>
      </c>
      <c r="E150">
        <v>39000220584</v>
      </c>
    </row>
    <row r="151" spans="1:5" x14ac:dyDescent="0.2">
      <c r="A151">
        <v>149</v>
      </c>
      <c r="B151" t="s">
        <v>70</v>
      </c>
      <c r="C151" t="s">
        <v>159</v>
      </c>
      <c r="D151" t="s">
        <v>280</v>
      </c>
      <c r="E151">
        <v>39001392820</v>
      </c>
    </row>
    <row r="152" spans="1:5" x14ac:dyDescent="0.2">
      <c r="A152">
        <v>150</v>
      </c>
      <c r="B152" t="s">
        <v>66</v>
      </c>
      <c r="C152" t="s">
        <v>157</v>
      </c>
      <c r="D152" t="s">
        <v>281</v>
      </c>
      <c r="E152">
        <v>39000342823</v>
      </c>
    </row>
    <row r="153" spans="1:5" x14ac:dyDescent="0.2">
      <c r="A153">
        <v>151</v>
      </c>
      <c r="B153" t="s">
        <v>64</v>
      </c>
      <c r="C153" t="s">
        <v>159</v>
      </c>
      <c r="D153" t="s">
        <v>282</v>
      </c>
      <c r="E153">
        <v>39001969578</v>
      </c>
    </row>
    <row r="154" spans="1:5" x14ac:dyDescent="0.2">
      <c r="A154">
        <v>152</v>
      </c>
      <c r="B154" t="s">
        <v>69</v>
      </c>
      <c r="C154" t="s">
        <v>159</v>
      </c>
      <c r="D154" t="s">
        <v>283</v>
      </c>
      <c r="E154">
        <v>39000219284</v>
      </c>
    </row>
    <row r="155" spans="1:5" x14ac:dyDescent="0.2">
      <c r="A155">
        <v>153</v>
      </c>
      <c r="B155" t="s">
        <v>70</v>
      </c>
      <c r="C155" t="s">
        <v>159</v>
      </c>
      <c r="D155" t="s">
        <v>284</v>
      </c>
      <c r="E155">
        <v>39001479270</v>
      </c>
    </row>
    <row r="156" spans="1:5" x14ac:dyDescent="0.2">
      <c r="A156">
        <v>154</v>
      </c>
      <c r="B156" t="s">
        <v>74</v>
      </c>
      <c r="C156" t="s">
        <v>157</v>
      </c>
      <c r="D156" t="s">
        <v>285</v>
      </c>
      <c r="E156">
        <v>39000279890</v>
      </c>
    </row>
    <row r="157" spans="1:5" x14ac:dyDescent="0.2">
      <c r="A157">
        <v>155</v>
      </c>
      <c r="B157" t="s">
        <v>66</v>
      </c>
      <c r="C157" t="s">
        <v>159</v>
      </c>
      <c r="D157" t="s">
        <v>241</v>
      </c>
      <c r="E157">
        <v>39000347984</v>
      </c>
    </row>
    <row r="158" spans="1:5" x14ac:dyDescent="0.2">
      <c r="A158">
        <v>156</v>
      </c>
      <c r="B158" t="s">
        <v>70</v>
      </c>
      <c r="C158" t="s">
        <v>159</v>
      </c>
      <c r="D158" t="s">
        <v>270</v>
      </c>
      <c r="E158">
        <v>39001585194</v>
      </c>
    </row>
    <row r="159" spans="1:5" x14ac:dyDescent="0.2">
      <c r="A159">
        <v>157</v>
      </c>
      <c r="B159" t="s">
        <v>62</v>
      </c>
      <c r="C159" t="s">
        <v>159</v>
      </c>
      <c r="D159" t="s">
        <v>286</v>
      </c>
      <c r="E159">
        <v>39000264667</v>
      </c>
    </row>
    <row r="160" spans="1:5" x14ac:dyDescent="0.2">
      <c r="A160">
        <v>158</v>
      </c>
      <c r="B160" t="s">
        <v>76</v>
      </c>
      <c r="C160" t="s">
        <v>155</v>
      </c>
      <c r="D160" t="s">
        <v>199</v>
      </c>
      <c r="E160">
        <v>39002793505</v>
      </c>
    </row>
    <row r="161" spans="1:5" x14ac:dyDescent="0.2">
      <c r="A161">
        <v>159</v>
      </c>
      <c r="B161" t="s">
        <v>60</v>
      </c>
      <c r="C161" t="s">
        <v>157</v>
      </c>
      <c r="D161" t="s">
        <v>287</v>
      </c>
      <c r="E161">
        <v>39000220441</v>
      </c>
    </row>
    <row r="162" spans="1:5" x14ac:dyDescent="0.2">
      <c r="A162">
        <v>160</v>
      </c>
      <c r="B162" t="s">
        <v>66</v>
      </c>
      <c r="C162" t="s">
        <v>159</v>
      </c>
      <c r="D162" t="s">
        <v>240</v>
      </c>
      <c r="E162">
        <v>39000340795</v>
      </c>
    </row>
    <row r="163" spans="1:5" x14ac:dyDescent="0.2">
      <c r="A163">
        <v>161</v>
      </c>
      <c r="B163" t="s">
        <v>60</v>
      </c>
      <c r="C163" t="s">
        <v>159</v>
      </c>
      <c r="D163" t="s">
        <v>288</v>
      </c>
      <c r="E163">
        <v>39000199589</v>
      </c>
    </row>
    <row r="164" spans="1:5" x14ac:dyDescent="0.2">
      <c r="A164">
        <v>162</v>
      </c>
      <c r="B164" t="s">
        <v>68</v>
      </c>
      <c r="C164" t="s">
        <v>159</v>
      </c>
      <c r="D164" t="s">
        <v>289</v>
      </c>
      <c r="E164">
        <v>39000656097</v>
      </c>
    </row>
    <row r="165" spans="1:5" x14ac:dyDescent="0.2">
      <c r="A165">
        <v>163</v>
      </c>
      <c r="B165" t="s">
        <v>68</v>
      </c>
      <c r="C165" t="s">
        <v>187</v>
      </c>
      <c r="D165" t="s">
        <v>290</v>
      </c>
      <c r="E165">
        <v>39000665184</v>
      </c>
    </row>
    <row r="166" spans="1:5" x14ac:dyDescent="0.2">
      <c r="A166">
        <v>164</v>
      </c>
      <c r="B166" t="s">
        <v>60</v>
      </c>
      <c r="C166" t="s">
        <v>159</v>
      </c>
      <c r="D166" t="s">
        <v>227</v>
      </c>
      <c r="E166">
        <v>39001846988</v>
      </c>
    </row>
    <row r="167" spans="1:5" x14ac:dyDescent="0.2">
      <c r="A167">
        <v>165</v>
      </c>
      <c r="B167" t="s">
        <v>70</v>
      </c>
      <c r="C167" t="s">
        <v>157</v>
      </c>
      <c r="D167" t="s">
        <v>291</v>
      </c>
      <c r="E167">
        <v>39001525238</v>
      </c>
    </row>
    <row r="168" spans="1:5" x14ac:dyDescent="0.2">
      <c r="A168">
        <v>166</v>
      </c>
      <c r="B168" t="s">
        <v>74</v>
      </c>
      <c r="C168" t="s">
        <v>157</v>
      </c>
      <c r="D168" t="s">
        <v>292</v>
      </c>
      <c r="E168">
        <v>39000283803</v>
      </c>
    </row>
    <row r="169" spans="1:5" x14ac:dyDescent="0.2">
      <c r="A169">
        <v>167</v>
      </c>
      <c r="B169" t="s">
        <v>70</v>
      </c>
      <c r="C169" t="s">
        <v>159</v>
      </c>
      <c r="D169" t="s">
        <v>293</v>
      </c>
      <c r="E169">
        <v>39001520298</v>
      </c>
    </row>
    <row r="170" spans="1:5" x14ac:dyDescent="0.2">
      <c r="A170">
        <v>168</v>
      </c>
      <c r="B170" t="s">
        <v>66</v>
      </c>
      <c r="C170" t="s">
        <v>157</v>
      </c>
      <c r="D170" t="s">
        <v>294</v>
      </c>
      <c r="E170">
        <v>39000337402</v>
      </c>
    </row>
    <row r="171" spans="1:5" x14ac:dyDescent="0.2">
      <c r="A171">
        <v>169</v>
      </c>
      <c r="B171" t="s">
        <v>69</v>
      </c>
      <c r="C171" t="s">
        <v>159</v>
      </c>
      <c r="D171" t="s">
        <v>203</v>
      </c>
      <c r="E171">
        <v>39000228449</v>
      </c>
    </row>
    <row r="172" spans="1:5" x14ac:dyDescent="0.2">
      <c r="A172">
        <v>170</v>
      </c>
      <c r="B172" t="s">
        <v>74</v>
      </c>
      <c r="C172" t="s">
        <v>159</v>
      </c>
      <c r="D172" t="s">
        <v>295</v>
      </c>
      <c r="E172">
        <v>39002382822</v>
      </c>
    </row>
    <row r="173" spans="1:5" x14ac:dyDescent="0.2">
      <c r="A173">
        <v>171</v>
      </c>
      <c r="B173" t="s">
        <v>64</v>
      </c>
      <c r="C173" t="s">
        <v>155</v>
      </c>
      <c r="D173" t="s">
        <v>296</v>
      </c>
      <c r="E173">
        <v>39001721733</v>
      </c>
    </row>
    <row r="174" spans="1:5" x14ac:dyDescent="0.2">
      <c r="A174">
        <v>172</v>
      </c>
      <c r="B174" t="s">
        <v>60</v>
      </c>
      <c r="C174" t="s">
        <v>159</v>
      </c>
      <c r="D174" t="s">
        <v>207</v>
      </c>
      <c r="E174">
        <v>39000205335</v>
      </c>
    </row>
    <row r="175" spans="1:5" x14ac:dyDescent="0.2">
      <c r="A175">
        <v>173</v>
      </c>
      <c r="B175" t="s">
        <v>70</v>
      </c>
      <c r="C175" t="s">
        <v>187</v>
      </c>
      <c r="D175" t="s">
        <v>249</v>
      </c>
      <c r="E175">
        <v>39001417598</v>
      </c>
    </row>
    <row r="176" spans="1:5" x14ac:dyDescent="0.2">
      <c r="A176">
        <v>174</v>
      </c>
      <c r="B176" t="s">
        <v>66</v>
      </c>
      <c r="C176" t="s">
        <v>159</v>
      </c>
      <c r="D176" t="s">
        <v>182</v>
      </c>
      <c r="E176">
        <v>39000346268</v>
      </c>
    </row>
    <row r="177" spans="1:5" x14ac:dyDescent="0.2">
      <c r="A177">
        <v>175</v>
      </c>
      <c r="B177" t="s">
        <v>60</v>
      </c>
      <c r="C177" t="s">
        <v>159</v>
      </c>
      <c r="D177" t="s">
        <v>198</v>
      </c>
      <c r="E177">
        <v>39000198367</v>
      </c>
    </row>
    <row r="178" spans="1:5" x14ac:dyDescent="0.2">
      <c r="A178">
        <v>176</v>
      </c>
      <c r="B178" t="s">
        <v>66</v>
      </c>
      <c r="C178" t="s">
        <v>159</v>
      </c>
      <c r="D178" t="s">
        <v>240</v>
      </c>
      <c r="E178">
        <v>39000341900</v>
      </c>
    </row>
    <row r="179" spans="1:5" x14ac:dyDescent="0.2">
      <c r="A179">
        <v>177</v>
      </c>
      <c r="B179" t="s">
        <v>60</v>
      </c>
      <c r="C179" t="s">
        <v>159</v>
      </c>
      <c r="D179" t="s">
        <v>186</v>
      </c>
      <c r="E179">
        <v>39002901834</v>
      </c>
    </row>
    <row r="180" spans="1:5" x14ac:dyDescent="0.2">
      <c r="A180">
        <v>178</v>
      </c>
      <c r="B180" t="s">
        <v>54</v>
      </c>
      <c r="C180" t="s">
        <v>159</v>
      </c>
      <c r="D180" t="s">
        <v>297</v>
      </c>
      <c r="E180">
        <v>39000600717</v>
      </c>
    </row>
    <row r="181" spans="1:5" x14ac:dyDescent="0.2">
      <c r="A181">
        <v>179</v>
      </c>
      <c r="B181" t="s">
        <v>62</v>
      </c>
      <c r="C181" t="s">
        <v>159</v>
      </c>
      <c r="D181" t="s">
        <v>298</v>
      </c>
      <c r="E181">
        <v>39000263718</v>
      </c>
    </row>
    <row r="182" spans="1:5" x14ac:dyDescent="0.2">
      <c r="A182">
        <v>180</v>
      </c>
      <c r="B182" t="s">
        <v>70</v>
      </c>
      <c r="C182" t="s">
        <v>187</v>
      </c>
      <c r="D182" t="s">
        <v>299</v>
      </c>
      <c r="E182">
        <v>39001488526</v>
      </c>
    </row>
    <row r="183" spans="1:5" x14ac:dyDescent="0.2">
      <c r="A183">
        <v>181</v>
      </c>
      <c r="B183" t="s">
        <v>56</v>
      </c>
      <c r="C183" t="s">
        <v>159</v>
      </c>
      <c r="D183" t="s">
        <v>300</v>
      </c>
      <c r="E183">
        <v>39002200068</v>
      </c>
    </row>
    <row r="184" spans="1:5" x14ac:dyDescent="0.2">
      <c r="A184">
        <v>182</v>
      </c>
      <c r="B184" t="s">
        <v>66</v>
      </c>
      <c r="C184" t="s">
        <v>159</v>
      </c>
      <c r="D184" t="s">
        <v>301</v>
      </c>
      <c r="E184">
        <v>39000340691</v>
      </c>
    </row>
    <row r="185" spans="1:5" x14ac:dyDescent="0.2">
      <c r="A185">
        <v>183</v>
      </c>
      <c r="B185" t="s">
        <v>69</v>
      </c>
      <c r="C185" t="s">
        <v>159</v>
      </c>
      <c r="D185" t="s">
        <v>302</v>
      </c>
      <c r="E185">
        <v>39000206570</v>
      </c>
    </row>
    <row r="186" spans="1:5" x14ac:dyDescent="0.2">
      <c r="A186">
        <v>184</v>
      </c>
      <c r="B186" t="s">
        <v>62</v>
      </c>
      <c r="C186" t="s">
        <v>159</v>
      </c>
      <c r="D186" t="s">
        <v>303</v>
      </c>
      <c r="E186">
        <v>39000267358</v>
      </c>
    </row>
    <row r="187" spans="1:5" x14ac:dyDescent="0.2">
      <c r="A187">
        <v>185</v>
      </c>
      <c r="B187" t="s">
        <v>58</v>
      </c>
      <c r="C187" t="s">
        <v>159</v>
      </c>
      <c r="D187" t="s">
        <v>304</v>
      </c>
      <c r="E187">
        <v>39000962897</v>
      </c>
    </row>
    <row r="188" spans="1:5" x14ac:dyDescent="0.2">
      <c r="A188">
        <v>186</v>
      </c>
      <c r="B188" t="s">
        <v>70</v>
      </c>
      <c r="C188" t="s">
        <v>159</v>
      </c>
      <c r="D188" t="s">
        <v>305</v>
      </c>
      <c r="E188">
        <v>39001501617</v>
      </c>
    </row>
    <row r="189" spans="1:5" x14ac:dyDescent="0.2">
      <c r="A189">
        <v>187</v>
      </c>
      <c r="B189" t="s">
        <v>74</v>
      </c>
      <c r="C189" t="s">
        <v>159</v>
      </c>
      <c r="D189" t="s">
        <v>306</v>
      </c>
      <c r="E189">
        <v>39000278057</v>
      </c>
    </row>
    <row r="190" spans="1:5" x14ac:dyDescent="0.2">
      <c r="A190">
        <v>188</v>
      </c>
      <c r="B190" t="s">
        <v>66</v>
      </c>
      <c r="C190" t="s">
        <v>157</v>
      </c>
      <c r="D190" t="s">
        <v>172</v>
      </c>
      <c r="E190">
        <v>39000408993</v>
      </c>
    </row>
    <row r="191" spans="1:5" x14ac:dyDescent="0.2">
      <c r="A191">
        <v>189</v>
      </c>
      <c r="B191" t="s">
        <v>69</v>
      </c>
      <c r="C191" t="s">
        <v>159</v>
      </c>
      <c r="D191" t="s">
        <v>307</v>
      </c>
      <c r="E191">
        <v>39000214370</v>
      </c>
    </row>
    <row r="192" spans="1:5" x14ac:dyDescent="0.2">
      <c r="A192">
        <v>190</v>
      </c>
      <c r="B192" t="s">
        <v>69</v>
      </c>
      <c r="C192" t="s">
        <v>157</v>
      </c>
      <c r="D192" t="s">
        <v>229</v>
      </c>
      <c r="E192">
        <v>39000212394</v>
      </c>
    </row>
    <row r="193" spans="1:5" x14ac:dyDescent="0.2">
      <c r="A193">
        <v>191</v>
      </c>
      <c r="B193" t="s">
        <v>58</v>
      </c>
      <c r="C193" t="s">
        <v>159</v>
      </c>
      <c r="D193" t="s">
        <v>308</v>
      </c>
      <c r="E193">
        <v>39000963482</v>
      </c>
    </row>
    <row r="194" spans="1:5" x14ac:dyDescent="0.2">
      <c r="A194">
        <v>192</v>
      </c>
      <c r="B194" t="s">
        <v>60</v>
      </c>
      <c r="C194" t="s">
        <v>159</v>
      </c>
      <c r="D194" t="s">
        <v>193</v>
      </c>
      <c r="E194">
        <v>39000214643</v>
      </c>
    </row>
    <row r="195" spans="1:5" x14ac:dyDescent="0.2">
      <c r="A195">
        <v>193</v>
      </c>
      <c r="B195" t="s">
        <v>54</v>
      </c>
      <c r="C195" t="s">
        <v>159</v>
      </c>
      <c r="D195" t="s">
        <v>232</v>
      </c>
      <c r="E195">
        <v>39000593242</v>
      </c>
    </row>
    <row r="196" spans="1:5" x14ac:dyDescent="0.2">
      <c r="A196">
        <v>194</v>
      </c>
      <c r="B196" t="s">
        <v>56</v>
      </c>
      <c r="C196" t="s">
        <v>159</v>
      </c>
      <c r="D196" t="s">
        <v>300</v>
      </c>
      <c r="E196">
        <v>39002280668</v>
      </c>
    </row>
    <row r="197" spans="1:5" x14ac:dyDescent="0.2">
      <c r="A197">
        <v>195</v>
      </c>
      <c r="B197" t="s">
        <v>69</v>
      </c>
      <c r="C197" t="s">
        <v>157</v>
      </c>
      <c r="D197" t="s">
        <v>309</v>
      </c>
      <c r="E197">
        <v>39000220389</v>
      </c>
    </row>
    <row r="198" spans="1:5" x14ac:dyDescent="0.2">
      <c r="A198">
        <v>196</v>
      </c>
      <c r="B198" t="s">
        <v>62</v>
      </c>
      <c r="C198" t="s">
        <v>159</v>
      </c>
      <c r="D198" t="s">
        <v>298</v>
      </c>
      <c r="E198">
        <v>39000266513</v>
      </c>
    </row>
    <row r="199" spans="1:5" x14ac:dyDescent="0.2">
      <c r="A199">
        <v>197</v>
      </c>
      <c r="B199" t="s">
        <v>58</v>
      </c>
      <c r="C199" t="s">
        <v>159</v>
      </c>
      <c r="D199" t="s">
        <v>236</v>
      </c>
      <c r="E199">
        <v>39000963534</v>
      </c>
    </row>
    <row r="200" spans="1:5" x14ac:dyDescent="0.2">
      <c r="A200">
        <v>198</v>
      </c>
      <c r="B200" t="s">
        <v>75</v>
      </c>
      <c r="C200" t="s">
        <v>157</v>
      </c>
      <c r="D200" t="s">
        <v>310</v>
      </c>
      <c r="E200">
        <v>39001386463</v>
      </c>
    </row>
    <row r="201" spans="1:5" x14ac:dyDescent="0.2">
      <c r="A201">
        <v>199</v>
      </c>
      <c r="B201" t="s">
        <v>75</v>
      </c>
      <c r="C201" t="s">
        <v>157</v>
      </c>
      <c r="D201" t="s">
        <v>311</v>
      </c>
      <c r="E201">
        <v>39001520129</v>
      </c>
    </row>
    <row r="202" spans="1:5" x14ac:dyDescent="0.2">
      <c r="A202">
        <v>200</v>
      </c>
      <c r="B202" t="s">
        <v>58</v>
      </c>
      <c r="C202" t="s">
        <v>159</v>
      </c>
      <c r="D202" t="s">
        <v>268</v>
      </c>
      <c r="E202">
        <v>39000957008</v>
      </c>
    </row>
    <row r="203" spans="1:5" x14ac:dyDescent="0.2">
      <c r="A203">
        <v>201</v>
      </c>
      <c r="B203" t="s">
        <v>66</v>
      </c>
      <c r="C203" t="s">
        <v>159</v>
      </c>
      <c r="D203" t="s">
        <v>269</v>
      </c>
      <c r="E203">
        <v>39000404053</v>
      </c>
    </row>
    <row r="204" spans="1:5" x14ac:dyDescent="0.2">
      <c r="A204">
        <v>202</v>
      </c>
      <c r="B204" t="s">
        <v>66</v>
      </c>
      <c r="C204" t="s">
        <v>159</v>
      </c>
      <c r="D204" t="s">
        <v>182</v>
      </c>
      <c r="E204">
        <v>39000342524</v>
      </c>
    </row>
    <row r="205" spans="1:5" x14ac:dyDescent="0.2">
      <c r="A205">
        <v>203</v>
      </c>
      <c r="B205" t="s">
        <v>56</v>
      </c>
      <c r="C205" t="s">
        <v>159</v>
      </c>
      <c r="D205" t="s">
        <v>312</v>
      </c>
      <c r="E205">
        <v>39002218307</v>
      </c>
    </row>
    <row r="206" spans="1:5" x14ac:dyDescent="0.2">
      <c r="A206">
        <v>204</v>
      </c>
      <c r="B206" t="s">
        <v>60</v>
      </c>
      <c r="C206" t="s">
        <v>157</v>
      </c>
      <c r="D206" t="s">
        <v>313</v>
      </c>
      <c r="E206">
        <v>39000213616</v>
      </c>
    </row>
    <row r="207" spans="1:5" x14ac:dyDescent="0.2">
      <c r="A207">
        <v>205</v>
      </c>
      <c r="B207" t="s">
        <v>58</v>
      </c>
      <c r="C207" t="s">
        <v>159</v>
      </c>
      <c r="D207" t="s">
        <v>271</v>
      </c>
      <c r="E207">
        <v>39000964288</v>
      </c>
    </row>
    <row r="208" spans="1:5" x14ac:dyDescent="0.2">
      <c r="A208">
        <v>206</v>
      </c>
      <c r="B208" t="s">
        <v>64</v>
      </c>
      <c r="C208" t="s">
        <v>155</v>
      </c>
      <c r="D208" t="s">
        <v>242</v>
      </c>
      <c r="E208">
        <v>39002180022</v>
      </c>
    </row>
    <row r="209" spans="1:5" x14ac:dyDescent="0.2">
      <c r="A209">
        <v>207</v>
      </c>
      <c r="B209" t="s">
        <v>66</v>
      </c>
      <c r="C209" t="s">
        <v>169</v>
      </c>
      <c r="D209" t="s">
        <v>314</v>
      </c>
      <c r="E209">
        <v>39000336544</v>
      </c>
    </row>
    <row r="210" spans="1:5" x14ac:dyDescent="0.2">
      <c r="A210">
        <v>208</v>
      </c>
      <c r="B210" t="s">
        <v>64</v>
      </c>
      <c r="C210" t="s">
        <v>155</v>
      </c>
      <c r="D210" t="s">
        <v>242</v>
      </c>
      <c r="E210">
        <v>39001699217</v>
      </c>
    </row>
    <row r="211" spans="1:5" x14ac:dyDescent="0.2">
      <c r="A211">
        <v>209</v>
      </c>
      <c r="B211" t="s">
        <v>56</v>
      </c>
      <c r="C211" t="s">
        <v>157</v>
      </c>
      <c r="D211" t="s">
        <v>315</v>
      </c>
      <c r="E211">
        <v>39002289040</v>
      </c>
    </row>
    <row r="212" spans="1:5" x14ac:dyDescent="0.2">
      <c r="A212">
        <v>210</v>
      </c>
      <c r="B212" t="s">
        <v>70</v>
      </c>
      <c r="C212" t="s">
        <v>159</v>
      </c>
      <c r="D212" t="s">
        <v>280</v>
      </c>
      <c r="E212">
        <v>39001520363</v>
      </c>
    </row>
    <row r="213" spans="1:5" x14ac:dyDescent="0.2">
      <c r="A213">
        <v>211</v>
      </c>
      <c r="B213" t="s">
        <v>60</v>
      </c>
      <c r="C213" t="s">
        <v>159</v>
      </c>
      <c r="D213" t="s">
        <v>316</v>
      </c>
      <c r="E213">
        <v>39000201500</v>
      </c>
    </row>
    <row r="214" spans="1:5" x14ac:dyDescent="0.2">
      <c r="A214">
        <v>212</v>
      </c>
      <c r="B214" t="s">
        <v>68</v>
      </c>
      <c r="C214" t="s">
        <v>155</v>
      </c>
      <c r="D214" t="s">
        <v>235</v>
      </c>
      <c r="E214">
        <v>39000666133</v>
      </c>
    </row>
    <row r="215" spans="1:5" x14ac:dyDescent="0.2">
      <c r="A215">
        <v>213</v>
      </c>
      <c r="B215" t="s">
        <v>66</v>
      </c>
      <c r="C215" t="s">
        <v>159</v>
      </c>
      <c r="D215" t="s">
        <v>317</v>
      </c>
      <c r="E215">
        <v>39000346983</v>
      </c>
    </row>
    <row r="216" spans="1:5" x14ac:dyDescent="0.2">
      <c r="A216">
        <v>214</v>
      </c>
      <c r="B216" t="s">
        <v>70</v>
      </c>
      <c r="C216" t="s">
        <v>159</v>
      </c>
      <c r="D216" t="s">
        <v>228</v>
      </c>
      <c r="E216">
        <v>39001585558</v>
      </c>
    </row>
    <row r="217" spans="1:5" x14ac:dyDescent="0.2">
      <c r="A217">
        <v>215</v>
      </c>
      <c r="B217" t="s">
        <v>68</v>
      </c>
      <c r="C217" t="s">
        <v>157</v>
      </c>
      <c r="D217" t="s">
        <v>250</v>
      </c>
      <c r="E217">
        <v>39000667121</v>
      </c>
    </row>
    <row r="218" spans="1:5" x14ac:dyDescent="0.2">
      <c r="A218">
        <v>216</v>
      </c>
      <c r="B218" t="s">
        <v>70</v>
      </c>
      <c r="C218" t="s">
        <v>159</v>
      </c>
      <c r="D218" t="s">
        <v>318</v>
      </c>
      <c r="E218">
        <v>39001551576</v>
      </c>
    </row>
    <row r="219" spans="1:5" x14ac:dyDescent="0.2">
      <c r="A219">
        <v>217</v>
      </c>
      <c r="B219" t="s">
        <v>72</v>
      </c>
      <c r="C219" t="s">
        <v>159</v>
      </c>
      <c r="D219" t="s">
        <v>251</v>
      </c>
      <c r="E219">
        <v>39001488318</v>
      </c>
    </row>
    <row r="220" spans="1:5" x14ac:dyDescent="0.2">
      <c r="A220">
        <v>218</v>
      </c>
      <c r="B220" t="s">
        <v>58</v>
      </c>
      <c r="C220" t="s">
        <v>159</v>
      </c>
      <c r="D220" t="s">
        <v>319</v>
      </c>
      <c r="E220">
        <v>39000967447</v>
      </c>
    </row>
    <row r="221" spans="1:5" x14ac:dyDescent="0.2">
      <c r="A221">
        <v>219</v>
      </c>
      <c r="B221" t="s">
        <v>68</v>
      </c>
      <c r="C221" t="s">
        <v>159</v>
      </c>
      <c r="D221" t="s">
        <v>320</v>
      </c>
      <c r="E221">
        <v>39000658619</v>
      </c>
    </row>
    <row r="222" spans="1:5" x14ac:dyDescent="0.2">
      <c r="A222">
        <v>220</v>
      </c>
      <c r="B222" t="s">
        <v>69</v>
      </c>
      <c r="C222" t="s">
        <v>159</v>
      </c>
      <c r="D222" t="s">
        <v>307</v>
      </c>
      <c r="E222">
        <v>39000198341</v>
      </c>
    </row>
    <row r="223" spans="1:5" x14ac:dyDescent="0.2">
      <c r="A223">
        <v>221</v>
      </c>
      <c r="B223" t="s">
        <v>66</v>
      </c>
      <c r="C223" t="s">
        <v>159</v>
      </c>
      <c r="D223" t="s">
        <v>317</v>
      </c>
      <c r="E223">
        <v>39001971463</v>
      </c>
    </row>
    <row r="224" spans="1:5" x14ac:dyDescent="0.2">
      <c r="A224">
        <v>222</v>
      </c>
      <c r="B224" t="s">
        <v>54</v>
      </c>
      <c r="C224" t="s">
        <v>157</v>
      </c>
      <c r="D224" t="s">
        <v>321</v>
      </c>
      <c r="E224">
        <v>39000588588</v>
      </c>
    </row>
    <row r="225" spans="1:5" x14ac:dyDescent="0.2">
      <c r="A225">
        <v>223</v>
      </c>
      <c r="B225" t="s">
        <v>69</v>
      </c>
      <c r="C225" t="s">
        <v>159</v>
      </c>
      <c r="D225" t="s">
        <v>322</v>
      </c>
      <c r="E225">
        <v>39000220675</v>
      </c>
    </row>
    <row r="226" spans="1:5" x14ac:dyDescent="0.2">
      <c r="A226">
        <v>224</v>
      </c>
      <c r="B226" t="s">
        <v>58</v>
      </c>
      <c r="C226" t="s">
        <v>159</v>
      </c>
      <c r="D226" t="s">
        <v>260</v>
      </c>
      <c r="E226">
        <v>39000959231</v>
      </c>
    </row>
    <row r="227" spans="1:5" x14ac:dyDescent="0.2">
      <c r="A227">
        <v>225</v>
      </c>
      <c r="B227" t="s">
        <v>66</v>
      </c>
      <c r="C227" t="s">
        <v>155</v>
      </c>
      <c r="D227" t="s">
        <v>175</v>
      </c>
      <c r="E227">
        <v>39001670630</v>
      </c>
    </row>
    <row r="228" spans="1:5" x14ac:dyDescent="0.2">
      <c r="A228">
        <v>226</v>
      </c>
      <c r="B228" t="s">
        <v>72</v>
      </c>
      <c r="C228" t="s">
        <v>159</v>
      </c>
      <c r="D228" t="s">
        <v>251</v>
      </c>
      <c r="E228">
        <v>39001483911</v>
      </c>
    </row>
    <row r="229" spans="1:5" x14ac:dyDescent="0.2">
      <c r="A229">
        <v>227</v>
      </c>
      <c r="B229" t="s">
        <v>56</v>
      </c>
      <c r="C229" t="s">
        <v>159</v>
      </c>
      <c r="D229" t="s">
        <v>247</v>
      </c>
      <c r="E229">
        <v>39002276547</v>
      </c>
    </row>
    <row r="230" spans="1:5" x14ac:dyDescent="0.2">
      <c r="A230">
        <v>228</v>
      </c>
      <c r="B230" t="s">
        <v>64</v>
      </c>
      <c r="C230" t="s">
        <v>159</v>
      </c>
      <c r="D230" t="s">
        <v>257</v>
      </c>
      <c r="E230">
        <v>39001687504</v>
      </c>
    </row>
    <row r="231" spans="1:5" x14ac:dyDescent="0.2">
      <c r="A231">
        <v>229</v>
      </c>
      <c r="B231" t="s">
        <v>66</v>
      </c>
      <c r="C231" t="s">
        <v>159</v>
      </c>
      <c r="D231" t="s">
        <v>181</v>
      </c>
      <c r="E231">
        <v>39002374879</v>
      </c>
    </row>
    <row r="232" spans="1:5" x14ac:dyDescent="0.2">
      <c r="A232">
        <v>230</v>
      </c>
      <c r="B232" t="s">
        <v>56</v>
      </c>
      <c r="C232" t="s">
        <v>159</v>
      </c>
      <c r="D232" t="s">
        <v>247</v>
      </c>
      <c r="E232">
        <v>39002261974</v>
      </c>
    </row>
    <row r="233" spans="1:5" x14ac:dyDescent="0.2">
      <c r="A233">
        <v>231</v>
      </c>
      <c r="B233" t="s">
        <v>60</v>
      </c>
      <c r="C233" t="s">
        <v>159</v>
      </c>
      <c r="D233" t="s">
        <v>209</v>
      </c>
      <c r="E233">
        <v>39000198770</v>
      </c>
    </row>
    <row r="234" spans="1:5" x14ac:dyDescent="0.2">
      <c r="A234">
        <v>232</v>
      </c>
      <c r="B234" t="s">
        <v>64</v>
      </c>
      <c r="C234" t="s">
        <v>155</v>
      </c>
      <c r="D234" t="s">
        <v>201</v>
      </c>
      <c r="E234">
        <v>39002657603</v>
      </c>
    </row>
    <row r="235" spans="1:5" x14ac:dyDescent="0.2">
      <c r="A235">
        <v>233</v>
      </c>
      <c r="B235" t="s">
        <v>69</v>
      </c>
      <c r="C235" t="s">
        <v>159</v>
      </c>
      <c r="D235" t="s">
        <v>302</v>
      </c>
      <c r="E235">
        <v>39002650258</v>
      </c>
    </row>
    <row r="236" spans="1:5" x14ac:dyDescent="0.2">
      <c r="A236">
        <v>234</v>
      </c>
      <c r="B236" t="s">
        <v>60</v>
      </c>
      <c r="C236" t="s">
        <v>159</v>
      </c>
      <c r="D236" t="s">
        <v>239</v>
      </c>
      <c r="E236">
        <v>39000237614</v>
      </c>
    </row>
    <row r="237" spans="1:5" x14ac:dyDescent="0.2">
      <c r="A237">
        <v>235</v>
      </c>
      <c r="B237" t="s">
        <v>56</v>
      </c>
      <c r="C237" t="s">
        <v>159</v>
      </c>
      <c r="D237" t="s">
        <v>300</v>
      </c>
      <c r="E237">
        <v>39002246140</v>
      </c>
    </row>
    <row r="238" spans="1:5" x14ac:dyDescent="0.2">
      <c r="A238">
        <v>236</v>
      </c>
      <c r="B238" t="s">
        <v>60</v>
      </c>
      <c r="C238" t="s">
        <v>159</v>
      </c>
      <c r="D238" t="s">
        <v>323</v>
      </c>
      <c r="E238">
        <v>39000207207</v>
      </c>
    </row>
    <row r="239" spans="1:5" x14ac:dyDescent="0.2">
      <c r="A239">
        <v>237</v>
      </c>
      <c r="B239" t="s">
        <v>64</v>
      </c>
      <c r="C239" t="s">
        <v>159</v>
      </c>
      <c r="D239" t="s">
        <v>324</v>
      </c>
      <c r="E239">
        <v>39001703182</v>
      </c>
    </row>
    <row r="240" spans="1:5" x14ac:dyDescent="0.2">
      <c r="A240">
        <v>238</v>
      </c>
      <c r="B240" t="s">
        <v>70</v>
      </c>
      <c r="C240" t="s">
        <v>159</v>
      </c>
      <c r="D240" t="s">
        <v>196</v>
      </c>
      <c r="E240">
        <v>39001648660</v>
      </c>
    </row>
    <row r="241" spans="1:5" x14ac:dyDescent="0.2">
      <c r="A241">
        <v>239</v>
      </c>
      <c r="B241" t="s">
        <v>69</v>
      </c>
      <c r="C241" t="s">
        <v>159</v>
      </c>
      <c r="D241" t="s">
        <v>325</v>
      </c>
      <c r="E241">
        <v>39000208429</v>
      </c>
    </row>
    <row r="242" spans="1:5" x14ac:dyDescent="0.2">
      <c r="A242">
        <v>240</v>
      </c>
      <c r="B242" t="s">
        <v>76</v>
      </c>
      <c r="C242" t="s">
        <v>159</v>
      </c>
      <c r="D242" t="s">
        <v>200</v>
      </c>
      <c r="E242">
        <v>39000728026</v>
      </c>
    </row>
    <row r="243" spans="1:5" x14ac:dyDescent="0.2">
      <c r="A243">
        <v>241</v>
      </c>
      <c r="B243" t="s">
        <v>76</v>
      </c>
      <c r="C243" t="s">
        <v>157</v>
      </c>
      <c r="D243" t="s">
        <v>326</v>
      </c>
      <c r="E243">
        <v>39002797418</v>
      </c>
    </row>
    <row r="244" spans="1:5" x14ac:dyDescent="0.2">
      <c r="A244">
        <v>242</v>
      </c>
      <c r="B244" t="s">
        <v>66</v>
      </c>
      <c r="C244" t="s">
        <v>159</v>
      </c>
      <c r="D244" t="s">
        <v>327</v>
      </c>
      <c r="E244">
        <v>39000337116</v>
      </c>
    </row>
    <row r="245" spans="1:5" x14ac:dyDescent="0.2">
      <c r="A245">
        <v>243</v>
      </c>
      <c r="B245" t="s">
        <v>66</v>
      </c>
      <c r="C245" t="s">
        <v>159</v>
      </c>
      <c r="D245" t="s">
        <v>221</v>
      </c>
      <c r="E245">
        <v>39002373969</v>
      </c>
    </row>
    <row r="246" spans="1:5" x14ac:dyDescent="0.2">
      <c r="A246">
        <v>244</v>
      </c>
      <c r="B246" t="s">
        <v>66</v>
      </c>
      <c r="C246" t="s">
        <v>159</v>
      </c>
      <c r="D246" t="s">
        <v>328</v>
      </c>
      <c r="E246">
        <v>39000330174</v>
      </c>
    </row>
    <row r="247" spans="1:5" x14ac:dyDescent="0.2">
      <c r="A247">
        <v>245</v>
      </c>
      <c r="B247" t="s">
        <v>66</v>
      </c>
      <c r="C247" t="s">
        <v>159</v>
      </c>
      <c r="D247" t="s">
        <v>317</v>
      </c>
      <c r="E247">
        <v>39000338273</v>
      </c>
    </row>
    <row r="248" spans="1:5" x14ac:dyDescent="0.2">
      <c r="A248">
        <v>246</v>
      </c>
      <c r="B248" t="s">
        <v>74</v>
      </c>
      <c r="C248" t="s">
        <v>159</v>
      </c>
      <c r="D248" t="s">
        <v>233</v>
      </c>
      <c r="E248">
        <v>39000282113</v>
      </c>
    </row>
    <row r="249" spans="1:5" x14ac:dyDescent="0.2">
      <c r="A249">
        <v>247</v>
      </c>
      <c r="B249" t="s">
        <v>56</v>
      </c>
      <c r="C249" t="s">
        <v>187</v>
      </c>
      <c r="D249" t="s">
        <v>329</v>
      </c>
      <c r="E249">
        <v>39002280551</v>
      </c>
    </row>
    <row r="250" spans="1:5" x14ac:dyDescent="0.2">
      <c r="A250">
        <v>248</v>
      </c>
      <c r="B250" t="s">
        <v>76</v>
      </c>
      <c r="C250" t="s">
        <v>157</v>
      </c>
      <c r="D250" t="s">
        <v>326</v>
      </c>
      <c r="E250">
        <v>39002797470</v>
      </c>
    </row>
    <row r="251" spans="1:5" x14ac:dyDescent="0.2">
      <c r="A251">
        <v>249</v>
      </c>
      <c r="B251" t="s">
        <v>69</v>
      </c>
      <c r="C251" t="s">
        <v>155</v>
      </c>
      <c r="D251" t="s">
        <v>216</v>
      </c>
      <c r="E251">
        <v>39000201669</v>
      </c>
    </row>
    <row r="252" spans="1:5" x14ac:dyDescent="0.2">
      <c r="A252">
        <v>250</v>
      </c>
      <c r="B252" t="s">
        <v>62</v>
      </c>
      <c r="C252" t="s">
        <v>159</v>
      </c>
      <c r="D252" t="s">
        <v>303</v>
      </c>
      <c r="E252">
        <v>39002660944</v>
      </c>
    </row>
    <row r="253" spans="1:5" x14ac:dyDescent="0.2">
      <c r="A253">
        <v>251</v>
      </c>
      <c r="B253" t="s">
        <v>69</v>
      </c>
      <c r="C253" t="s">
        <v>157</v>
      </c>
      <c r="D253" t="s">
        <v>309</v>
      </c>
      <c r="E253">
        <v>39000212784</v>
      </c>
    </row>
    <row r="254" spans="1:5" x14ac:dyDescent="0.2">
      <c r="A254">
        <v>252</v>
      </c>
      <c r="B254" t="s">
        <v>74</v>
      </c>
      <c r="C254" t="s">
        <v>159</v>
      </c>
      <c r="D254" t="s">
        <v>278</v>
      </c>
      <c r="E254">
        <v>39000279201</v>
      </c>
    </row>
    <row r="255" spans="1:5" x14ac:dyDescent="0.2">
      <c r="A255">
        <v>253</v>
      </c>
      <c r="B255" t="s">
        <v>60</v>
      </c>
      <c r="C255" t="s">
        <v>159</v>
      </c>
      <c r="D255" t="s">
        <v>264</v>
      </c>
      <c r="E255">
        <v>39000213551</v>
      </c>
    </row>
    <row r="256" spans="1:5" x14ac:dyDescent="0.2">
      <c r="A256">
        <v>254</v>
      </c>
      <c r="B256" t="s">
        <v>64</v>
      </c>
      <c r="C256" t="s">
        <v>155</v>
      </c>
      <c r="D256" t="s">
        <v>330</v>
      </c>
      <c r="E256">
        <v>39001698645</v>
      </c>
    </row>
    <row r="257" spans="1:5" x14ac:dyDescent="0.2">
      <c r="A257">
        <v>255</v>
      </c>
      <c r="B257" t="s">
        <v>60</v>
      </c>
      <c r="C257" t="s">
        <v>159</v>
      </c>
      <c r="D257" t="s">
        <v>262</v>
      </c>
      <c r="E257">
        <v>39000201344</v>
      </c>
    </row>
    <row r="258" spans="1:5" x14ac:dyDescent="0.2">
      <c r="A258">
        <v>256</v>
      </c>
      <c r="B258" t="s">
        <v>69</v>
      </c>
      <c r="C258" t="s">
        <v>159</v>
      </c>
      <c r="D258" t="s">
        <v>302</v>
      </c>
      <c r="E258">
        <v>39000203398</v>
      </c>
    </row>
    <row r="259" spans="1:5" x14ac:dyDescent="0.2">
      <c r="A259">
        <v>257</v>
      </c>
      <c r="B259" t="s">
        <v>60</v>
      </c>
      <c r="C259" t="s">
        <v>159</v>
      </c>
      <c r="D259" t="s">
        <v>227</v>
      </c>
      <c r="E259">
        <v>39000200135</v>
      </c>
    </row>
    <row r="260" spans="1:5" x14ac:dyDescent="0.2">
      <c r="A260">
        <v>258</v>
      </c>
      <c r="B260" t="s">
        <v>58</v>
      </c>
      <c r="C260" t="s">
        <v>159</v>
      </c>
      <c r="D260" t="s">
        <v>304</v>
      </c>
      <c r="E260">
        <v>39000953693</v>
      </c>
    </row>
    <row r="261" spans="1:5" x14ac:dyDescent="0.2">
      <c r="A261">
        <v>259</v>
      </c>
      <c r="B261" t="s">
        <v>70</v>
      </c>
      <c r="C261" t="s">
        <v>159</v>
      </c>
      <c r="D261" t="s">
        <v>192</v>
      </c>
      <c r="E261">
        <v>39001626950</v>
      </c>
    </row>
    <row r="262" spans="1:5" x14ac:dyDescent="0.2">
      <c r="A262">
        <v>260</v>
      </c>
      <c r="B262" t="s">
        <v>58</v>
      </c>
      <c r="C262" t="s">
        <v>157</v>
      </c>
      <c r="D262" t="s">
        <v>331</v>
      </c>
      <c r="E262">
        <v>39000957697</v>
      </c>
    </row>
    <row r="263" spans="1:5" x14ac:dyDescent="0.2">
      <c r="A263">
        <v>261</v>
      </c>
      <c r="B263" t="s">
        <v>69</v>
      </c>
      <c r="C263" t="s">
        <v>159</v>
      </c>
      <c r="D263" t="s">
        <v>261</v>
      </c>
      <c r="E263">
        <v>39002903836</v>
      </c>
    </row>
    <row r="264" spans="1:5" x14ac:dyDescent="0.2">
      <c r="A264">
        <v>262</v>
      </c>
      <c r="B264" t="s">
        <v>70</v>
      </c>
      <c r="C264" t="s">
        <v>159</v>
      </c>
      <c r="D264" t="s">
        <v>180</v>
      </c>
      <c r="E264">
        <v>39002696720</v>
      </c>
    </row>
    <row r="265" spans="1:5" x14ac:dyDescent="0.2">
      <c r="A265">
        <v>263</v>
      </c>
      <c r="B265" t="s">
        <v>60</v>
      </c>
      <c r="C265" t="s">
        <v>159</v>
      </c>
      <c r="D265" t="s">
        <v>198</v>
      </c>
      <c r="E265">
        <v>39000196885</v>
      </c>
    </row>
    <row r="266" spans="1:5" x14ac:dyDescent="0.2">
      <c r="A266">
        <v>264</v>
      </c>
      <c r="B266" t="s">
        <v>75</v>
      </c>
      <c r="C266" t="s">
        <v>159</v>
      </c>
      <c r="D266" t="s">
        <v>219</v>
      </c>
      <c r="E266">
        <v>39001482117</v>
      </c>
    </row>
    <row r="267" spans="1:5" x14ac:dyDescent="0.2">
      <c r="A267">
        <v>265</v>
      </c>
      <c r="B267" t="s">
        <v>54</v>
      </c>
      <c r="C267" t="s">
        <v>159</v>
      </c>
      <c r="D267" t="s">
        <v>332</v>
      </c>
      <c r="E267">
        <v>39002366117</v>
      </c>
    </row>
    <row r="268" spans="1:5" x14ac:dyDescent="0.2">
      <c r="A268">
        <v>266</v>
      </c>
      <c r="B268" t="s">
        <v>58</v>
      </c>
      <c r="C268" t="s">
        <v>155</v>
      </c>
      <c r="D268" t="s">
        <v>255</v>
      </c>
      <c r="E268">
        <v>39000983359</v>
      </c>
    </row>
    <row r="269" spans="1:5" x14ac:dyDescent="0.2">
      <c r="A269">
        <v>267</v>
      </c>
      <c r="B269" t="s">
        <v>69</v>
      </c>
      <c r="C269" t="s">
        <v>159</v>
      </c>
      <c r="D269" t="s">
        <v>190</v>
      </c>
      <c r="E269">
        <v>39000214669</v>
      </c>
    </row>
    <row r="270" spans="1:5" x14ac:dyDescent="0.2">
      <c r="A270">
        <v>268</v>
      </c>
      <c r="B270" t="s">
        <v>68</v>
      </c>
      <c r="C270" t="s">
        <v>159</v>
      </c>
      <c r="D270" t="s">
        <v>333</v>
      </c>
      <c r="E270">
        <v>39000665262</v>
      </c>
    </row>
    <row r="271" spans="1:5" x14ac:dyDescent="0.2">
      <c r="A271">
        <v>269</v>
      </c>
      <c r="B271" t="s">
        <v>74</v>
      </c>
      <c r="C271" t="s">
        <v>159</v>
      </c>
      <c r="D271" t="s">
        <v>306</v>
      </c>
      <c r="E271">
        <v>39000278083</v>
      </c>
    </row>
    <row r="272" spans="1:5" x14ac:dyDescent="0.2">
      <c r="A272">
        <v>270</v>
      </c>
      <c r="B272" t="s">
        <v>75</v>
      </c>
      <c r="C272" t="s">
        <v>159</v>
      </c>
      <c r="D272" t="s">
        <v>184</v>
      </c>
      <c r="E272">
        <v>39001418053</v>
      </c>
    </row>
    <row r="273" spans="1:5" x14ac:dyDescent="0.2">
      <c r="A273">
        <v>271</v>
      </c>
      <c r="B273" t="s">
        <v>74</v>
      </c>
      <c r="C273" t="s">
        <v>159</v>
      </c>
      <c r="D273" t="s">
        <v>278</v>
      </c>
      <c r="E273">
        <v>39000285155</v>
      </c>
    </row>
    <row r="274" spans="1:5" x14ac:dyDescent="0.2">
      <c r="A274">
        <v>272</v>
      </c>
      <c r="B274" t="s">
        <v>66</v>
      </c>
      <c r="C274" t="s">
        <v>159</v>
      </c>
      <c r="D274" t="s">
        <v>240</v>
      </c>
      <c r="E274">
        <v>39000342745</v>
      </c>
    </row>
    <row r="275" spans="1:5" x14ac:dyDescent="0.2">
      <c r="A275">
        <v>273</v>
      </c>
      <c r="B275" t="s">
        <v>62</v>
      </c>
      <c r="C275" t="s">
        <v>159</v>
      </c>
      <c r="D275" t="s">
        <v>298</v>
      </c>
      <c r="E275">
        <v>39001770353</v>
      </c>
    </row>
    <row r="276" spans="1:5" x14ac:dyDescent="0.2">
      <c r="A276">
        <v>274</v>
      </c>
      <c r="B276" t="s">
        <v>66</v>
      </c>
      <c r="C276" t="s">
        <v>159</v>
      </c>
      <c r="D276" t="s">
        <v>241</v>
      </c>
      <c r="E276">
        <v>39000346658</v>
      </c>
    </row>
    <row r="277" spans="1:5" x14ac:dyDescent="0.2">
      <c r="A277">
        <v>275</v>
      </c>
      <c r="B277" t="s">
        <v>76</v>
      </c>
      <c r="C277" t="s">
        <v>157</v>
      </c>
      <c r="D277" t="s">
        <v>326</v>
      </c>
      <c r="E277">
        <v>39002797470</v>
      </c>
    </row>
    <row r="278" spans="1:5" x14ac:dyDescent="0.2">
      <c r="A278">
        <v>276</v>
      </c>
      <c r="B278" t="s">
        <v>66</v>
      </c>
      <c r="C278" t="s">
        <v>159</v>
      </c>
      <c r="D278" t="s">
        <v>221</v>
      </c>
      <c r="E278">
        <v>39002147418</v>
      </c>
    </row>
    <row r="279" spans="1:5" x14ac:dyDescent="0.2">
      <c r="A279">
        <v>277</v>
      </c>
      <c r="B279" t="s">
        <v>58</v>
      </c>
      <c r="C279" t="s">
        <v>159</v>
      </c>
      <c r="D279" t="s">
        <v>334</v>
      </c>
      <c r="E279">
        <v>39000950911</v>
      </c>
    </row>
    <row r="280" spans="1:5" x14ac:dyDescent="0.2">
      <c r="A280">
        <v>278</v>
      </c>
      <c r="B280" t="s">
        <v>68</v>
      </c>
      <c r="C280" t="s">
        <v>159</v>
      </c>
      <c r="D280" t="s">
        <v>223</v>
      </c>
      <c r="E280">
        <v>39000665080</v>
      </c>
    </row>
    <row r="281" spans="1:5" x14ac:dyDescent="0.2">
      <c r="A281">
        <v>279</v>
      </c>
      <c r="B281" t="s">
        <v>66</v>
      </c>
      <c r="C281" t="s">
        <v>159</v>
      </c>
      <c r="D281" t="s">
        <v>335</v>
      </c>
      <c r="E281">
        <v>39000332748</v>
      </c>
    </row>
    <row r="282" spans="1:5" x14ac:dyDescent="0.2">
      <c r="A282">
        <v>280</v>
      </c>
      <c r="B282" t="s">
        <v>76</v>
      </c>
      <c r="C282" t="s">
        <v>155</v>
      </c>
      <c r="D282" t="s">
        <v>199</v>
      </c>
      <c r="E282">
        <v>39002793466</v>
      </c>
    </row>
    <row r="283" spans="1:5" x14ac:dyDescent="0.2">
      <c r="A283">
        <v>281</v>
      </c>
      <c r="B283" t="s">
        <v>58</v>
      </c>
      <c r="C283" t="s">
        <v>155</v>
      </c>
      <c r="D283" t="s">
        <v>255</v>
      </c>
      <c r="E283">
        <v>39002843919</v>
      </c>
    </row>
    <row r="284" spans="1:5" x14ac:dyDescent="0.2">
      <c r="A284">
        <v>282</v>
      </c>
      <c r="B284" t="s">
        <v>58</v>
      </c>
      <c r="C284" t="s">
        <v>159</v>
      </c>
      <c r="D284" t="s">
        <v>336</v>
      </c>
      <c r="E284">
        <v>39000950079</v>
      </c>
    </row>
    <row r="285" spans="1:5" x14ac:dyDescent="0.2">
      <c r="A285">
        <v>283</v>
      </c>
      <c r="B285" t="s">
        <v>54</v>
      </c>
      <c r="C285" t="s">
        <v>159</v>
      </c>
      <c r="D285" t="s">
        <v>189</v>
      </c>
      <c r="E285">
        <v>39000589537</v>
      </c>
    </row>
    <row r="286" spans="1:5" x14ac:dyDescent="0.2">
      <c r="A286">
        <v>284</v>
      </c>
      <c r="B286" t="s">
        <v>69</v>
      </c>
      <c r="C286" t="s">
        <v>159</v>
      </c>
      <c r="D286" t="s">
        <v>307</v>
      </c>
      <c r="E286">
        <v>39000220103</v>
      </c>
    </row>
    <row r="287" spans="1:5" x14ac:dyDescent="0.2">
      <c r="A287">
        <v>285</v>
      </c>
      <c r="B287" t="s">
        <v>58</v>
      </c>
      <c r="C287" t="s">
        <v>155</v>
      </c>
      <c r="D287" t="s">
        <v>337</v>
      </c>
      <c r="E287">
        <v>39000988364</v>
      </c>
    </row>
    <row r="288" spans="1:5" x14ac:dyDescent="0.2">
      <c r="A288">
        <v>286</v>
      </c>
      <c r="B288" t="s">
        <v>70</v>
      </c>
      <c r="C288" t="s">
        <v>159</v>
      </c>
      <c r="D288" t="s">
        <v>338</v>
      </c>
      <c r="E288">
        <v>39001451502</v>
      </c>
    </row>
    <row r="289" spans="1:5" x14ac:dyDescent="0.2">
      <c r="A289">
        <v>287</v>
      </c>
      <c r="B289" t="s">
        <v>60</v>
      </c>
      <c r="C289" t="s">
        <v>159</v>
      </c>
      <c r="D289" t="s">
        <v>339</v>
      </c>
      <c r="E289">
        <v>39000223847</v>
      </c>
    </row>
    <row r="290" spans="1:5" x14ac:dyDescent="0.2">
      <c r="A290">
        <v>288</v>
      </c>
      <c r="B290" t="s">
        <v>70</v>
      </c>
      <c r="C290" t="s">
        <v>159</v>
      </c>
      <c r="D290" t="s">
        <v>272</v>
      </c>
      <c r="E290">
        <v>39001475955</v>
      </c>
    </row>
    <row r="291" spans="1:5" x14ac:dyDescent="0.2">
      <c r="A291">
        <v>289</v>
      </c>
      <c r="B291" t="s">
        <v>60</v>
      </c>
      <c r="C291" t="s">
        <v>159</v>
      </c>
      <c r="D291" t="s">
        <v>193</v>
      </c>
      <c r="E291">
        <v>39002332954</v>
      </c>
    </row>
    <row r="292" spans="1:5" x14ac:dyDescent="0.2">
      <c r="A292">
        <v>290</v>
      </c>
      <c r="B292" t="s">
        <v>70</v>
      </c>
      <c r="C292" t="s">
        <v>159</v>
      </c>
      <c r="D292" t="s">
        <v>180</v>
      </c>
      <c r="E292">
        <v>39001417988</v>
      </c>
    </row>
    <row r="293" spans="1:5" x14ac:dyDescent="0.2">
      <c r="A293">
        <v>291</v>
      </c>
      <c r="B293" t="s">
        <v>66</v>
      </c>
      <c r="C293" t="s">
        <v>155</v>
      </c>
      <c r="D293" t="s">
        <v>164</v>
      </c>
      <c r="E293">
        <v>39000333385</v>
      </c>
    </row>
    <row r="294" spans="1:5" x14ac:dyDescent="0.2">
      <c r="A294">
        <v>292</v>
      </c>
      <c r="B294" t="s">
        <v>72</v>
      </c>
      <c r="C294" t="s">
        <v>159</v>
      </c>
      <c r="D294" t="s">
        <v>251</v>
      </c>
      <c r="E294">
        <v>39002763319</v>
      </c>
    </row>
    <row r="295" spans="1:5" x14ac:dyDescent="0.2">
      <c r="A295">
        <v>293</v>
      </c>
      <c r="B295" t="s">
        <v>60</v>
      </c>
      <c r="C295" t="s">
        <v>159</v>
      </c>
      <c r="D295" t="s">
        <v>209</v>
      </c>
      <c r="E295">
        <v>39000234741</v>
      </c>
    </row>
    <row r="296" spans="1:5" x14ac:dyDescent="0.2">
      <c r="A296">
        <v>294</v>
      </c>
      <c r="B296" t="s">
        <v>68</v>
      </c>
      <c r="C296" t="s">
        <v>159</v>
      </c>
      <c r="D296" t="s">
        <v>340</v>
      </c>
      <c r="E296">
        <v>39002363140</v>
      </c>
    </row>
    <row r="297" spans="1:5" x14ac:dyDescent="0.2">
      <c r="A297">
        <v>295</v>
      </c>
      <c r="B297" t="s">
        <v>74</v>
      </c>
      <c r="C297" t="s">
        <v>159</v>
      </c>
      <c r="D297" t="s">
        <v>341</v>
      </c>
      <c r="E297">
        <v>39000279383</v>
      </c>
    </row>
    <row r="298" spans="1:5" x14ac:dyDescent="0.2">
      <c r="A298">
        <v>296</v>
      </c>
      <c r="B298" t="s">
        <v>69</v>
      </c>
      <c r="C298" t="s">
        <v>155</v>
      </c>
      <c r="D298" t="s">
        <v>342</v>
      </c>
      <c r="E298">
        <v>39000204399</v>
      </c>
    </row>
    <row r="299" spans="1:5" x14ac:dyDescent="0.2">
      <c r="A299">
        <v>297</v>
      </c>
      <c r="B299" t="s">
        <v>66</v>
      </c>
      <c r="C299" t="s">
        <v>159</v>
      </c>
      <c r="D299" t="s">
        <v>221</v>
      </c>
      <c r="E299">
        <v>39000344981</v>
      </c>
    </row>
    <row r="300" spans="1:5" x14ac:dyDescent="0.2">
      <c r="A300">
        <v>298</v>
      </c>
      <c r="B300" t="s">
        <v>74</v>
      </c>
      <c r="C300" t="s">
        <v>155</v>
      </c>
      <c r="D300" t="s">
        <v>343</v>
      </c>
      <c r="E300">
        <v>39000278993</v>
      </c>
    </row>
    <row r="301" spans="1:5" x14ac:dyDescent="0.2">
      <c r="A301">
        <v>299</v>
      </c>
      <c r="B301" t="s">
        <v>60</v>
      </c>
      <c r="C301" t="s">
        <v>157</v>
      </c>
      <c r="D301" t="s">
        <v>344</v>
      </c>
      <c r="E301">
        <v>39000220922</v>
      </c>
    </row>
    <row r="302" spans="1:5" x14ac:dyDescent="0.2">
      <c r="A302">
        <v>300</v>
      </c>
      <c r="B302" t="s">
        <v>60</v>
      </c>
      <c r="C302" t="s">
        <v>159</v>
      </c>
      <c r="D302" t="s">
        <v>262</v>
      </c>
      <c r="E302">
        <v>39000211900</v>
      </c>
    </row>
    <row r="303" spans="1:5" x14ac:dyDescent="0.2">
      <c r="A303">
        <v>301</v>
      </c>
      <c r="B303" t="s">
        <v>68</v>
      </c>
      <c r="C303" t="s">
        <v>159</v>
      </c>
      <c r="D303" t="s">
        <v>231</v>
      </c>
      <c r="E303">
        <v>39000660738</v>
      </c>
    </row>
    <row r="304" spans="1:5" x14ac:dyDescent="0.2">
      <c r="A304">
        <v>302</v>
      </c>
      <c r="B304" t="s">
        <v>70</v>
      </c>
      <c r="C304" t="s">
        <v>159</v>
      </c>
      <c r="D304" t="s">
        <v>196</v>
      </c>
      <c r="E304">
        <v>39001525121</v>
      </c>
    </row>
    <row r="305" spans="1:5" x14ac:dyDescent="0.2">
      <c r="A305">
        <v>303</v>
      </c>
      <c r="B305" t="s">
        <v>60</v>
      </c>
      <c r="C305" t="s">
        <v>159</v>
      </c>
      <c r="D305" t="s">
        <v>262</v>
      </c>
      <c r="E305">
        <v>39000203021</v>
      </c>
    </row>
    <row r="306" spans="1:5" x14ac:dyDescent="0.2">
      <c r="A306">
        <v>304</v>
      </c>
      <c r="B306" t="s">
        <v>72</v>
      </c>
      <c r="C306" t="s">
        <v>157</v>
      </c>
      <c r="D306" t="s">
        <v>345</v>
      </c>
      <c r="E306">
        <v>39001550913</v>
      </c>
    </row>
    <row r="307" spans="1:5" x14ac:dyDescent="0.2">
      <c r="A307">
        <v>305</v>
      </c>
      <c r="B307" t="s">
        <v>54</v>
      </c>
      <c r="C307" t="s">
        <v>159</v>
      </c>
      <c r="D307" t="s">
        <v>346</v>
      </c>
      <c r="E307">
        <v>39002684266</v>
      </c>
    </row>
    <row r="308" spans="1:5" x14ac:dyDescent="0.2">
      <c r="A308">
        <v>306</v>
      </c>
      <c r="B308" t="s">
        <v>60</v>
      </c>
      <c r="C308" t="s">
        <v>252</v>
      </c>
      <c r="D308" t="s">
        <v>253</v>
      </c>
      <c r="E308">
        <v>39000215774</v>
      </c>
    </row>
    <row r="309" spans="1:5" x14ac:dyDescent="0.2">
      <c r="A309">
        <v>307</v>
      </c>
      <c r="B309" t="s">
        <v>66</v>
      </c>
      <c r="C309" t="s">
        <v>159</v>
      </c>
      <c r="D309" t="s">
        <v>347</v>
      </c>
      <c r="E309">
        <v>39000332332</v>
      </c>
    </row>
    <row r="310" spans="1:5" x14ac:dyDescent="0.2">
      <c r="A310">
        <v>308</v>
      </c>
      <c r="B310" t="s">
        <v>72</v>
      </c>
      <c r="C310" t="s">
        <v>157</v>
      </c>
      <c r="D310" t="s">
        <v>345</v>
      </c>
      <c r="E310">
        <v>39001449695</v>
      </c>
    </row>
    <row r="311" spans="1:5" x14ac:dyDescent="0.2">
      <c r="A311">
        <v>309</v>
      </c>
      <c r="B311" t="s">
        <v>54</v>
      </c>
      <c r="C311" t="s">
        <v>159</v>
      </c>
      <c r="D311" t="s">
        <v>346</v>
      </c>
      <c r="E311">
        <v>39000587119</v>
      </c>
    </row>
    <row r="312" spans="1:5" x14ac:dyDescent="0.2">
      <c r="A312">
        <v>310</v>
      </c>
      <c r="B312" t="s">
        <v>74</v>
      </c>
      <c r="C312" t="s">
        <v>159</v>
      </c>
      <c r="D312" t="s">
        <v>348</v>
      </c>
      <c r="E312">
        <v>39002864017</v>
      </c>
    </row>
    <row r="313" spans="1:5" x14ac:dyDescent="0.2">
      <c r="A313">
        <v>311</v>
      </c>
      <c r="B313" t="s">
        <v>66</v>
      </c>
      <c r="C313" t="s">
        <v>159</v>
      </c>
      <c r="D313" t="s">
        <v>240</v>
      </c>
      <c r="E313">
        <v>39000341328</v>
      </c>
    </row>
    <row r="314" spans="1:5" x14ac:dyDescent="0.2">
      <c r="A314">
        <v>312</v>
      </c>
      <c r="B314" t="s">
        <v>74</v>
      </c>
      <c r="C314" t="s">
        <v>155</v>
      </c>
      <c r="D314" t="s">
        <v>349</v>
      </c>
      <c r="E314">
        <v>39000282152</v>
      </c>
    </row>
    <row r="315" spans="1:5" x14ac:dyDescent="0.2">
      <c r="A315">
        <v>313</v>
      </c>
      <c r="B315" t="s">
        <v>66</v>
      </c>
      <c r="C315" t="s">
        <v>155</v>
      </c>
      <c r="D315" t="s">
        <v>175</v>
      </c>
      <c r="E315">
        <v>39000334074</v>
      </c>
    </row>
    <row r="316" spans="1:5" x14ac:dyDescent="0.2">
      <c r="A316">
        <v>314</v>
      </c>
      <c r="B316" t="s">
        <v>66</v>
      </c>
      <c r="C316" t="s">
        <v>159</v>
      </c>
      <c r="D316" t="s">
        <v>241</v>
      </c>
      <c r="E316">
        <v>39000336453</v>
      </c>
    </row>
    <row r="317" spans="1:5" x14ac:dyDescent="0.2">
      <c r="A317">
        <v>315</v>
      </c>
      <c r="B317" t="s">
        <v>75</v>
      </c>
      <c r="C317" t="s">
        <v>159</v>
      </c>
      <c r="D317" t="s">
        <v>184</v>
      </c>
      <c r="E317">
        <v>39002414061</v>
      </c>
    </row>
    <row r="318" spans="1:5" x14ac:dyDescent="0.2">
      <c r="A318">
        <v>316</v>
      </c>
      <c r="B318" t="s">
        <v>62</v>
      </c>
      <c r="C318" t="s">
        <v>159</v>
      </c>
      <c r="D318" t="s">
        <v>350</v>
      </c>
      <c r="E318">
        <v>39000263055</v>
      </c>
    </row>
    <row r="319" spans="1:5" x14ac:dyDescent="0.2">
      <c r="A319">
        <v>317</v>
      </c>
      <c r="B319" t="s">
        <v>70</v>
      </c>
      <c r="C319" t="s">
        <v>159</v>
      </c>
      <c r="D319" t="s">
        <v>351</v>
      </c>
      <c r="E319">
        <v>39001434875</v>
      </c>
    </row>
    <row r="320" spans="1:5" x14ac:dyDescent="0.2">
      <c r="A320">
        <v>318</v>
      </c>
      <c r="B320" t="s">
        <v>76</v>
      </c>
      <c r="C320" t="s">
        <v>155</v>
      </c>
      <c r="D320" t="s">
        <v>177</v>
      </c>
      <c r="E320">
        <v>39002793427</v>
      </c>
    </row>
    <row r="321" spans="1:5" x14ac:dyDescent="0.2">
      <c r="A321">
        <v>319</v>
      </c>
      <c r="B321" t="s">
        <v>66</v>
      </c>
      <c r="C321" t="s">
        <v>159</v>
      </c>
      <c r="D321" t="s">
        <v>352</v>
      </c>
      <c r="E321">
        <v>39000314912</v>
      </c>
    </row>
    <row r="322" spans="1:5" x14ac:dyDescent="0.2">
      <c r="A322">
        <v>320</v>
      </c>
      <c r="B322" t="s">
        <v>76</v>
      </c>
      <c r="C322" t="s">
        <v>155</v>
      </c>
      <c r="D322" t="s">
        <v>199</v>
      </c>
      <c r="E322">
        <v>39002794610</v>
      </c>
    </row>
    <row r="323" spans="1:5" x14ac:dyDescent="0.2">
      <c r="A323">
        <v>321</v>
      </c>
      <c r="B323" t="s">
        <v>68</v>
      </c>
      <c r="C323" t="s">
        <v>157</v>
      </c>
      <c r="D323" t="s">
        <v>353</v>
      </c>
      <c r="E323">
        <v>39000665106</v>
      </c>
    </row>
    <row r="324" spans="1:5" x14ac:dyDescent="0.2">
      <c r="A324">
        <v>322</v>
      </c>
      <c r="B324" t="s">
        <v>76</v>
      </c>
      <c r="C324" t="s">
        <v>159</v>
      </c>
      <c r="D324" t="s">
        <v>167</v>
      </c>
      <c r="E324">
        <v>39000741715</v>
      </c>
    </row>
    <row r="325" spans="1:5" x14ac:dyDescent="0.2">
      <c r="A325">
        <v>323</v>
      </c>
      <c r="B325" t="s">
        <v>68</v>
      </c>
      <c r="C325" t="s">
        <v>157</v>
      </c>
      <c r="D325" t="s">
        <v>179</v>
      </c>
      <c r="E325">
        <v>39000665314</v>
      </c>
    </row>
    <row r="326" spans="1:5" x14ac:dyDescent="0.2">
      <c r="A326">
        <v>324</v>
      </c>
      <c r="B326" t="s">
        <v>68</v>
      </c>
      <c r="C326" t="s">
        <v>159</v>
      </c>
      <c r="D326" t="s">
        <v>354</v>
      </c>
      <c r="E326">
        <v>39000660777</v>
      </c>
    </row>
    <row r="327" spans="1:5" x14ac:dyDescent="0.2">
      <c r="A327">
        <v>325</v>
      </c>
      <c r="B327" t="s">
        <v>60</v>
      </c>
      <c r="C327" t="s">
        <v>159</v>
      </c>
      <c r="D327" t="s">
        <v>355</v>
      </c>
      <c r="E327">
        <v>39002397018</v>
      </c>
    </row>
    <row r="328" spans="1:5" x14ac:dyDescent="0.2">
      <c r="A328">
        <v>326</v>
      </c>
      <c r="B328" t="s">
        <v>68</v>
      </c>
      <c r="C328" t="s">
        <v>252</v>
      </c>
      <c r="D328" t="s">
        <v>356</v>
      </c>
      <c r="E328">
        <v>39002912221</v>
      </c>
    </row>
    <row r="329" spans="1:5" x14ac:dyDescent="0.2">
      <c r="A329">
        <v>327</v>
      </c>
      <c r="B329" t="s">
        <v>70</v>
      </c>
      <c r="C329" t="s">
        <v>157</v>
      </c>
      <c r="D329" t="s">
        <v>291</v>
      </c>
      <c r="E329">
        <v>39001429181</v>
      </c>
    </row>
    <row r="330" spans="1:5" x14ac:dyDescent="0.2">
      <c r="A330">
        <v>328</v>
      </c>
      <c r="B330" t="s">
        <v>58</v>
      </c>
      <c r="C330" t="s">
        <v>159</v>
      </c>
      <c r="D330" t="s">
        <v>357</v>
      </c>
      <c r="E330">
        <v>39000958295</v>
      </c>
    </row>
    <row r="331" spans="1:5" x14ac:dyDescent="0.2">
      <c r="A331">
        <v>329</v>
      </c>
      <c r="B331" t="s">
        <v>66</v>
      </c>
      <c r="C331" t="s">
        <v>159</v>
      </c>
      <c r="D331" t="s">
        <v>240</v>
      </c>
      <c r="E331">
        <v>39000340964</v>
      </c>
    </row>
    <row r="332" spans="1:5" x14ac:dyDescent="0.2">
      <c r="A332">
        <v>330</v>
      </c>
      <c r="B332" t="s">
        <v>74</v>
      </c>
      <c r="C332" t="s">
        <v>157</v>
      </c>
      <c r="D332" t="s">
        <v>358</v>
      </c>
      <c r="E332">
        <v>39000285168</v>
      </c>
    </row>
    <row r="333" spans="1:5" x14ac:dyDescent="0.2">
      <c r="A333">
        <v>331</v>
      </c>
      <c r="B333" t="s">
        <v>60</v>
      </c>
      <c r="C333" t="s">
        <v>159</v>
      </c>
      <c r="D333" t="s">
        <v>339</v>
      </c>
      <c r="E333">
        <v>39000227240</v>
      </c>
    </row>
    <row r="334" spans="1:5" x14ac:dyDescent="0.2">
      <c r="A334">
        <v>332</v>
      </c>
      <c r="B334" t="s">
        <v>69</v>
      </c>
      <c r="C334" t="s">
        <v>157</v>
      </c>
      <c r="D334" t="s">
        <v>359</v>
      </c>
      <c r="E334">
        <v>39000220064</v>
      </c>
    </row>
    <row r="335" spans="1:5" x14ac:dyDescent="0.2">
      <c r="A335">
        <v>333</v>
      </c>
      <c r="B335" t="s">
        <v>56</v>
      </c>
      <c r="C335" t="s">
        <v>159</v>
      </c>
      <c r="D335" t="s">
        <v>312</v>
      </c>
      <c r="E335">
        <v>39002209181</v>
      </c>
    </row>
    <row r="336" spans="1:5" x14ac:dyDescent="0.2">
      <c r="A336">
        <v>334</v>
      </c>
      <c r="B336" t="s">
        <v>66</v>
      </c>
      <c r="C336" t="s">
        <v>157</v>
      </c>
      <c r="D336" t="s">
        <v>360</v>
      </c>
      <c r="E336">
        <v>39000337311</v>
      </c>
    </row>
    <row r="337" spans="1:5" x14ac:dyDescent="0.2">
      <c r="A337">
        <v>335</v>
      </c>
      <c r="B337" t="s">
        <v>58</v>
      </c>
      <c r="C337" t="s">
        <v>159</v>
      </c>
      <c r="D337" t="s">
        <v>308</v>
      </c>
      <c r="E337">
        <v>39000966394</v>
      </c>
    </row>
    <row r="338" spans="1:5" x14ac:dyDescent="0.2">
      <c r="A338">
        <v>336</v>
      </c>
      <c r="B338" t="s">
        <v>62</v>
      </c>
      <c r="C338" t="s">
        <v>155</v>
      </c>
      <c r="D338" t="s">
        <v>361</v>
      </c>
      <c r="E338">
        <v>39000268320</v>
      </c>
    </row>
    <row r="339" spans="1:5" x14ac:dyDescent="0.2">
      <c r="A339">
        <v>337</v>
      </c>
      <c r="B339" t="s">
        <v>58</v>
      </c>
      <c r="C339" t="s">
        <v>159</v>
      </c>
      <c r="D339" t="s">
        <v>236</v>
      </c>
      <c r="E339">
        <v>39000970528</v>
      </c>
    </row>
    <row r="340" spans="1:5" x14ac:dyDescent="0.2">
      <c r="A340">
        <v>338</v>
      </c>
      <c r="B340" t="s">
        <v>68</v>
      </c>
      <c r="C340" t="s">
        <v>159</v>
      </c>
      <c r="D340" t="s">
        <v>354</v>
      </c>
      <c r="E340">
        <v>39000671307</v>
      </c>
    </row>
    <row r="341" spans="1:5" x14ac:dyDescent="0.2">
      <c r="A341">
        <v>339</v>
      </c>
      <c r="B341" t="s">
        <v>68</v>
      </c>
      <c r="C341" t="s">
        <v>159</v>
      </c>
      <c r="D341" t="s">
        <v>333</v>
      </c>
      <c r="E341">
        <v>39000659763</v>
      </c>
    </row>
    <row r="342" spans="1:5" x14ac:dyDescent="0.2">
      <c r="A342">
        <v>340</v>
      </c>
      <c r="B342" t="s">
        <v>68</v>
      </c>
      <c r="C342" t="s">
        <v>157</v>
      </c>
      <c r="D342" t="s">
        <v>211</v>
      </c>
      <c r="E342">
        <v>39000666991</v>
      </c>
    </row>
    <row r="343" spans="1:5" x14ac:dyDescent="0.2">
      <c r="A343">
        <v>341</v>
      </c>
      <c r="B343" t="s">
        <v>64</v>
      </c>
      <c r="C343" t="s">
        <v>155</v>
      </c>
      <c r="D343" t="s">
        <v>156</v>
      </c>
      <c r="E343">
        <v>39000086008</v>
      </c>
    </row>
    <row r="344" spans="1:5" x14ac:dyDescent="0.2">
      <c r="A344">
        <v>342</v>
      </c>
      <c r="B344" t="s">
        <v>60</v>
      </c>
      <c r="C344" t="s">
        <v>159</v>
      </c>
      <c r="D344" t="s">
        <v>362</v>
      </c>
      <c r="E344">
        <v>39000205114</v>
      </c>
    </row>
    <row r="345" spans="1:5" x14ac:dyDescent="0.2">
      <c r="A345">
        <v>343</v>
      </c>
      <c r="B345" t="s">
        <v>60</v>
      </c>
      <c r="C345" t="s">
        <v>159</v>
      </c>
      <c r="D345" t="s">
        <v>198</v>
      </c>
      <c r="E345">
        <v>39000235482</v>
      </c>
    </row>
    <row r="346" spans="1:5" x14ac:dyDescent="0.2">
      <c r="A346">
        <v>344</v>
      </c>
      <c r="B346" t="s">
        <v>58</v>
      </c>
      <c r="C346" t="s">
        <v>155</v>
      </c>
      <c r="D346" t="s">
        <v>255</v>
      </c>
      <c r="E346">
        <v>39001729091</v>
      </c>
    </row>
    <row r="347" spans="1:5" x14ac:dyDescent="0.2">
      <c r="A347">
        <v>345</v>
      </c>
      <c r="B347" t="s">
        <v>69</v>
      </c>
      <c r="C347" t="s">
        <v>155</v>
      </c>
      <c r="D347" t="s">
        <v>263</v>
      </c>
      <c r="E347">
        <v>39002712658</v>
      </c>
    </row>
    <row r="348" spans="1:5" x14ac:dyDescent="0.2">
      <c r="A348">
        <v>346</v>
      </c>
      <c r="B348" t="s">
        <v>58</v>
      </c>
      <c r="C348" t="s">
        <v>159</v>
      </c>
      <c r="D348" t="s">
        <v>268</v>
      </c>
      <c r="E348">
        <v>39000962910</v>
      </c>
    </row>
    <row r="349" spans="1:5" x14ac:dyDescent="0.2">
      <c r="A349">
        <v>347</v>
      </c>
      <c r="B349" t="s">
        <v>62</v>
      </c>
      <c r="C349" t="s">
        <v>159</v>
      </c>
      <c r="D349" t="s">
        <v>350</v>
      </c>
      <c r="E349">
        <v>39000263055</v>
      </c>
    </row>
    <row r="350" spans="1:5" x14ac:dyDescent="0.2">
      <c r="A350">
        <v>348</v>
      </c>
      <c r="B350" t="s">
        <v>74</v>
      </c>
      <c r="C350" t="s">
        <v>159</v>
      </c>
      <c r="D350" t="s">
        <v>278</v>
      </c>
      <c r="E350">
        <v>39000283296</v>
      </c>
    </row>
    <row r="351" spans="1:5" x14ac:dyDescent="0.2">
      <c r="A351">
        <v>349</v>
      </c>
      <c r="B351" t="s">
        <v>54</v>
      </c>
      <c r="C351" t="s">
        <v>159</v>
      </c>
      <c r="D351" t="s">
        <v>243</v>
      </c>
      <c r="E351">
        <v>39002396524</v>
      </c>
    </row>
    <row r="352" spans="1:5" x14ac:dyDescent="0.2">
      <c r="A352">
        <v>350</v>
      </c>
      <c r="B352" t="s">
        <v>60</v>
      </c>
      <c r="C352" t="s">
        <v>159</v>
      </c>
      <c r="D352" t="s">
        <v>227</v>
      </c>
      <c r="E352">
        <v>39000217594</v>
      </c>
    </row>
    <row r="353" spans="1:5" x14ac:dyDescent="0.2">
      <c r="A353">
        <v>351</v>
      </c>
      <c r="B353" t="s">
        <v>68</v>
      </c>
      <c r="C353" t="s">
        <v>159</v>
      </c>
      <c r="D353" t="s">
        <v>289</v>
      </c>
      <c r="E353">
        <v>39002894190</v>
      </c>
    </row>
    <row r="354" spans="1:5" x14ac:dyDescent="0.2">
      <c r="A354">
        <v>352</v>
      </c>
      <c r="B354" t="s">
        <v>68</v>
      </c>
      <c r="C354" t="s">
        <v>159</v>
      </c>
      <c r="D354" t="s">
        <v>197</v>
      </c>
      <c r="E354">
        <v>39000665964</v>
      </c>
    </row>
    <row r="355" spans="1:5" x14ac:dyDescent="0.2">
      <c r="A355">
        <v>353</v>
      </c>
      <c r="B355" t="s">
        <v>66</v>
      </c>
      <c r="C355" t="s">
        <v>157</v>
      </c>
      <c r="D355" t="s">
        <v>363</v>
      </c>
      <c r="E355">
        <v>39000343018</v>
      </c>
    </row>
    <row r="356" spans="1:5" x14ac:dyDescent="0.2">
      <c r="A356">
        <v>354</v>
      </c>
      <c r="B356" t="s">
        <v>60</v>
      </c>
      <c r="C356" t="s">
        <v>157</v>
      </c>
      <c r="D356" t="s">
        <v>344</v>
      </c>
      <c r="E356">
        <v>39000217165</v>
      </c>
    </row>
    <row r="357" spans="1:5" x14ac:dyDescent="0.2">
      <c r="A357">
        <v>355</v>
      </c>
      <c r="B357" t="s">
        <v>70</v>
      </c>
      <c r="C357" t="s">
        <v>159</v>
      </c>
      <c r="D357" t="s">
        <v>196</v>
      </c>
      <c r="E357">
        <v>39001756092</v>
      </c>
    </row>
    <row r="358" spans="1:5" x14ac:dyDescent="0.2">
      <c r="A358">
        <v>356</v>
      </c>
      <c r="B358" t="s">
        <v>68</v>
      </c>
      <c r="C358" t="s">
        <v>157</v>
      </c>
      <c r="D358" t="s">
        <v>364</v>
      </c>
      <c r="E358">
        <v>39000664534</v>
      </c>
    </row>
    <row r="359" spans="1:5" x14ac:dyDescent="0.2">
      <c r="A359">
        <v>357</v>
      </c>
      <c r="B359" t="s">
        <v>76</v>
      </c>
      <c r="C359" t="s">
        <v>155</v>
      </c>
      <c r="D359" t="s">
        <v>199</v>
      </c>
      <c r="E359">
        <v>39002796716</v>
      </c>
    </row>
    <row r="360" spans="1:5" x14ac:dyDescent="0.2">
      <c r="A360">
        <v>358</v>
      </c>
      <c r="B360" t="s">
        <v>75</v>
      </c>
      <c r="C360" t="s">
        <v>157</v>
      </c>
      <c r="D360" t="s">
        <v>311</v>
      </c>
      <c r="E360">
        <v>39001520025</v>
      </c>
    </row>
    <row r="361" spans="1:5" x14ac:dyDescent="0.2">
      <c r="A361">
        <v>359</v>
      </c>
      <c r="B361" t="s">
        <v>68</v>
      </c>
      <c r="C361" t="s">
        <v>187</v>
      </c>
      <c r="D361" t="s">
        <v>290</v>
      </c>
      <c r="E361">
        <v>39000667342</v>
      </c>
    </row>
    <row r="362" spans="1:5" x14ac:dyDescent="0.2">
      <c r="A362">
        <v>360</v>
      </c>
      <c r="B362" t="s">
        <v>62</v>
      </c>
      <c r="C362" t="s">
        <v>159</v>
      </c>
      <c r="D362" t="s">
        <v>286</v>
      </c>
      <c r="E362">
        <v>39000262340</v>
      </c>
    </row>
    <row r="363" spans="1:5" x14ac:dyDescent="0.2">
      <c r="A363">
        <v>361</v>
      </c>
      <c r="B363" t="s">
        <v>66</v>
      </c>
      <c r="C363" t="s">
        <v>159</v>
      </c>
      <c r="D363" t="s">
        <v>240</v>
      </c>
      <c r="E363">
        <v>39000329212</v>
      </c>
    </row>
    <row r="364" spans="1:5" x14ac:dyDescent="0.2">
      <c r="A364">
        <v>362</v>
      </c>
      <c r="B364" t="s">
        <v>70</v>
      </c>
      <c r="C364" t="s">
        <v>187</v>
      </c>
      <c r="D364" t="s">
        <v>249</v>
      </c>
      <c r="E364">
        <v>39001418768</v>
      </c>
    </row>
    <row r="365" spans="1:5" x14ac:dyDescent="0.2">
      <c r="A365">
        <v>363</v>
      </c>
      <c r="B365" t="s">
        <v>60</v>
      </c>
      <c r="C365" t="s">
        <v>212</v>
      </c>
      <c r="D365" t="s">
        <v>275</v>
      </c>
      <c r="E365">
        <v>39001774552</v>
      </c>
    </row>
    <row r="366" spans="1:5" x14ac:dyDescent="0.2">
      <c r="A366">
        <v>364</v>
      </c>
      <c r="B366" t="s">
        <v>58</v>
      </c>
      <c r="C366" t="s">
        <v>159</v>
      </c>
      <c r="D366" t="s">
        <v>260</v>
      </c>
      <c r="E366">
        <v>39002854176</v>
      </c>
    </row>
    <row r="367" spans="1:5" x14ac:dyDescent="0.2">
      <c r="A367">
        <v>365</v>
      </c>
      <c r="B367" t="s">
        <v>60</v>
      </c>
      <c r="C367" t="s">
        <v>159</v>
      </c>
      <c r="D367" t="s">
        <v>198</v>
      </c>
      <c r="E367">
        <v>39000222651</v>
      </c>
    </row>
    <row r="368" spans="1:5" x14ac:dyDescent="0.2">
      <c r="A368">
        <v>366</v>
      </c>
      <c r="B368" t="s">
        <v>69</v>
      </c>
      <c r="C368" t="s">
        <v>155</v>
      </c>
      <c r="D368" t="s">
        <v>173</v>
      </c>
      <c r="E368">
        <v>39000241085</v>
      </c>
    </row>
    <row r="369" spans="1:5" x14ac:dyDescent="0.2">
      <c r="A369">
        <v>367</v>
      </c>
      <c r="B369" t="s">
        <v>56</v>
      </c>
      <c r="C369" t="s">
        <v>159</v>
      </c>
      <c r="D369" t="s">
        <v>312</v>
      </c>
      <c r="E369">
        <v>39002193347</v>
      </c>
    </row>
    <row r="370" spans="1:5" x14ac:dyDescent="0.2">
      <c r="A370">
        <v>368</v>
      </c>
      <c r="B370" t="s">
        <v>66</v>
      </c>
      <c r="C370" t="s">
        <v>159</v>
      </c>
      <c r="D370" t="s">
        <v>301</v>
      </c>
      <c r="E370">
        <v>39000339560</v>
      </c>
    </row>
    <row r="371" spans="1:5" x14ac:dyDescent="0.2">
      <c r="A371">
        <v>369</v>
      </c>
      <c r="B371" t="s">
        <v>62</v>
      </c>
      <c r="C371" t="s">
        <v>159</v>
      </c>
      <c r="D371" t="s">
        <v>350</v>
      </c>
      <c r="E371">
        <v>39000261014</v>
      </c>
    </row>
    <row r="372" spans="1:5" x14ac:dyDescent="0.2">
      <c r="A372">
        <v>370</v>
      </c>
      <c r="B372" t="s">
        <v>64</v>
      </c>
      <c r="C372" t="s">
        <v>157</v>
      </c>
      <c r="D372" t="s">
        <v>267</v>
      </c>
      <c r="E372">
        <v>39001707030</v>
      </c>
    </row>
    <row r="373" spans="1:5" x14ac:dyDescent="0.2">
      <c r="A373">
        <v>371</v>
      </c>
      <c r="B373" t="s">
        <v>66</v>
      </c>
      <c r="C373" t="s">
        <v>159</v>
      </c>
      <c r="D373" t="s">
        <v>365</v>
      </c>
      <c r="E373">
        <v>39000341575</v>
      </c>
    </row>
    <row r="374" spans="1:5" x14ac:dyDescent="0.2">
      <c r="A374">
        <v>372</v>
      </c>
      <c r="B374" t="s">
        <v>66</v>
      </c>
      <c r="C374" t="s">
        <v>159</v>
      </c>
      <c r="D374" t="s">
        <v>221</v>
      </c>
      <c r="E374">
        <v>39000338130</v>
      </c>
    </row>
    <row r="375" spans="1:5" x14ac:dyDescent="0.2">
      <c r="A375">
        <v>373</v>
      </c>
      <c r="B375" t="s">
        <v>60</v>
      </c>
      <c r="C375" t="s">
        <v>159</v>
      </c>
      <c r="D375" t="s">
        <v>193</v>
      </c>
      <c r="E375">
        <v>39000223795</v>
      </c>
    </row>
    <row r="376" spans="1:5" x14ac:dyDescent="0.2">
      <c r="A376">
        <v>374</v>
      </c>
      <c r="B376" t="s">
        <v>54</v>
      </c>
      <c r="C376" t="s">
        <v>159</v>
      </c>
      <c r="D376" t="s">
        <v>346</v>
      </c>
      <c r="E376">
        <v>39000592072</v>
      </c>
    </row>
    <row r="377" spans="1:5" x14ac:dyDescent="0.2">
      <c r="A377">
        <v>375</v>
      </c>
      <c r="B377" t="s">
        <v>60</v>
      </c>
      <c r="C377" t="s">
        <v>157</v>
      </c>
      <c r="D377" t="s">
        <v>366</v>
      </c>
      <c r="E377">
        <v>39000220909</v>
      </c>
    </row>
    <row r="378" spans="1:5" x14ac:dyDescent="0.2">
      <c r="A378">
        <v>376</v>
      </c>
      <c r="B378" t="s">
        <v>60</v>
      </c>
      <c r="C378" t="s">
        <v>159</v>
      </c>
      <c r="D378" t="s">
        <v>367</v>
      </c>
      <c r="E378">
        <v>39000207363</v>
      </c>
    </row>
    <row r="379" spans="1:5" x14ac:dyDescent="0.2">
      <c r="A379">
        <v>377</v>
      </c>
      <c r="B379" t="s">
        <v>58</v>
      </c>
      <c r="C379" t="s">
        <v>159</v>
      </c>
      <c r="D379" t="s">
        <v>304</v>
      </c>
      <c r="E379">
        <v>39000962884</v>
      </c>
    </row>
    <row r="380" spans="1:5" x14ac:dyDescent="0.2">
      <c r="A380">
        <v>378</v>
      </c>
      <c r="B380" t="s">
        <v>64</v>
      </c>
      <c r="C380" t="s">
        <v>159</v>
      </c>
      <c r="D380" t="s">
        <v>368</v>
      </c>
      <c r="E380">
        <v>39001716897</v>
      </c>
    </row>
    <row r="381" spans="1:5" x14ac:dyDescent="0.2">
      <c r="A381">
        <v>379</v>
      </c>
      <c r="B381" t="s">
        <v>54</v>
      </c>
      <c r="C381" t="s">
        <v>159</v>
      </c>
      <c r="D381" t="s">
        <v>369</v>
      </c>
      <c r="E381">
        <v>39000589992</v>
      </c>
    </row>
    <row r="382" spans="1:5" x14ac:dyDescent="0.2">
      <c r="A382">
        <v>380</v>
      </c>
      <c r="B382" t="s">
        <v>69</v>
      </c>
      <c r="C382" t="s">
        <v>159</v>
      </c>
      <c r="D382" t="s">
        <v>370</v>
      </c>
      <c r="E382">
        <v>39000211809</v>
      </c>
    </row>
    <row r="383" spans="1:5" x14ac:dyDescent="0.2">
      <c r="A383">
        <v>381</v>
      </c>
      <c r="B383" t="s">
        <v>62</v>
      </c>
      <c r="C383" t="s">
        <v>159</v>
      </c>
      <c r="D383" t="s">
        <v>166</v>
      </c>
      <c r="E383">
        <v>39000265135</v>
      </c>
    </row>
    <row r="384" spans="1:5" x14ac:dyDescent="0.2">
      <c r="A384">
        <v>382</v>
      </c>
      <c r="B384" t="s">
        <v>60</v>
      </c>
      <c r="C384" t="s">
        <v>159</v>
      </c>
      <c r="D384" t="s">
        <v>367</v>
      </c>
      <c r="E384">
        <v>39000207363</v>
      </c>
    </row>
    <row r="385" spans="1:5" x14ac:dyDescent="0.2">
      <c r="A385">
        <v>383</v>
      </c>
      <c r="B385" t="s">
        <v>70</v>
      </c>
      <c r="C385" t="s">
        <v>157</v>
      </c>
      <c r="D385" t="s">
        <v>371</v>
      </c>
      <c r="E385">
        <v>39001516216</v>
      </c>
    </row>
    <row r="386" spans="1:5" x14ac:dyDescent="0.2">
      <c r="A386">
        <v>384</v>
      </c>
      <c r="B386" t="s">
        <v>68</v>
      </c>
      <c r="C386" t="s">
        <v>159</v>
      </c>
      <c r="D386" t="s">
        <v>372</v>
      </c>
      <c r="E386">
        <v>39000662519</v>
      </c>
    </row>
    <row r="387" spans="1:5" x14ac:dyDescent="0.2">
      <c r="A387">
        <v>385</v>
      </c>
      <c r="B387" t="s">
        <v>76</v>
      </c>
      <c r="C387" t="s">
        <v>155</v>
      </c>
      <c r="D387" t="s">
        <v>373</v>
      </c>
      <c r="E387">
        <v>39002795676</v>
      </c>
    </row>
    <row r="388" spans="1:5" x14ac:dyDescent="0.2">
      <c r="A388">
        <v>386</v>
      </c>
      <c r="B388" t="s">
        <v>68</v>
      </c>
      <c r="C388" t="s">
        <v>159</v>
      </c>
      <c r="D388" t="s">
        <v>174</v>
      </c>
      <c r="E388">
        <v>39000661726</v>
      </c>
    </row>
    <row r="389" spans="1:5" x14ac:dyDescent="0.2">
      <c r="A389">
        <v>387</v>
      </c>
      <c r="B389" t="s">
        <v>74</v>
      </c>
      <c r="C389" t="s">
        <v>159</v>
      </c>
      <c r="D389" t="s">
        <v>306</v>
      </c>
      <c r="E389">
        <v>39002660346</v>
      </c>
    </row>
    <row r="390" spans="1:5" x14ac:dyDescent="0.2">
      <c r="A390">
        <v>388</v>
      </c>
      <c r="B390" t="s">
        <v>64</v>
      </c>
      <c r="C390" t="s">
        <v>155</v>
      </c>
      <c r="D390" t="s">
        <v>330</v>
      </c>
      <c r="E390">
        <v>39001696149</v>
      </c>
    </row>
    <row r="391" spans="1:5" x14ac:dyDescent="0.2">
      <c r="A391">
        <v>389</v>
      </c>
      <c r="B391" t="s">
        <v>58</v>
      </c>
      <c r="C391" t="s">
        <v>159</v>
      </c>
      <c r="D391" t="s">
        <v>268</v>
      </c>
      <c r="E391">
        <v>39000957216</v>
      </c>
    </row>
    <row r="392" spans="1:5" x14ac:dyDescent="0.2">
      <c r="A392">
        <v>390</v>
      </c>
      <c r="B392" t="s">
        <v>69</v>
      </c>
      <c r="C392" t="s">
        <v>155</v>
      </c>
      <c r="D392" t="s">
        <v>173</v>
      </c>
      <c r="E392">
        <v>39000199394</v>
      </c>
    </row>
    <row r="393" spans="1:5" x14ac:dyDescent="0.2">
      <c r="A393">
        <v>391</v>
      </c>
      <c r="B393" t="s">
        <v>70</v>
      </c>
      <c r="C393" t="s">
        <v>157</v>
      </c>
      <c r="D393" t="s">
        <v>374</v>
      </c>
      <c r="E393">
        <v>39001525056</v>
      </c>
    </row>
    <row r="394" spans="1:5" x14ac:dyDescent="0.2">
      <c r="A394">
        <v>392</v>
      </c>
      <c r="B394" t="s">
        <v>69</v>
      </c>
      <c r="C394" t="s">
        <v>159</v>
      </c>
      <c r="D394" t="s">
        <v>163</v>
      </c>
      <c r="E394">
        <v>39002851927</v>
      </c>
    </row>
    <row r="395" spans="1:5" x14ac:dyDescent="0.2">
      <c r="A395">
        <v>393</v>
      </c>
      <c r="B395" t="s">
        <v>70</v>
      </c>
      <c r="C395" t="s">
        <v>159</v>
      </c>
      <c r="D395" t="s">
        <v>375</v>
      </c>
      <c r="E395">
        <v>39001392378</v>
      </c>
    </row>
    <row r="396" spans="1:5" x14ac:dyDescent="0.2">
      <c r="A396">
        <v>394</v>
      </c>
      <c r="B396" t="s">
        <v>54</v>
      </c>
      <c r="C396" t="s">
        <v>157</v>
      </c>
      <c r="D396" t="s">
        <v>376</v>
      </c>
      <c r="E396">
        <v>39000588653</v>
      </c>
    </row>
    <row r="397" spans="1:5" x14ac:dyDescent="0.2">
      <c r="A397">
        <v>395</v>
      </c>
      <c r="B397" t="s">
        <v>74</v>
      </c>
      <c r="C397" t="s">
        <v>159</v>
      </c>
      <c r="D397" t="s">
        <v>295</v>
      </c>
      <c r="E397">
        <v>39000280644</v>
      </c>
    </row>
    <row r="398" spans="1:5" x14ac:dyDescent="0.2">
      <c r="A398">
        <v>396</v>
      </c>
      <c r="B398" t="s">
        <v>62</v>
      </c>
      <c r="C398" t="s">
        <v>155</v>
      </c>
      <c r="D398" t="s">
        <v>377</v>
      </c>
      <c r="E398">
        <v>39000271206</v>
      </c>
    </row>
    <row r="399" spans="1:5" x14ac:dyDescent="0.2">
      <c r="A399">
        <v>397</v>
      </c>
      <c r="B399" t="s">
        <v>60</v>
      </c>
      <c r="C399" t="s">
        <v>159</v>
      </c>
      <c r="D399" t="s">
        <v>378</v>
      </c>
      <c r="E399">
        <v>39000203086</v>
      </c>
    </row>
    <row r="400" spans="1:5" x14ac:dyDescent="0.2">
      <c r="A400">
        <v>398</v>
      </c>
      <c r="B400" t="s">
        <v>69</v>
      </c>
      <c r="C400" t="s">
        <v>155</v>
      </c>
      <c r="D400" t="s">
        <v>216</v>
      </c>
      <c r="E400">
        <v>39000223054</v>
      </c>
    </row>
    <row r="401" spans="1:5" x14ac:dyDescent="0.2">
      <c r="A401">
        <v>399</v>
      </c>
      <c r="B401" t="s">
        <v>68</v>
      </c>
      <c r="C401" t="s">
        <v>157</v>
      </c>
      <c r="D401" t="s">
        <v>273</v>
      </c>
      <c r="E401">
        <v>39002428179</v>
      </c>
    </row>
    <row r="402" spans="1:5" x14ac:dyDescent="0.2">
      <c r="A402">
        <v>400</v>
      </c>
      <c r="B402" t="s">
        <v>75</v>
      </c>
      <c r="C402" t="s">
        <v>159</v>
      </c>
      <c r="D402" t="s">
        <v>184</v>
      </c>
      <c r="E402">
        <v>39002737202</v>
      </c>
    </row>
    <row r="403" spans="1:5" x14ac:dyDescent="0.2">
      <c r="A403">
        <v>401</v>
      </c>
      <c r="B403" t="s">
        <v>56</v>
      </c>
      <c r="C403" t="s">
        <v>159</v>
      </c>
      <c r="D403" t="s">
        <v>222</v>
      </c>
      <c r="E403">
        <v>39002244580</v>
      </c>
    </row>
    <row r="404" spans="1:5" x14ac:dyDescent="0.2">
      <c r="A404">
        <v>402</v>
      </c>
      <c r="B404" t="s">
        <v>60</v>
      </c>
      <c r="C404" t="s">
        <v>157</v>
      </c>
      <c r="D404" t="s">
        <v>379</v>
      </c>
      <c r="E404">
        <v>39000220220</v>
      </c>
    </row>
    <row r="405" spans="1:5" x14ac:dyDescent="0.2">
      <c r="A405">
        <v>403</v>
      </c>
      <c r="B405" t="s">
        <v>68</v>
      </c>
      <c r="C405" t="s">
        <v>159</v>
      </c>
      <c r="D405" t="s">
        <v>372</v>
      </c>
      <c r="E405">
        <v>39000662090</v>
      </c>
    </row>
    <row r="406" spans="1:5" x14ac:dyDescent="0.2">
      <c r="A406">
        <v>404</v>
      </c>
      <c r="B406" t="s">
        <v>62</v>
      </c>
      <c r="C406" t="s">
        <v>159</v>
      </c>
      <c r="D406" t="s">
        <v>303</v>
      </c>
      <c r="E406">
        <v>39000261924</v>
      </c>
    </row>
    <row r="407" spans="1:5" x14ac:dyDescent="0.2">
      <c r="A407">
        <v>405</v>
      </c>
      <c r="B407" t="s">
        <v>74</v>
      </c>
      <c r="C407" t="s">
        <v>159</v>
      </c>
      <c r="D407" t="s">
        <v>220</v>
      </c>
      <c r="E407">
        <v>39002338479</v>
      </c>
    </row>
    <row r="408" spans="1:5" x14ac:dyDescent="0.2">
      <c r="A408">
        <v>406</v>
      </c>
      <c r="B408" t="s">
        <v>60</v>
      </c>
      <c r="C408" t="s">
        <v>157</v>
      </c>
      <c r="D408" t="s">
        <v>380</v>
      </c>
      <c r="E408">
        <v>39000213837</v>
      </c>
    </row>
    <row r="409" spans="1:5" x14ac:dyDescent="0.2">
      <c r="A409">
        <v>407</v>
      </c>
      <c r="B409" t="s">
        <v>69</v>
      </c>
      <c r="C409" t="s">
        <v>159</v>
      </c>
      <c r="D409" t="s">
        <v>381</v>
      </c>
      <c r="E409">
        <v>39000212420</v>
      </c>
    </row>
    <row r="410" spans="1:5" x14ac:dyDescent="0.2">
      <c r="A410">
        <v>408</v>
      </c>
      <c r="B410" t="s">
        <v>60</v>
      </c>
      <c r="C410" t="s">
        <v>159</v>
      </c>
      <c r="D410" t="s">
        <v>204</v>
      </c>
      <c r="E410">
        <v>39000217854</v>
      </c>
    </row>
    <row r="411" spans="1:5" x14ac:dyDescent="0.2">
      <c r="A411">
        <v>409</v>
      </c>
      <c r="B411" t="s">
        <v>58</v>
      </c>
      <c r="C411" t="s">
        <v>159</v>
      </c>
      <c r="D411" t="s">
        <v>230</v>
      </c>
      <c r="E411">
        <v>39000966212</v>
      </c>
    </row>
    <row r="412" spans="1:5" x14ac:dyDescent="0.2">
      <c r="A412">
        <v>410</v>
      </c>
      <c r="B412" t="s">
        <v>70</v>
      </c>
      <c r="C412" t="s">
        <v>159</v>
      </c>
      <c r="D412" t="s">
        <v>270</v>
      </c>
      <c r="E412">
        <v>39001585168</v>
      </c>
    </row>
    <row r="413" spans="1:5" x14ac:dyDescent="0.2">
      <c r="A413">
        <v>411</v>
      </c>
      <c r="B413" t="s">
        <v>58</v>
      </c>
      <c r="C413" t="s">
        <v>155</v>
      </c>
      <c r="D413" t="s">
        <v>255</v>
      </c>
      <c r="E413">
        <v>39000984854</v>
      </c>
    </row>
    <row r="414" spans="1:5" x14ac:dyDescent="0.2">
      <c r="A414">
        <v>412</v>
      </c>
      <c r="B414" t="s">
        <v>70</v>
      </c>
      <c r="C414" t="s">
        <v>187</v>
      </c>
      <c r="D414" t="s">
        <v>225</v>
      </c>
      <c r="E414">
        <v>39001519778</v>
      </c>
    </row>
    <row r="415" spans="1:5" x14ac:dyDescent="0.2">
      <c r="A415">
        <v>413</v>
      </c>
      <c r="B415" t="s">
        <v>68</v>
      </c>
      <c r="C415" t="s">
        <v>159</v>
      </c>
      <c r="D415" t="s">
        <v>354</v>
      </c>
      <c r="E415">
        <v>39000669409</v>
      </c>
    </row>
    <row r="416" spans="1:5" x14ac:dyDescent="0.2">
      <c r="A416">
        <v>414</v>
      </c>
      <c r="B416" t="s">
        <v>64</v>
      </c>
      <c r="C416" t="s">
        <v>159</v>
      </c>
      <c r="D416" t="s">
        <v>282</v>
      </c>
      <c r="E416">
        <v>39002906475</v>
      </c>
    </row>
    <row r="417" spans="1:5" x14ac:dyDescent="0.2">
      <c r="A417">
        <v>415</v>
      </c>
      <c r="B417" t="s">
        <v>66</v>
      </c>
      <c r="C417" t="s">
        <v>157</v>
      </c>
      <c r="D417" t="s">
        <v>360</v>
      </c>
      <c r="E417">
        <v>39000337155</v>
      </c>
    </row>
    <row r="418" spans="1:5" x14ac:dyDescent="0.2">
      <c r="A418">
        <v>416</v>
      </c>
      <c r="B418" t="s">
        <v>70</v>
      </c>
      <c r="C418" t="s">
        <v>159</v>
      </c>
      <c r="D418" t="s">
        <v>228</v>
      </c>
      <c r="E418">
        <v>39001520532</v>
      </c>
    </row>
    <row r="419" spans="1:5" x14ac:dyDescent="0.2">
      <c r="A419">
        <v>417</v>
      </c>
      <c r="B419" t="s">
        <v>60</v>
      </c>
      <c r="C419" t="s">
        <v>157</v>
      </c>
      <c r="D419" t="s">
        <v>382</v>
      </c>
      <c r="E419">
        <v>39000217295</v>
      </c>
    </row>
    <row r="420" spans="1:5" x14ac:dyDescent="0.2">
      <c r="A420">
        <v>418</v>
      </c>
      <c r="B420" t="s">
        <v>56</v>
      </c>
      <c r="C420" t="s">
        <v>159</v>
      </c>
      <c r="D420" t="s">
        <v>222</v>
      </c>
      <c r="E420">
        <v>39002246920</v>
      </c>
    </row>
    <row r="421" spans="1:5" x14ac:dyDescent="0.2">
      <c r="A421">
        <v>419</v>
      </c>
      <c r="B421" t="s">
        <v>66</v>
      </c>
      <c r="C421" t="s">
        <v>159</v>
      </c>
      <c r="D421" t="s">
        <v>269</v>
      </c>
      <c r="E421">
        <v>39000343746</v>
      </c>
    </row>
    <row r="422" spans="1:5" x14ac:dyDescent="0.2">
      <c r="A422">
        <v>420</v>
      </c>
      <c r="B422" t="s">
        <v>58</v>
      </c>
      <c r="C422" t="s">
        <v>157</v>
      </c>
      <c r="D422" t="s">
        <v>202</v>
      </c>
      <c r="E422">
        <v>39000965055</v>
      </c>
    </row>
    <row r="423" spans="1:5" x14ac:dyDescent="0.2">
      <c r="A423">
        <v>421</v>
      </c>
      <c r="B423" t="s">
        <v>56</v>
      </c>
      <c r="C423" t="s">
        <v>155</v>
      </c>
      <c r="D423" t="s">
        <v>383</v>
      </c>
      <c r="E423">
        <v>39002321631</v>
      </c>
    </row>
    <row r="424" spans="1:5" x14ac:dyDescent="0.2">
      <c r="A424">
        <v>422</v>
      </c>
      <c r="B424" t="s">
        <v>69</v>
      </c>
      <c r="C424" t="s">
        <v>159</v>
      </c>
      <c r="D424" t="s">
        <v>384</v>
      </c>
      <c r="E424">
        <v>39002425709</v>
      </c>
    </row>
    <row r="425" spans="1:5" x14ac:dyDescent="0.2">
      <c r="A425">
        <v>423</v>
      </c>
      <c r="B425" t="s">
        <v>66</v>
      </c>
      <c r="C425" t="s">
        <v>169</v>
      </c>
      <c r="D425" t="s">
        <v>385</v>
      </c>
      <c r="E425">
        <v>39000336570</v>
      </c>
    </row>
    <row r="426" spans="1:5" x14ac:dyDescent="0.2">
      <c r="A426">
        <v>424</v>
      </c>
      <c r="B426" t="s">
        <v>70</v>
      </c>
      <c r="C426" t="s">
        <v>159</v>
      </c>
      <c r="D426" t="s">
        <v>338</v>
      </c>
      <c r="E426">
        <v>39002649257</v>
      </c>
    </row>
    <row r="427" spans="1:5" x14ac:dyDescent="0.2">
      <c r="A427">
        <v>425</v>
      </c>
      <c r="B427" t="s">
        <v>66</v>
      </c>
      <c r="C427" t="s">
        <v>159</v>
      </c>
      <c r="D427" t="s">
        <v>241</v>
      </c>
      <c r="E427">
        <v>39001961947</v>
      </c>
    </row>
    <row r="428" spans="1:5" x14ac:dyDescent="0.2">
      <c r="A428">
        <v>426</v>
      </c>
      <c r="B428" t="s">
        <v>66</v>
      </c>
      <c r="C428" t="s">
        <v>159</v>
      </c>
      <c r="D428" t="s">
        <v>347</v>
      </c>
      <c r="E428">
        <v>39000761163</v>
      </c>
    </row>
    <row r="429" spans="1:5" x14ac:dyDescent="0.2">
      <c r="A429">
        <v>427</v>
      </c>
      <c r="B429" t="s">
        <v>70</v>
      </c>
      <c r="C429" t="s">
        <v>159</v>
      </c>
      <c r="D429" t="s">
        <v>161</v>
      </c>
      <c r="E429">
        <v>39001675193</v>
      </c>
    </row>
    <row r="430" spans="1:5" x14ac:dyDescent="0.2">
      <c r="A430">
        <v>428</v>
      </c>
      <c r="B430" t="s">
        <v>58</v>
      </c>
      <c r="C430" t="s">
        <v>159</v>
      </c>
      <c r="D430" t="s">
        <v>319</v>
      </c>
      <c r="E430">
        <v>39000949897</v>
      </c>
    </row>
    <row r="431" spans="1:5" x14ac:dyDescent="0.2">
      <c r="A431">
        <v>429</v>
      </c>
      <c r="B431" t="s">
        <v>66</v>
      </c>
      <c r="C431" t="s">
        <v>159</v>
      </c>
      <c r="D431" t="s">
        <v>335</v>
      </c>
      <c r="E431">
        <v>39000338481</v>
      </c>
    </row>
    <row r="432" spans="1:5" x14ac:dyDescent="0.2">
      <c r="A432">
        <v>430</v>
      </c>
      <c r="B432" t="s">
        <v>66</v>
      </c>
      <c r="C432" t="s">
        <v>169</v>
      </c>
      <c r="D432" t="s">
        <v>170</v>
      </c>
      <c r="E432">
        <v>39000337480</v>
      </c>
    </row>
    <row r="433" spans="1:5" x14ac:dyDescent="0.2">
      <c r="A433">
        <v>431</v>
      </c>
      <c r="B433" t="s">
        <v>54</v>
      </c>
      <c r="C433" t="s">
        <v>159</v>
      </c>
      <c r="D433" t="s">
        <v>189</v>
      </c>
      <c r="E433">
        <v>39001765231</v>
      </c>
    </row>
    <row r="434" spans="1:5" x14ac:dyDescent="0.2">
      <c r="A434">
        <v>432</v>
      </c>
      <c r="B434" t="s">
        <v>54</v>
      </c>
      <c r="C434" t="s">
        <v>159</v>
      </c>
      <c r="D434" t="s">
        <v>265</v>
      </c>
      <c r="E434">
        <v>39000593177</v>
      </c>
    </row>
    <row r="435" spans="1:5" x14ac:dyDescent="0.2">
      <c r="A435">
        <v>433</v>
      </c>
      <c r="B435" t="s">
        <v>69</v>
      </c>
      <c r="C435" t="s">
        <v>155</v>
      </c>
      <c r="D435" t="s">
        <v>216</v>
      </c>
      <c r="E435">
        <v>39002182024</v>
      </c>
    </row>
    <row r="436" spans="1:5" x14ac:dyDescent="0.2">
      <c r="A436">
        <v>434</v>
      </c>
      <c r="B436" t="s">
        <v>68</v>
      </c>
      <c r="C436" t="s">
        <v>159</v>
      </c>
      <c r="D436" t="s">
        <v>372</v>
      </c>
      <c r="E436">
        <v>39001724138</v>
      </c>
    </row>
    <row r="437" spans="1:5" x14ac:dyDescent="0.2">
      <c r="A437">
        <v>435</v>
      </c>
      <c r="B437" t="s">
        <v>66</v>
      </c>
      <c r="C437" t="s">
        <v>159</v>
      </c>
      <c r="D437" t="s">
        <v>386</v>
      </c>
      <c r="E437">
        <v>39000334035</v>
      </c>
    </row>
    <row r="438" spans="1:5" x14ac:dyDescent="0.2">
      <c r="A438">
        <v>436</v>
      </c>
      <c r="B438" t="s">
        <v>64</v>
      </c>
      <c r="C438" t="s">
        <v>155</v>
      </c>
      <c r="D438" t="s">
        <v>201</v>
      </c>
      <c r="E438">
        <v>39001709734</v>
      </c>
    </row>
    <row r="439" spans="1:5" x14ac:dyDescent="0.2">
      <c r="A439">
        <v>437</v>
      </c>
      <c r="B439" t="s">
        <v>54</v>
      </c>
      <c r="C439" t="s">
        <v>157</v>
      </c>
      <c r="D439" t="s">
        <v>387</v>
      </c>
      <c r="E439">
        <v>39000591409</v>
      </c>
    </row>
    <row r="440" spans="1:5" x14ac:dyDescent="0.2">
      <c r="A440">
        <v>438</v>
      </c>
      <c r="B440" t="s">
        <v>60</v>
      </c>
      <c r="C440" t="s">
        <v>159</v>
      </c>
      <c r="D440" t="s">
        <v>288</v>
      </c>
      <c r="E440">
        <v>39000214422</v>
      </c>
    </row>
    <row r="441" spans="1:5" x14ac:dyDescent="0.2">
      <c r="A441">
        <v>439</v>
      </c>
      <c r="B441" t="s">
        <v>75</v>
      </c>
      <c r="C441" t="s">
        <v>159</v>
      </c>
      <c r="D441" t="s">
        <v>184</v>
      </c>
      <c r="E441">
        <v>39001519986</v>
      </c>
    </row>
    <row r="442" spans="1:5" x14ac:dyDescent="0.2">
      <c r="A442">
        <v>440</v>
      </c>
      <c r="B442" t="s">
        <v>62</v>
      </c>
      <c r="C442" t="s">
        <v>159</v>
      </c>
      <c r="D442" t="s">
        <v>166</v>
      </c>
      <c r="E442">
        <v>39000262041</v>
      </c>
    </row>
    <row r="443" spans="1:5" x14ac:dyDescent="0.2">
      <c r="A443">
        <v>441</v>
      </c>
      <c r="B443" t="s">
        <v>74</v>
      </c>
      <c r="C443" t="s">
        <v>159</v>
      </c>
      <c r="D443" t="s">
        <v>388</v>
      </c>
      <c r="E443">
        <v>39000278187</v>
      </c>
    </row>
    <row r="444" spans="1:5" x14ac:dyDescent="0.2">
      <c r="A444">
        <v>442</v>
      </c>
      <c r="B444" t="s">
        <v>69</v>
      </c>
      <c r="C444" t="s">
        <v>159</v>
      </c>
      <c r="D444" t="s">
        <v>203</v>
      </c>
      <c r="E444">
        <v>39000222963</v>
      </c>
    </row>
    <row r="445" spans="1:5" x14ac:dyDescent="0.2">
      <c r="A445">
        <v>443</v>
      </c>
      <c r="B445" t="s">
        <v>62</v>
      </c>
      <c r="C445" t="s">
        <v>155</v>
      </c>
      <c r="D445" t="s">
        <v>361</v>
      </c>
      <c r="E445">
        <v>39000269113</v>
      </c>
    </row>
    <row r="446" spans="1:5" x14ac:dyDescent="0.2">
      <c r="A446">
        <v>444</v>
      </c>
      <c r="B446" t="s">
        <v>60</v>
      </c>
      <c r="C446" t="s">
        <v>159</v>
      </c>
      <c r="D446" t="s">
        <v>198</v>
      </c>
      <c r="E446">
        <v>39000221351</v>
      </c>
    </row>
    <row r="447" spans="1:5" x14ac:dyDescent="0.2">
      <c r="A447">
        <v>445</v>
      </c>
      <c r="B447" t="s">
        <v>70</v>
      </c>
      <c r="C447" t="s">
        <v>187</v>
      </c>
      <c r="D447" t="s">
        <v>299</v>
      </c>
      <c r="E447">
        <v>39001386541</v>
      </c>
    </row>
    <row r="448" spans="1:5" x14ac:dyDescent="0.2">
      <c r="A448">
        <v>446</v>
      </c>
      <c r="B448" t="s">
        <v>70</v>
      </c>
      <c r="C448" t="s">
        <v>159</v>
      </c>
      <c r="D448" t="s">
        <v>351</v>
      </c>
      <c r="E448">
        <v>39001527812</v>
      </c>
    </row>
    <row r="449" spans="1:5" x14ac:dyDescent="0.2">
      <c r="A449">
        <v>447</v>
      </c>
      <c r="B449" t="s">
        <v>58</v>
      </c>
      <c r="C449" t="s">
        <v>159</v>
      </c>
      <c r="D449" t="s">
        <v>336</v>
      </c>
      <c r="E449">
        <v>39002437539</v>
      </c>
    </row>
    <row r="450" spans="1:5" x14ac:dyDescent="0.2">
      <c r="A450">
        <v>448</v>
      </c>
      <c r="B450" t="s">
        <v>70</v>
      </c>
      <c r="C450" t="s">
        <v>159</v>
      </c>
      <c r="D450" t="s">
        <v>375</v>
      </c>
      <c r="E450">
        <v>39001438008</v>
      </c>
    </row>
    <row r="451" spans="1:5" x14ac:dyDescent="0.2">
      <c r="A451">
        <v>449</v>
      </c>
      <c r="B451" t="s">
        <v>66</v>
      </c>
      <c r="C451" t="s">
        <v>159</v>
      </c>
      <c r="D451" t="s">
        <v>335</v>
      </c>
      <c r="E451">
        <v>39000332982</v>
      </c>
    </row>
    <row r="452" spans="1:5" x14ac:dyDescent="0.2">
      <c r="A452">
        <v>450</v>
      </c>
      <c r="B452" t="s">
        <v>68</v>
      </c>
      <c r="C452" t="s">
        <v>157</v>
      </c>
      <c r="D452" t="s">
        <v>273</v>
      </c>
      <c r="E452">
        <v>39000667134</v>
      </c>
    </row>
    <row r="453" spans="1:5" x14ac:dyDescent="0.2">
      <c r="A453">
        <v>451</v>
      </c>
      <c r="B453" t="s">
        <v>72</v>
      </c>
      <c r="C453" t="s">
        <v>159</v>
      </c>
      <c r="D453" t="s">
        <v>251</v>
      </c>
      <c r="E453">
        <v>39002882893</v>
      </c>
    </row>
    <row r="454" spans="1:5" x14ac:dyDescent="0.2">
      <c r="A454">
        <v>452</v>
      </c>
      <c r="B454" t="s">
        <v>68</v>
      </c>
      <c r="C454" t="s">
        <v>159</v>
      </c>
      <c r="D454" t="s">
        <v>197</v>
      </c>
      <c r="E454">
        <v>39000657358</v>
      </c>
    </row>
    <row r="455" spans="1:5" x14ac:dyDescent="0.2">
      <c r="A455">
        <v>453</v>
      </c>
      <c r="B455" t="s">
        <v>60</v>
      </c>
      <c r="C455" t="s">
        <v>159</v>
      </c>
      <c r="D455" t="s">
        <v>209</v>
      </c>
      <c r="E455">
        <v>39000226668</v>
      </c>
    </row>
    <row r="456" spans="1:5" x14ac:dyDescent="0.2">
      <c r="A456">
        <v>454</v>
      </c>
      <c r="B456" t="s">
        <v>54</v>
      </c>
      <c r="C456" t="s">
        <v>157</v>
      </c>
      <c r="D456" t="s">
        <v>276</v>
      </c>
      <c r="E456">
        <v>39000592696</v>
      </c>
    </row>
    <row r="457" spans="1:5" x14ac:dyDescent="0.2">
      <c r="A457">
        <v>455</v>
      </c>
      <c r="B457" t="s">
        <v>60</v>
      </c>
      <c r="C457" t="s">
        <v>159</v>
      </c>
      <c r="D457" t="s">
        <v>227</v>
      </c>
      <c r="E457">
        <v>39000202020</v>
      </c>
    </row>
    <row r="458" spans="1:5" x14ac:dyDescent="0.2">
      <c r="A458">
        <v>456</v>
      </c>
      <c r="B458" t="s">
        <v>70</v>
      </c>
      <c r="C458" t="s">
        <v>159</v>
      </c>
      <c r="D458" t="s">
        <v>192</v>
      </c>
      <c r="E458">
        <v>39001417039</v>
      </c>
    </row>
    <row r="459" spans="1:5" x14ac:dyDescent="0.2">
      <c r="A459">
        <v>457</v>
      </c>
      <c r="B459" t="s">
        <v>74</v>
      </c>
      <c r="C459" t="s">
        <v>159</v>
      </c>
      <c r="D459" t="s">
        <v>306</v>
      </c>
      <c r="E459">
        <v>39000288405</v>
      </c>
    </row>
    <row r="460" spans="1:5" x14ac:dyDescent="0.2">
      <c r="A460">
        <v>458</v>
      </c>
      <c r="B460" t="s">
        <v>54</v>
      </c>
      <c r="C460" t="s">
        <v>159</v>
      </c>
      <c r="D460" t="s">
        <v>254</v>
      </c>
      <c r="E460">
        <v>39000591344</v>
      </c>
    </row>
    <row r="461" spans="1:5" x14ac:dyDescent="0.2">
      <c r="A461">
        <v>459</v>
      </c>
      <c r="B461" t="s">
        <v>58</v>
      </c>
      <c r="C461" t="s">
        <v>159</v>
      </c>
      <c r="D461" t="s">
        <v>271</v>
      </c>
      <c r="E461">
        <v>39000958802</v>
      </c>
    </row>
    <row r="462" spans="1:5" x14ac:dyDescent="0.2">
      <c r="A462">
        <v>460</v>
      </c>
      <c r="B462" t="s">
        <v>56</v>
      </c>
      <c r="C462" t="s">
        <v>159</v>
      </c>
      <c r="D462" t="s">
        <v>222</v>
      </c>
      <c r="E462">
        <v>39002309697</v>
      </c>
    </row>
    <row r="463" spans="1:5" x14ac:dyDescent="0.2">
      <c r="A463">
        <v>461</v>
      </c>
      <c r="B463" t="s">
        <v>64</v>
      </c>
      <c r="C463" t="s">
        <v>159</v>
      </c>
      <c r="D463" t="s">
        <v>389</v>
      </c>
      <c r="E463">
        <v>39001708122</v>
      </c>
    </row>
    <row r="464" spans="1:5" x14ac:dyDescent="0.2">
      <c r="A464">
        <v>462</v>
      </c>
      <c r="B464" t="s">
        <v>60</v>
      </c>
      <c r="C464" t="s">
        <v>159</v>
      </c>
      <c r="D464" t="s">
        <v>262</v>
      </c>
      <c r="E464">
        <v>39002332824</v>
      </c>
    </row>
    <row r="465" spans="1:5" x14ac:dyDescent="0.2">
      <c r="A465">
        <v>463</v>
      </c>
      <c r="B465" t="s">
        <v>68</v>
      </c>
      <c r="C465" t="s">
        <v>157</v>
      </c>
      <c r="D465" t="s">
        <v>364</v>
      </c>
      <c r="E465">
        <v>39000665184</v>
      </c>
    </row>
    <row r="466" spans="1:5" x14ac:dyDescent="0.2">
      <c r="A466">
        <v>464</v>
      </c>
      <c r="B466" t="s">
        <v>69</v>
      </c>
      <c r="C466" t="s">
        <v>159</v>
      </c>
      <c r="D466" t="s">
        <v>283</v>
      </c>
      <c r="E466">
        <v>39000212511</v>
      </c>
    </row>
    <row r="467" spans="1:5" x14ac:dyDescent="0.2">
      <c r="A467">
        <v>465</v>
      </c>
      <c r="B467" t="s">
        <v>66</v>
      </c>
      <c r="C467" t="s">
        <v>157</v>
      </c>
      <c r="D467" t="s">
        <v>390</v>
      </c>
      <c r="E467">
        <v>39000337493</v>
      </c>
    </row>
    <row r="468" spans="1:5" x14ac:dyDescent="0.2">
      <c r="A468">
        <v>466</v>
      </c>
      <c r="B468" t="s">
        <v>60</v>
      </c>
      <c r="C468" t="s">
        <v>155</v>
      </c>
      <c r="D468" t="s">
        <v>279</v>
      </c>
      <c r="E468">
        <v>39000236548</v>
      </c>
    </row>
    <row r="469" spans="1:5" x14ac:dyDescent="0.2">
      <c r="A469">
        <v>467</v>
      </c>
      <c r="B469" t="s">
        <v>60</v>
      </c>
      <c r="C469" t="s">
        <v>159</v>
      </c>
      <c r="D469" t="s">
        <v>264</v>
      </c>
      <c r="E469">
        <v>39000237887</v>
      </c>
    </row>
    <row r="470" spans="1:5" x14ac:dyDescent="0.2">
      <c r="A470">
        <v>468</v>
      </c>
      <c r="B470" t="s">
        <v>76</v>
      </c>
      <c r="C470" t="s">
        <v>155</v>
      </c>
      <c r="D470" t="s">
        <v>177</v>
      </c>
      <c r="E470">
        <v>39002793791</v>
      </c>
    </row>
    <row r="471" spans="1:5" x14ac:dyDescent="0.2">
      <c r="A471">
        <v>469</v>
      </c>
      <c r="B471" t="s">
        <v>66</v>
      </c>
      <c r="C471" t="s">
        <v>159</v>
      </c>
      <c r="D471" t="s">
        <v>335</v>
      </c>
      <c r="E471">
        <v>39000342992</v>
      </c>
    </row>
    <row r="472" spans="1:5" x14ac:dyDescent="0.2">
      <c r="A472">
        <v>470</v>
      </c>
      <c r="B472" t="s">
        <v>66</v>
      </c>
      <c r="C472" t="s">
        <v>159</v>
      </c>
      <c r="D472" t="s">
        <v>206</v>
      </c>
      <c r="E472">
        <v>39000335023</v>
      </c>
    </row>
    <row r="473" spans="1:5" x14ac:dyDescent="0.2">
      <c r="A473">
        <v>471</v>
      </c>
      <c r="B473" t="s">
        <v>54</v>
      </c>
      <c r="C473" t="s">
        <v>159</v>
      </c>
      <c r="D473" t="s">
        <v>297</v>
      </c>
      <c r="E473">
        <v>39000597415</v>
      </c>
    </row>
    <row r="474" spans="1:5" x14ac:dyDescent="0.2">
      <c r="A474">
        <v>472</v>
      </c>
      <c r="B474" t="s">
        <v>70</v>
      </c>
      <c r="C474" t="s">
        <v>159</v>
      </c>
      <c r="D474" t="s">
        <v>161</v>
      </c>
      <c r="E474">
        <v>39002852655</v>
      </c>
    </row>
    <row r="475" spans="1:5" x14ac:dyDescent="0.2">
      <c r="A475">
        <v>473</v>
      </c>
      <c r="B475" t="s">
        <v>70</v>
      </c>
      <c r="C475" t="s">
        <v>157</v>
      </c>
      <c r="D475" t="s">
        <v>374</v>
      </c>
      <c r="E475">
        <v>39001479322</v>
      </c>
    </row>
    <row r="476" spans="1:5" x14ac:dyDescent="0.2">
      <c r="A476">
        <v>474</v>
      </c>
      <c r="B476" t="s">
        <v>60</v>
      </c>
      <c r="C476" t="s">
        <v>157</v>
      </c>
      <c r="D476" t="s">
        <v>391</v>
      </c>
      <c r="E476">
        <v>39000220519</v>
      </c>
    </row>
    <row r="477" spans="1:5" x14ac:dyDescent="0.2">
      <c r="A477">
        <v>475</v>
      </c>
      <c r="B477" t="s">
        <v>58</v>
      </c>
      <c r="C477" t="s">
        <v>155</v>
      </c>
      <c r="D477" t="s">
        <v>237</v>
      </c>
      <c r="E477">
        <v>39000984789</v>
      </c>
    </row>
    <row r="478" spans="1:5" x14ac:dyDescent="0.2">
      <c r="A478">
        <v>476</v>
      </c>
      <c r="B478" t="s">
        <v>60</v>
      </c>
      <c r="C478" t="s">
        <v>159</v>
      </c>
      <c r="D478" t="s">
        <v>392</v>
      </c>
      <c r="E478">
        <v>39000217711</v>
      </c>
    </row>
    <row r="479" spans="1:5" x14ac:dyDescent="0.2">
      <c r="A479">
        <v>477</v>
      </c>
      <c r="B479" t="s">
        <v>66</v>
      </c>
      <c r="C479" t="s">
        <v>159</v>
      </c>
      <c r="D479" t="s">
        <v>393</v>
      </c>
      <c r="E479">
        <v>39000349063</v>
      </c>
    </row>
    <row r="480" spans="1:5" x14ac:dyDescent="0.2">
      <c r="A480">
        <v>478</v>
      </c>
      <c r="B480" t="s">
        <v>58</v>
      </c>
      <c r="C480" t="s">
        <v>159</v>
      </c>
      <c r="D480" t="s">
        <v>162</v>
      </c>
      <c r="E480">
        <v>39000978276</v>
      </c>
    </row>
    <row r="481" spans="1:5" x14ac:dyDescent="0.2">
      <c r="A481">
        <v>479</v>
      </c>
      <c r="B481" t="s">
        <v>70</v>
      </c>
      <c r="C481" t="s">
        <v>159</v>
      </c>
      <c r="D481" t="s">
        <v>270</v>
      </c>
      <c r="E481">
        <v>39001773304</v>
      </c>
    </row>
    <row r="482" spans="1:5" x14ac:dyDescent="0.2">
      <c r="A482">
        <v>480</v>
      </c>
      <c r="B482" t="s">
        <v>68</v>
      </c>
      <c r="C482" t="s">
        <v>159</v>
      </c>
      <c r="D482" t="s">
        <v>394</v>
      </c>
      <c r="E482">
        <v>39000666003</v>
      </c>
    </row>
    <row r="483" spans="1:5" x14ac:dyDescent="0.2">
      <c r="A483">
        <v>481</v>
      </c>
      <c r="B483" t="s">
        <v>60</v>
      </c>
      <c r="C483" t="s">
        <v>159</v>
      </c>
      <c r="D483" t="s">
        <v>239</v>
      </c>
      <c r="E483">
        <v>39000205101</v>
      </c>
    </row>
    <row r="484" spans="1:5" x14ac:dyDescent="0.2">
      <c r="A484">
        <v>482</v>
      </c>
      <c r="B484" t="s">
        <v>69</v>
      </c>
      <c r="C484" t="s">
        <v>159</v>
      </c>
      <c r="D484" t="s">
        <v>384</v>
      </c>
      <c r="E484">
        <v>39001955733</v>
      </c>
    </row>
    <row r="485" spans="1:5" x14ac:dyDescent="0.2">
      <c r="A485">
        <v>483</v>
      </c>
      <c r="B485" t="s">
        <v>60</v>
      </c>
      <c r="C485" t="s">
        <v>157</v>
      </c>
      <c r="D485" t="s">
        <v>344</v>
      </c>
      <c r="E485">
        <v>39000214513</v>
      </c>
    </row>
    <row r="486" spans="1:5" x14ac:dyDescent="0.2">
      <c r="A486">
        <v>484</v>
      </c>
      <c r="B486" t="s">
        <v>69</v>
      </c>
      <c r="C486" t="s">
        <v>212</v>
      </c>
      <c r="D486" t="s">
        <v>275</v>
      </c>
      <c r="E486">
        <v>39000238550</v>
      </c>
    </row>
    <row r="487" spans="1:5" x14ac:dyDescent="0.2">
      <c r="A487">
        <v>485</v>
      </c>
      <c r="B487" t="s">
        <v>66</v>
      </c>
      <c r="C487" t="s">
        <v>169</v>
      </c>
      <c r="D487" t="s">
        <v>314</v>
      </c>
      <c r="E487">
        <v>39000336687</v>
      </c>
    </row>
    <row r="488" spans="1:5" x14ac:dyDescent="0.2">
      <c r="A488">
        <v>486</v>
      </c>
      <c r="B488" t="s">
        <v>54</v>
      </c>
      <c r="C488" t="s">
        <v>159</v>
      </c>
      <c r="D488" t="s">
        <v>254</v>
      </c>
      <c r="E488">
        <v>39000591344</v>
      </c>
    </row>
    <row r="489" spans="1:5" x14ac:dyDescent="0.2">
      <c r="A489">
        <v>487</v>
      </c>
      <c r="B489" t="s">
        <v>58</v>
      </c>
      <c r="C489" t="s">
        <v>159</v>
      </c>
      <c r="D489" t="s">
        <v>319</v>
      </c>
      <c r="E489">
        <v>39000955071</v>
      </c>
    </row>
    <row r="490" spans="1:5" x14ac:dyDescent="0.2">
      <c r="A490">
        <v>488</v>
      </c>
      <c r="B490" t="s">
        <v>74</v>
      </c>
      <c r="C490" t="s">
        <v>159</v>
      </c>
      <c r="D490" t="s">
        <v>220</v>
      </c>
      <c r="E490">
        <v>39000278525</v>
      </c>
    </row>
    <row r="491" spans="1:5" x14ac:dyDescent="0.2">
      <c r="A491">
        <v>489</v>
      </c>
      <c r="B491" t="s">
        <v>54</v>
      </c>
      <c r="C491" t="s">
        <v>159</v>
      </c>
      <c r="D491" t="s">
        <v>191</v>
      </c>
      <c r="E491">
        <v>39000590161</v>
      </c>
    </row>
    <row r="492" spans="1:5" x14ac:dyDescent="0.2">
      <c r="A492">
        <v>490</v>
      </c>
      <c r="B492" t="s">
        <v>68</v>
      </c>
      <c r="C492" t="s">
        <v>159</v>
      </c>
      <c r="D492" t="s">
        <v>395</v>
      </c>
      <c r="E492">
        <v>39000661024</v>
      </c>
    </row>
    <row r="493" spans="1:5" x14ac:dyDescent="0.2">
      <c r="A493">
        <v>491</v>
      </c>
      <c r="B493" t="s">
        <v>54</v>
      </c>
      <c r="C493" t="s">
        <v>159</v>
      </c>
      <c r="D493" t="s">
        <v>297</v>
      </c>
      <c r="E493">
        <v>39002331420</v>
      </c>
    </row>
    <row r="494" spans="1:5" x14ac:dyDescent="0.2">
      <c r="A494">
        <v>492</v>
      </c>
      <c r="B494" t="s">
        <v>64</v>
      </c>
      <c r="C494" t="s">
        <v>159</v>
      </c>
      <c r="D494" t="s">
        <v>282</v>
      </c>
      <c r="E494">
        <v>39001736033</v>
      </c>
    </row>
    <row r="495" spans="1:5" x14ac:dyDescent="0.2">
      <c r="A495">
        <v>493</v>
      </c>
      <c r="B495" t="s">
        <v>70</v>
      </c>
      <c r="C495" t="s">
        <v>159</v>
      </c>
      <c r="D495" t="s">
        <v>192</v>
      </c>
      <c r="E495">
        <v>39001506011</v>
      </c>
    </row>
    <row r="496" spans="1:5" x14ac:dyDescent="0.2">
      <c r="A496">
        <v>494</v>
      </c>
      <c r="B496" t="s">
        <v>70</v>
      </c>
      <c r="C496" t="s">
        <v>159</v>
      </c>
      <c r="D496" t="s">
        <v>351</v>
      </c>
      <c r="E496">
        <v>39001587313</v>
      </c>
    </row>
    <row r="497" spans="1:5" x14ac:dyDescent="0.2">
      <c r="A497">
        <v>495</v>
      </c>
      <c r="B497" t="s">
        <v>60</v>
      </c>
      <c r="C497" t="s">
        <v>187</v>
      </c>
      <c r="D497" t="s">
        <v>396</v>
      </c>
      <c r="E497">
        <v>39000220584</v>
      </c>
    </row>
    <row r="498" spans="1:5" x14ac:dyDescent="0.2">
      <c r="A498">
        <v>496</v>
      </c>
      <c r="B498" t="s">
        <v>58</v>
      </c>
      <c r="C498" t="s">
        <v>157</v>
      </c>
      <c r="D498" t="s">
        <v>202</v>
      </c>
      <c r="E498">
        <v>39000965029</v>
      </c>
    </row>
    <row r="499" spans="1:5" x14ac:dyDescent="0.2">
      <c r="A499">
        <v>497</v>
      </c>
      <c r="B499" t="s">
        <v>54</v>
      </c>
      <c r="C499" t="s">
        <v>159</v>
      </c>
      <c r="D499" t="s">
        <v>243</v>
      </c>
      <c r="E499">
        <v>39000589784</v>
      </c>
    </row>
    <row r="500" spans="1:5" x14ac:dyDescent="0.2">
      <c r="A500">
        <v>498</v>
      </c>
      <c r="B500" t="s">
        <v>58</v>
      </c>
      <c r="C500" t="s">
        <v>159</v>
      </c>
      <c r="D500" t="s">
        <v>260</v>
      </c>
      <c r="E500">
        <v>39000948675</v>
      </c>
    </row>
    <row r="501" spans="1:5" x14ac:dyDescent="0.2">
      <c r="A501">
        <v>499</v>
      </c>
      <c r="B501" t="s">
        <v>70</v>
      </c>
      <c r="C501" t="s">
        <v>159</v>
      </c>
      <c r="D501" t="s">
        <v>217</v>
      </c>
      <c r="E501">
        <v>39001542216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501"/>
  <sheetViews>
    <sheetView workbookViewId="0">
      <pane xSplit="3" ySplit="12" topLeftCell="H476" activePane="bottomRight" state="frozen"/>
      <selection pane="topRight" activeCell="D1" sqref="D1"/>
      <selection pane="bottomLeft" activeCell="A13" sqref="A13"/>
      <selection pane="bottomRight" activeCell="K8" sqref="K8"/>
    </sheetView>
  </sheetViews>
  <sheetFormatPr baseColWidth="10" defaultColWidth="28" defaultRowHeight="16" x14ac:dyDescent="0.2"/>
  <cols>
    <col min="1" max="3" width="28" style="1"/>
    <col min="4" max="4" width="30.33203125" style="1" customWidth="1"/>
    <col min="5" max="16384" width="28" style="1"/>
  </cols>
  <sheetData>
    <row r="1" spans="1:10" s="3" customFormat="1" ht="22" x14ac:dyDescent="0.2">
      <c r="A1" s="3" t="s">
        <v>151</v>
      </c>
      <c r="B1" s="4" t="s">
        <v>52</v>
      </c>
      <c r="C1" s="4" t="s">
        <v>53</v>
      </c>
      <c r="D1" s="4" t="s">
        <v>0</v>
      </c>
      <c r="E1" s="4" t="s">
        <v>1</v>
      </c>
      <c r="F1" s="4" t="s">
        <v>2</v>
      </c>
      <c r="G1" s="4" t="s">
        <v>3</v>
      </c>
      <c r="H1" s="8" t="s">
        <v>404</v>
      </c>
      <c r="I1" s="8" t="s">
        <v>431</v>
      </c>
      <c r="J1" s="8" t="s">
        <v>432</v>
      </c>
    </row>
    <row r="2" spans="1:10" x14ac:dyDescent="0.2">
      <c r="A2" s="2">
        <v>0</v>
      </c>
      <c r="B2" s="1" t="s">
        <v>4</v>
      </c>
      <c r="C2" s="1">
        <v>39000590031</v>
      </c>
      <c r="D2" s="1" t="s">
        <v>54</v>
      </c>
      <c r="E2" s="1" t="s">
        <v>55</v>
      </c>
      <c r="F2" s="1">
        <v>1</v>
      </c>
      <c r="G2" s="1" t="s">
        <v>78</v>
      </c>
      <c r="H2" s="1" t="str">
        <f>_xlfn.TEXTBEFORE(G2," ",-2)</f>
        <v>PICKLE JUICE</v>
      </c>
      <c r="I2" s="9">
        <f>DATE(LEFT(B2,4), MID(B2,5,2), RIGHT(B2,2))</f>
        <v>45686</v>
      </c>
      <c r="J2" s="1" t="str">
        <f>TEXT(I2,"YYYY-MM")</f>
        <v>2025-01</v>
      </c>
    </row>
    <row r="3" spans="1:10" x14ac:dyDescent="0.2">
      <c r="A3" s="2">
        <v>1</v>
      </c>
      <c r="B3" s="1" t="s">
        <v>5</v>
      </c>
      <c r="C3" s="1">
        <v>39000592644</v>
      </c>
      <c r="D3" s="1" t="s">
        <v>54</v>
      </c>
      <c r="E3" s="1" t="s">
        <v>55</v>
      </c>
      <c r="F3" s="1">
        <v>1</v>
      </c>
      <c r="G3" s="1" t="s">
        <v>79</v>
      </c>
      <c r="H3" s="1" t="str">
        <f t="shared" ref="H3:H66" si="0">_xlfn.TEXTBEFORE(G3," ",-2)</f>
        <v>DIET SODA</v>
      </c>
      <c r="I3" s="9">
        <f t="shared" ref="I3:I66" si="1">DATE(LEFT(B3,4), MID(B3,5,2), RIGHT(B3,2))</f>
        <v>45674</v>
      </c>
      <c r="J3" s="1" t="str">
        <f t="shared" ref="J3:J66" si="2">TEXT(I3,"YYYY-MM")</f>
        <v>2025-01</v>
      </c>
    </row>
    <row r="4" spans="1:10" x14ac:dyDescent="0.2">
      <c r="A4" s="2">
        <v>2</v>
      </c>
      <c r="B4" s="1" t="s">
        <v>6</v>
      </c>
      <c r="C4" s="1">
        <v>39002246465</v>
      </c>
      <c r="D4" s="1" t="s">
        <v>56</v>
      </c>
      <c r="E4" s="1" t="s">
        <v>57</v>
      </c>
      <c r="F4" s="1">
        <v>1</v>
      </c>
      <c r="G4" s="1" t="s">
        <v>80</v>
      </c>
      <c r="H4" s="1" t="str">
        <f t="shared" si="0"/>
        <v>SF SUSHI ROLL</v>
      </c>
      <c r="I4" s="9">
        <f t="shared" si="1"/>
        <v>45720</v>
      </c>
      <c r="J4" s="1" t="str">
        <f t="shared" si="2"/>
        <v>2025-03</v>
      </c>
    </row>
    <row r="5" spans="1:10" x14ac:dyDescent="0.2">
      <c r="A5" s="2">
        <v>3</v>
      </c>
      <c r="B5" s="1" t="s">
        <v>7</v>
      </c>
      <c r="C5" s="1">
        <v>39000592761</v>
      </c>
      <c r="D5" s="1" t="s">
        <v>54</v>
      </c>
      <c r="E5" s="1" t="s">
        <v>55</v>
      </c>
      <c r="F5" s="1">
        <v>-0.83299999999999996</v>
      </c>
      <c r="G5" s="1" t="s">
        <v>81</v>
      </c>
      <c r="H5" s="1" t="str">
        <f t="shared" si="0"/>
        <v>SF MAPLE SYRUP</v>
      </c>
      <c r="I5" s="9">
        <f t="shared" si="1"/>
        <v>45712</v>
      </c>
      <c r="J5" s="1" t="str">
        <f t="shared" si="2"/>
        <v>2025-02</v>
      </c>
    </row>
    <row r="6" spans="1:10" x14ac:dyDescent="0.2">
      <c r="A6" s="2">
        <v>4</v>
      </c>
      <c r="B6" s="1" t="s">
        <v>8</v>
      </c>
      <c r="C6" s="1">
        <v>39000965848</v>
      </c>
      <c r="D6" s="1" t="s">
        <v>58</v>
      </c>
      <c r="E6" s="1" t="s">
        <v>59</v>
      </c>
      <c r="F6" s="1">
        <v>1</v>
      </c>
      <c r="G6" s="1" t="s">
        <v>82</v>
      </c>
      <c r="H6" s="1" t="str">
        <f t="shared" si="0"/>
        <v>BLUEBERRY SMOOTHIE</v>
      </c>
      <c r="I6" s="9">
        <f t="shared" si="1"/>
        <v>45706</v>
      </c>
      <c r="J6" s="1" t="str">
        <f t="shared" si="2"/>
        <v>2025-02</v>
      </c>
    </row>
    <row r="7" spans="1:10" x14ac:dyDescent="0.2">
      <c r="A7" s="2">
        <v>5</v>
      </c>
      <c r="B7" s="1" t="s">
        <v>6</v>
      </c>
      <c r="C7" s="1">
        <v>39000200135</v>
      </c>
      <c r="D7" s="1" t="s">
        <v>60</v>
      </c>
      <c r="E7" s="1" t="s">
        <v>61</v>
      </c>
      <c r="F7" s="1">
        <v>2</v>
      </c>
      <c r="G7" s="1" t="s">
        <v>83</v>
      </c>
      <c r="H7" s="1" t="str">
        <f t="shared" si="0"/>
        <v>SPICY MEATBALL</v>
      </c>
      <c r="I7" s="9">
        <f t="shared" si="1"/>
        <v>45720</v>
      </c>
      <c r="J7" s="1" t="str">
        <f t="shared" si="2"/>
        <v>2025-03</v>
      </c>
    </row>
    <row r="8" spans="1:10" x14ac:dyDescent="0.2">
      <c r="A8" s="2">
        <v>6</v>
      </c>
      <c r="B8" s="1" t="s">
        <v>9</v>
      </c>
      <c r="C8" s="1">
        <v>39000270530</v>
      </c>
      <c r="D8" s="1" t="s">
        <v>62</v>
      </c>
      <c r="E8" s="1" t="s">
        <v>63</v>
      </c>
      <c r="F8" s="1">
        <v>1</v>
      </c>
      <c r="G8" s="1" t="s">
        <v>84</v>
      </c>
      <c r="H8" s="1" t="str">
        <f t="shared" si="0"/>
        <v>SF ICE CREAM</v>
      </c>
      <c r="I8" s="9">
        <f t="shared" si="1"/>
        <v>45687</v>
      </c>
      <c r="J8" s="1" t="str">
        <f t="shared" si="2"/>
        <v>2025-01</v>
      </c>
    </row>
    <row r="9" spans="1:10" x14ac:dyDescent="0.2">
      <c r="A9" s="2">
        <v>7</v>
      </c>
      <c r="B9" s="1" t="s">
        <v>7</v>
      </c>
      <c r="C9" s="1">
        <v>39000086008</v>
      </c>
      <c r="D9" s="1" t="s">
        <v>64</v>
      </c>
      <c r="E9" s="1" t="s">
        <v>65</v>
      </c>
      <c r="F9" s="1">
        <v>1</v>
      </c>
      <c r="G9" s="1" t="s">
        <v>85</v>
      </c>
      <c r="H9" s="1" t="str">
        <f t="shared" si="0"/>
        <v>SF MAPLE SYRUP</v>
      </c>
      <c r="I9" s="9">
        <f t="shared" si="1"/>
        <v>45712</v>
      </c>
      <c r="J9" s="1" t="str">
        <f t="shared" si="2"/>
        <v>2025-02</v>
      </c>
    </row>
    <row r="10" spans="1:10" x14ac:dyDescent="0.2">
      <c r="A10" s="2">
        <v>8</v>
      </c>
      <c r="B10" s="1" t="s">
        <v>10</v>
      </c>
      <c r="C10" s="1">
        <v>39000338741</v>
      </c>
      <c r="D10" s="1" t="s">
        <v>66</v>
      </c>
      <c r="E10" s="1" t="s">
        <v>67</v>
      </c>
      <c r="F10" s="1">
        <v>1</v>
      </c>
      <c r="G10" s="1" t="s">
        <v>86</v>
      </c>
      <c r="H10" s="1" t="str">
        <f t="shared" si="0"/>
        <v>DIET COOKIE</v>
      </c>
      <c r="I10" s="9">
        <f t="shared" si="1"/>
        <v>45679</v>
      </c>
      <c r="J10" s="1" t="str">
        <f t="shared" si="2"/>
        <v>2025-01</v>
      </c>
    </row>
    <row r="11" spans="1:10" x14ac:dyDescent="0.2">
      <c r="A11" s="2">
        <v>9</v>
      </c>
      <c r="B11" s="1" t="s">
        <v>11</v>
      </c>
      <c r="C11" s="1">
        <v>39000338247</v>
      </c>
      <c r="D11" s="1" t="s">
        <v>66</v>
      </c>
      <c r="E11" s="1" t="s">
        <v>67</v>
      </c>
      <c r="F11" s="1">
        <v>2</v>
      </c>
      <c r="G11" s="1" t="s">
        <v>87</v>
      </c>
      <c r="H11" s="1" t="str">
        <f t="shared" si="0"/>
        <v>DIET COOKIE</v>
      </c>
      <c r="I11" s="9">
        <f t="shared" si="1"/>
        <v>45705</v>
      </c>
      <c r="J11" s="1" t="str">
        <f t="shared" si="2"/>
        <v>2025-02</v>
      </c>
    </row>
    <row r="12" spans="1:10" x14ac:dyDescent="0.2">
      <c r="A12" s="2">
        <v>10</v>
      </c>
      <c r="B12" s="1" t="s">
        <v>12</v>
      </c>
      <c r="C12" s="1">
        <v>39001721837</v>
      </c>
      <c r="D12" s="1" t="s">
        <v>64</v>
      </c>
      <c r="E12" s="1" t="s">
        <v>65</v>
      </c>
      <c r="F12" s="1">
        <v>1</v>
      </c>
      <c r="G12" s="1" t="s">
        <v>78</v>
      </c>
      <c r="H12" s="1" t="str">
        <f t="shared" si="0"/>
        <v>PICKLE JUICE</v>
      </c>
      <c r="I12" s="9">
        <f t="shared" si="1"/>
        <v>45659</v>
      </c>
      <c r="J12" s="1" t="str">
        <f t="shared" si="2"/>
        <v>2025-01</v>
      </c>
    </row>
    <row r="13" spans="1:10" x14ac:dyDescent="0.2">
      <c r="A13" s="2">
        <v>11</v>
      </c>
      <c r="B13" s="1" t="s">
        <v>13</v>
      </c>
      <c r="C13" s="1">
        <v>39000593008</v>
      </c>
      <c r="D13" s="1" t="s">
        <v>54</v>
      </c>
      <c r="E13" s="1" t="s">
        <v>55</v>
      </c>
      <c r="F13" s="1">
        <v>1</v>
      </c>
      <c r="G13" s="1" t="s">
        <v>79</v>
      </c>
      <c r="H13" s="1" t="str">
        <f t="shared" si="0"/>
        <v>DIET SODA</v>
      </c>
      <c r="I13" s="9">
        <f t="shared" si="1"/>
        <v>45664</v>
      </c>
      <c r="J13" s="1" t="str">
        <f t="shared" si="2"/>
        <v>2025-01</v>
      </c>
    </row>
    <row r="14" spans="1:10" x14ac:dyDescent="0.2">
      <c r="A14" s="2">
        <v>12</v>
      </c>
      <c r="B14" s="1" t="s">
        <v>14</v>
      </c>
      <c r="C14" s="1">
        <v>39000661479</v>
      </c>
      <c r="D14" s="1" t="s">
        <v>68</v>
      </c>
      <c r="E14" s="1" t="s">
        <v>68</v>
      </c>
      <c r="F14" s="1">
        <v>3</v>
      </c>
      <c r="G14" s="1" t="s">
        <v>88</v>
      </c>
      <c r="H14" s="1" t="str">
        <f t="shared" si="0"/>
        <v>SPICY MEATBALL</v>
      </c>
      <c r="I14" s="9">
        <f t="shared" si="1"/>
        <v>45694</v>
      </c>
      <c r="J14" s="1" t="str">
        <f t="shared" si="2"/>
        <v>2025-02</v>
      </c>
    </row>
    <row r="15" spans="1:10" x14ac:dyDescent="0.2">
      <c r="A15" s="2">
        <v>13</v>
      </c>
      <c r="B15" s="1" t="s">
        <v>15</v>
      </c>
      <c r="C15" s="1">
        <v>39000588380</v>
      </c>
      <c r="D15" s="1" t="s">
        <v>54</v>
      </c>
      <c r="E15" s="1" t="s">
        <v>55</v>
      </c>
      <c r="F15" s="1">
        <v>1</v>
      </c>
      <c r="G15" s="1" t="s">
        <v>89</v>
      </c>
      <c r="H15" s="1" t="str">
        <f t="shared" si="0"/>
        <v>WASABI BANANA PUDDING</v>
      </c>
      <c r="I15" s="9">
        <f t="shared" si="1"/>
        <v>45713</v>
      </c>
      <c r="J15" s="1" t="str">
        <f t="shared" si="2"/>
        <v>2025-02</v>
      </c>
    </row>
    <row r="16" spans="1:10" x14ac:dyDescent="0.2">
      <c r="A16" s="2">
        <v>14</v>
      </c>
      <c r="B16" s="1" t="s">
        <v>16</v>
      </c>
      <c r="C16" s="1">
        <v>39000589030</v>
      </c>
      <c r="D16" s="1" t="s">
        <v>54</v>
      </c>
      <c r="E16" s="1" t="s">
        <v>55</v>
      </c>
      <c r="F16" s="1">
        <v>1</v>
      </c>
      <c r="G16" s="1" t="s">
        <v>90</v>
      </c>
      <c r="H16" s="1" t="str">
        <f t="shared" si="0"/>
        <v>SPICY MEATBALL</v>
      </c>
      <c r="I16" s="9">
        <f t="shared" si="1"/>
        <v>45663</v>
      </c>
      <c r="J16" s="1" t="str">
        <f t="shared" si="2"/>
        <v>2025-01</v>
      </c>
    </row>
    <row r="17" spans="1:10" x14ac:dyDescent="0.2">
      <c r="A17" s="2">
        <v>15</v>
      </c>
      <c r="B17" s="1" t="s">
        <v>5</v>
      </c>
      <c r="C17" s="1">
        <v>39000227929</v>
      </c>
      <c r="D17" s="1" t="s">
        <v>60</v>
      </c>
      <c r="E17" s="1" t="s">
        <v>61</v>
      </c>
      <c r="F17" s="1">
        <v>1</v>
      </c>
      <c r="G17" s="1" t="s">
        <v>86</v>
      </c>
      <c r="H17" s="1" t="str">
        <f t="shared" si="0"/>
        <v>DIET COOKIE</v>
      </c>
      <c r="I17" s="9">
        <f t="shared" si="1"/>
        <v>45674</v>
      </c>
      <c r="J17" s="1" t="str">
        <f t="shared" si="2"/>
        <v>2025-01</v>
      </c>
    </row>
    <row r="18" spans="1:10" x14ac:dyDescent="0.2">
      <c r="A18" s="2">
        <v>16</v>
      </c>
      <c r="B18" s="1" t="s">
        <v>12</v>
      </c>
      <c r="C18" s="1">
        <v>39000214487</v>
      </c>
      <c r="D18" s="1" t="s">
        <v>69</v>
      </c>
      <c r="E18" s="1" t="s">
        <v>61</v>
      </c>
      <c r="F18" s="1">
        <v>2</v>
      </c>
      <c r="G18" s="1" t="s">
        <v>91</v>
      </c>
      <c r="H18" s="1" t="str">
        <f t="shared" si="0"/>
        <v>DIET</v>
      </c>
      <c r="I18" s="9">
        <f t="shared" si="1"/>
        <v>45659</v>
      </c>
      <c r="J18" s="1" t="str">
        <f t="shared" si="2"/>
        <v>2025-01</v>
      </c>
    </row>
    <row r="19" spans="1:10" x14ac:dyDescent="0.2">
      <c r="A19" s="2">
        <v>17</v>
      </c>
      <c r="B19" s="1" t="s">
        <v>17</v>
      </c>
      <c r="C19" s="1">
        <v>39000233038</v>
      </c>
      <c r="D19" s="1" t="s">
        <v>60</v>
      </c>
      <c r="E19" s="1" t="s">
        <v>61</v>
      </c>
      <c r="F19" s="1">
        <v>1</v>
      </c>
      <c r="G19" s="1" t="s">
        <v>92</v>
      </c>
      <c r="H19" s="1" t="str">
        <f t="shared" si="0"/>
        <v>DIET COOKIE</v>
      </c>
      <c r="I19" s="9">
        <f t="shared" si="1"/>
        <v>45708</v>
      </c>
      <c r="J19" s="1" t="str">
        <f t="shared" si="2"/>
        <v>2025-02</v>
      </c>
    </row>
    <row r="20" spans="1:10" x14ac:dyDescent="0.2">
      <c r="A20" s="2">
        <v>18</v>
      </c>
      <c r="B20" s="1" t="s">
        <v>18</v>
      </c>
      <c r="C20" s="1">
        <v>39000659945</v>
      </c>
      <c r="D20" s="1" t="s">
        <v>68</v>
      </c>
      <c r="E20" s="1" t="s">
        <v>68</v>
      </c>
      <c r="F20" s="1">
        <v>1</v>
      </c>
      <c r="G20" s="1" t="s">
        <v>79</v>
      </c>
      <c r="H20" s="1" t="str">
        <f t="shared" si="0"/>
        <v>DIET SODA</v>
      </c>
      <c r="I20" s="9">
        <f t="shared" si="1"/>
        <v>45678</v>
      </c>
      <c r="J20" s="1" t="str">
        <f t="shared" si="2"/>
        <v>2025-01</v>
      </c>
    </row>
    <row r="21" spans="1:10" x14ac:dyDescent="0.2">
      <c r="A21" s="2">
        <v>19</v>
      </c>
      <c r="B21" s="1" t="s">
        <v>19</v>
      </c>
      <c r="C21" s="1">
        <v>39000343330</v>
      </c>
      <c r="D21" s="1" t="s">
        <v>66</v>
      </c>
      <c r="E21" s="1" t="s">
        <v>67</v>
      </c>
      <c r="F21" s="1">
        <v>1</v>
      </c>
      <c r="G21" s="1" t="s">
        <v>80</v>
      </c>
      <c r="H21" s="1" t="str">
        <f t="shared" si="0"/>
        <v>SF SUSHI ROLL</v>
      </c>
      <c r="I21" s="9">
        <f t="shared" si="1"/>
        <v>45722</v>
      </c>
      <c r="J21" s="1" t="str">
        <f t="shared" si="2"/>
        <v>2025-03</v>
      </c>
    </row>
    <row r="22" spans="1:10" x14ac:dyDescent="0.2">
      <c r="A22" s="2">
        <v>20</v>
      </c>
      <c r="B22" s="1" t="s">
        <v>20</v>
      </c>
      <c r="C22" s="1">
        <v>39000667238</v>
      </c>
      <c r="D22" s="1" t="s">
        <v>68</v>
      </c>
      <c r="E22" s="1" t="s">
        <v>68</v>
      </c>
      <c r="F22" s="1">
        <v>1</v>
      </c>
      <c r="G22" s="1" t="s">
        <v>93</v>
      </c>
      <c r="H22" s="1" t="str">
        <f t="shared" si="0"/>
        <v>SUSHI ROLL</v>
      </c>
      <c r="I22" s="9">
        <f t="shared" si="1"/>
        <v>45688</v>
      </c>
      <c r="J22" s="1" t="str">
        <f t="shared" si="2"/>
        <v>2025-01</v>
      </c>
    </row>
    <row r="23" spans="1:10" x14ac:dyDescent="0.2">
      <c r="A23" s="2">
        <v>21</v>
      </c>
      <c r="B23" s="1" t="s">
        <v>21</v>
      </c>
      <c r="C23" s="1">
        <v>39000957619</v>
      </c>
      <c r="D23" s="1" t="s">
        <v>58</v>
      </c>
      <c r="E23" s="1" t="s">
        <v>59</v>
      </c>
      <c r="F23" s="1">
        <v>1</v>
      </c>
      <c r="G23" s="1" t="s">
        <v>94</v>
      </c>
      <c r="H23" s="1" t="str">
        <f t="shared" si="0"/>
        <v>DIET COOKIE</v>
      </c>
      <c r="I23" s="9">
        <f t="shared" si="1"/>
        <v>45699</v>
      </c>
      <c r="J23" s="1" t="str">
        <f t="shared" si="2"/>
        <v>2025-02</v>
      </c>
    </row>
    <row r="24" spans="1:10" x14ac:dyDescent="0.2">
      <c r="A24" s="2">
        <v>22</v>
      </c>
      <c r="B24" s="1" t="s">
        <v>22</v>
      </c>
      <c r="C24" s="1">
        <v>39000658580</v>
      </c>
      <c r="D24" s="1" t="s">
        <v>68</v>
      </c>
      <c r="E24" s="1" t="s">
        <v>68</v>
      </c>
      <c r="F24" s="1">
        <v>2</v>
      </c>
      <c r="G24" s="1" t="s">
        <v>95</v>
      </c>
      <c r="H24" s="1" t="str">
        <f t="shared" si="0"/>
        <v>LEMONADE</v>
      </c>
      <c r="I24" s="9">
        <f t="shared" si="1"/>
        <v>45721</v>
      </c>
      <c r="J24" s="1" t="str">
        <f t="shared" si="2"/>
        <v>2025-03</v>
      </c>
    </row>
    <row r="25" spans="1:10" x14ac:dyDescent="0.2">
      <c r="A25" s="2">
        <v>23</v>
      </c>
      <c r="B25" s="1" t="s">
        <v>23</v>
      </c>
      <c r="C25" s="1">
        <v>39000338312</v>
      </c>
      <c r="D25" s="1" t="s">
        <v>66</v>
      </c>
      <c r="E25" s="1" t="s">
        <v>67</v>
      </c>
      <c r="F25" s="1">
        <v>1</v>
      </c>
      <c r="G25" s="1" t="s">
        <v>96</v>
      </c>
      <c r="H25" s="1" t="str">
        <f t="shared" si="0"/>
        <v>SPICY MEATBALL</v>
      </c>
      <c r="I25" s="9">
        <f t="shared" si="1"/>
        <v>45715</v>
      </c>
      <c r="J25" s="1" t="str">
        <f t="shared" si="2"/>
        <v>2025-02</v>
      </c>
    </row>
    <row r="26" spans="1:10" x14ac:dyDescent="0.2">
      <c r="A26" s="2">
        <v>24</v>
      </c>
      <c r="B26" s="1" t="s">
        <v>24</v>
      </c>
      <c r="C26" s="1">
        <v>39000220194</v>
      </c>
      <c r="D26" s="1" t="s">
        <v>60</v>
      </c>
      <c r="E26" s="1" t="s">
        <v>61</v>
      </c>
      <c r="F26" s="1">
        <v>1</v>
      </c>
      <c r="G26" s="1" t="s">
        <v>97</v>
      </c>
      <c r="H26" s="1" t="str">
        <f t="shared" si="0"/>
        <v>MAPLE SYRUP</v>
      </c>
      <c r="I26" s="9">
        <f t="shared" si="1"/>
        <v>45726</v>
      </c>
      <c r="J26" s="1" t="str">
        <f t="shared" si="2"/>
        <v>2025-03</v>
      </c>
    </row>
    <row r="27" spans="1:10" x14ac:dyDescent="0.2">
      <c r="A27" s="2">
        <v>25</v>
      </c>
      <c r="B27" s="1" t="s">
        <v>25</v>
      </c>
      <c r="C27" s="1">
        <v>39000343408</v>
      </c>
      <c r="D27" s="1" t="s">
        <v>66</v>
      </c>
      <c r="E27" s="1" t="s">
        <v>67</v>
      </c>
      <c r="F27" s="1">
        <v>2</v>
      </c>
      <c r="G27" s="1" t="s">
        <v>88</v>
      </c>
      <c r="H27" s="1" t="str">
        <f t="shared" si="0"/>
        <v>SPICY MEATBALL</v>
      </c>
      <c r="I27" s="9">
        <f t="shared" si="1"/>
        <v>45702</v>
      </c>
      <c r="J27" s="1" t="str">
        <f t="shared" si="2"/>
        <v>2025-02</v>
      </c>
    </row>
    <row r="28" spans="1:10" x14ac:dyDescent="0.2">
      <c r="A28" s="2">
        <v>26</v>
      </c>
      <c r="B28" s="1" t="s">
        <v>26</v>
      </c>
      <c r="C28" s="1">
        <v>39000196846</v>
      </c>
      <c r="D28" s="1" t="s">
        <v>60</v>
      </c>
      <c r="E28" s="1" t="s">
        <v>61</v>
      </c>
      <c r="F28" s="1">
        <v>1</v>
      </c>
      <c r="G28" s="1" t="s">
        <v>98</v>
      </c>
      <c r="H28" s="1" t="str">
        <f t="shared" si="0"/>
        <v>COCONUT MILK</v>
      </c>
      <c r="I28" s="9">
        <f t="shared" si="1"/>
        <v>45707</v>
      </c>
      <c r="J28" s="1" t="str">
        <f t="shared" si="2"/>
        <v>2025-02</v>
      </c>
    </row>
    <row r="29" spans="1:10" x14ac:dyDescent="0.2">
      <c r="A29" s="2">
        <v>27</v>
      </c>
      <c r="B29" s="1" t="s">
        <v>14</v>
      </c>
      <c r="C29" s="1">
        <v>39000197990</v>
      </c>
      <c r="D29" s="1" t="s">
        <v>69</v>
      </c>
      <c r="E29" s="1" t="s">
        <v>61</v>
      </c>
      <c r="F29" s="1">
        <v>1</v>
      </c>
      <c r="G29" s="1" t="s">
        <v>89</v>
      </c>
      <c r="H29" s="1" t="str">
        <f t="shared" si="0"/>
        <v>WASABI BANANA PUDDING</v>
      </c>
      <c r="I29" s="9">
        <f t="shared" si="1"/>
        <v>45694</v>
      </c>
      <c r="J29" s="1" t="str">
        <f t="shared" si="2"/>
        <v>2025-02</v>
      </c>
    </row>
    <row r="30" spans="1:10" x14ac:dyDescent="0.2">
      <c r="A30" s="2">
        <v>28</v>
      </c>
      <c r="B30" s="1" t="s">
        <v>23</v>
      </c>
      <c r="C30" s="1">
        <v>39000337753</v>
      </c>
      <c r="D30" s="1" t="s">
        <v>66</v>
      </c>
      <c r="E30" s="1" t="s">
        <v>67</v>
      </c>
      <c r="F30" s="1">
        <v>1</v>
      </c>
      <c r="G30" s="1" t="s">
        <v>99</v>
      </c>
      <c r="H30" s="1" t="str">
        <f t="shared" si="0"/>
        <v>KETCHUP</v>
      </c>
      <c r="I30" s="9">
        <f t="shared" si="1"/>
        <v>45715</v>
      </c>
      <c r="J30" s="1" t="str">
        <f t="shared" si="2"/>
        <v>2025-02</v>
      </c>
    </row>
    <row r="31" spans="1:10" x14ac:dyDescent="0.2">
      <c r="A31" s="2">
        <v>29</v>
      </c>
      <c r="B31" s="1" t="s">
        <v>4</v>
      </c>
      <c r="C31" s="1">
        <v>39001725984</v>
      </c>
      <c r="D31" s="1" t="s">
        <v>70</v>
      </c>
      <c r="E31" s="1" t="s">
        <v>71</v>
      </c>
      <c r="F31" s="1">
        <v>1</v>
      </c>
      <c r="G31" s="1" t="s">
        <v>99</v>
      </c>
      <c r="H31" s="1" t="str">
        <f t="shared" si="0"/>
        <v>KETCHUP</v>
      </c>
      <c r="I31" s="9">
        <f t="shared" si="1"/>
        <v>45686</v>
      </c>
      <c r="J31" s="1" t="str">
        <f t="shared" si="2"/>
        <v>2025-01</v>
      </c>
    </row>
    <row r="32" spans="1:10" x14ac:dyDescent="0.2">
      <c r="A32" s="2">
        <v>30</v>
      </c>
      <c r="B32" s="1" t="s">
        <v>27</v>
      </c>
      <c r="C32" s="1">
        <v>39001434927</v>
      </c>
      <c r="D32" s="1" t="s">
        <v>70</v>
      </c>
      <c r="E32" s="1" t="s">
        <v>71</v>
      </c>
      <c r="F32" s="1">
        <v>2</v>
      </c>
      <c r="G32" s="1" t="s">
        <v>100</v>
      </c>
      <c r="H32" s="1" t="str">
        <f t="shared" si="0"/>
        <v>SPICY MEATBALL</v>
      </c>
      <c r="I32" s="9">
        <f t="shared" si="1"/>
        <v>45709</v>
      </c>
      <c r="J32" s="1" t="str">
        <f t="shared" si="2"/>
        <v>2025-02</v>
      </c>
    </row>
    <row r="33" spans="1:10" x14ac:dyDescent="0.2">
      <c r="A33" s="2">
        <v>31</v>
      </c>
      <c r="B33" s="1" t="s">
        <v>15</v>
      </c>
      <c r="C33" s="1">
        <v>39000594919</v>
      </c>
      <c r="D33" s="1" t="s">
        <v>54</v>
      </c>
      <c r="E33" s="1" t="s">
        <v>55</v>
      </c>
      <c r="F33" s="1">
        <v>1</v>
      </c>
      <c r="G33" s="1" t="s">
        <v>83</v>
      </c>
      <c r="H33" s="1" t="str">
        <f t="shared" si="0"/>
        <v>SPICY MEATBALL</v>
      </c>
      <c r="I33" s="9">
        <f t="shared" si="1"/>
        <v>45713</v>
      </c>
      <c r="J33" s="1" t="str">
        <f t="shared" si="2"/>
        <v>2025-02</v>
      </c>
    </row>
    <row r="34" spans="1:10" x14ac:dyDescent="0.2">
      <c r="A34" s="2">
        <v>32</v>
      </c>
      <c r="B34" s="1" t="s">
        <v>21</v>
      </c>
      <c r="C34" s="1">
        <v>39000217126</v>
      </c>
      <c r="D34" s="1" t="s">
        <v>60</v>
      </c>
      <c r="E34" s="1" t="s">
        <v>61</v>
      </c>
      <c r="F34" s="1">
        <v>1</v>
      </c>
      <c r="G34" s="1" t="s">
        <v>101</v>
      </c>
      <c r="H34" s="1" t="str">
        <f t="shared" si="0"/>
        <v>KETCHUP</v>
      </c>
      <c r="I34" s="9">
        <f t="shared" si="1"/>
        <v>45699</v>
      </c>
      <c r="J34" s="1" t="str">
        <f t="shared" si="2"/>
        <v>2025-02</v>
      </c>
    </row>
    <row r="35" spans="1:10" x14ac:dyDescent="0.2">
      <c r="A35" s="2">
        <v>33</v>
      </c>
      <c r="B35" s="1" t="s">
        <v>26</v>
      </c>
      <c r="C35" s="1">
        <v>39000336752</v>
      </c>
      <c r="D35" s="1" t="s">
        <v>66</v>
      </c>
      <c r="E35" s="1" t="s">
        <v>67</v>
      </c>
      <c r="F35" s="1">
        <v>1</v>
      </c>
      <c r="G35" s="1" t="s">
        <v>89</v>
      </c>
      <c r="H35" s="1" t="str">
        <f t="shared" si="0"/>
        <v>WASABI BANANA PUDDING</v>
      </c>
      <c r="I35" s="9">
        <f t="shared" si="1"/>
        <v>45707</v>
      </c>
      <c r="J35" s="1" t="str">
        <f t="shared" si="2"/>
        <v>2025-02</v>
      </c>
    </row>
    <row r="36" spans="1:10" x14ac:dyDescent="0.2">
      <c r="A36" s="2">
        <v>34</v>
      </c>
      <c r="B36" s="1" t="s">
        <v>28</v>
      </c>
      <c r="C36" s="1">
        <v>39000217074</v>
      </c>
      <c r="D36" s="1" t="s">
        <v>60</v>
      </c>
      <c r="E36" s="1" t="s">
        <v>61</v>
      </c>
      <c r="F36" s="1">
        <v>1</v>
      </c>
      <c r="G36" s="1" t="s">
        <v>102</v>
      </c>
      <c r="H36" s="1" t="str">
        <f t="shared" si="0"/>
        <v>SF KETCHUP</v>
      </c>
      <c r="I36" s="9">
        <f t="shared" si="1"/>
        <v>45719</v>
      </c>
      <c r="J36" s="1" t="str">
        <f t="shared" si="2"/>
        <v>2025-03</v>
      </c>
    </row>
    <row r="37" spans="1:10" x14ac:dyDescent="0.2">
      <c r="A37" s="2">
        <v>35</v>
      </c>
      <c r="B37" s="1" t="s">
        <v>29</v>
      </c>
      <c r="C37" s="1">
        <v>39001417039</v>
      </c>
      <c r="D37" s="1" t="s">
        <v>70</v>
      </c>
      <c r="E37" s="1" t="s">
        <v>71</v>
      </c>
      <c r="F37" s="1">
        <v>1</v>
      </c>
      <c r="G37" s="1" t="s">
        <v>103</v>
      </c>
      <c r="H37" s="1" t="str">
        <f t="shared" si="0"/>
        <v>COCONUT MILK</v>
      </c>
      <c r="I37" s="9">
        <f t="shared" si="1"/>
        <v>45660</v>
      </c>
      <c r="J37" s="1" t="str">
        <f t="shared" si="2"/>
        <v>2025-01</v>
      </c>
    </row>
    <row r="38" spans="1:10" x14ac:dyDescent="0.2">
      <c r="A38" s="2">
        <v>36</v>
      </c>
      <c r="B38" s="1" t="s">
        <v>7</v>
      </c>
      <c r="C38" s="1">
        <v>39000337532</v>
      </c>
      <c r="D38" s="1" t="s">
        <v>66</v>
      </c>
      <c r="E38" s="1" t="s">
        <v>67</v>
      </c>
      <c r="F38" s="1">
        <v>1</v>
      </c>
      <c r="G38" s="1" t="s">
        <v>104</v>
      </c>
      <c r="H38" s="1" t="str">
        <f t="shared" si="0"/>
        <v>SF STRAWBERRY MILKSHAKE</v>
      </c>
      <c r="I38" s="9">
        <f t="shared" si="1"/>
        <v>45712</v>
      </c>
      <c r="J38" s="1" t="str">
        <f t="shared" si="2"/>
        <v>2025-02</v>
      </c>
    </row>
    <row r="39" spans="1:10" x14ac:dyDescent="0.2">
      <c r="A39" s="2">
        <v>37</v>
      </c>
      <c r="B39" s="1" t="s">
        <v>30</v>
      </c>
      <c r="C39" s="1">
        <v>39001417507</v>
      </c>
      <c r="D39" s="1" t="s">
        <v>70</v>
      </c>
      <c r="E39" s="1" t="s">
        <v>71</v>
      </c>
      <c r="F39" s="1">
        <v>4</v>
      </c>
      <c r="G39" s="1" t="s">
        <v>88</v>
      </c>
      <c r="H39" s="1" t="str">
        <f t="shared" si="0"/>
        <v>SPICY MEATBALL</v>
      </c>
      <c r="I39" s="9">
        <f t="shared" si="1"/>
        <v>45716</v>
      </c>
      <c r="J39" s="1" t="str">
        <f t="shared" si="2"/>
        <v>2025-02</v>
      </c>
    </row>
    <row r="40" spans="1:10" x14ac:dyDescent="0.2">
      <c r="A40" s="2">
        <v>38</v>
      </c>
      <c r="B40" s="1" t="s">
        <v>31</v>
      </c>
      <c r="C40" s="1">
        <v>39000597025</v>
      </c>
      <c r="D40" s="1" t="s">
        <v>54</v>
      </c>
      <c r="E40" s="1" t="s">
        <v>55</v>
      </c>
      <c r="F40" s="1">
        <v>1</v>
      </c>
      <c r="G40" s="1" t="s">
        <v>105</v>
      </c>
      <c r="H40" s="1" t="str">
        <f t="shared" si="0"/>
        <v>SF SUSHI ROLL</v>
      </c>
      <c r="I40" s="9">
        <f t="shared" si="1"/>
        <v>45714</v>
      </c>
      <c r="J40" s="1" t="str">
        <f t="shared" si="2"/>
        <v>2025-02</v>
      </c>
    </row>
    <row r="41" spans="1:10" x14ac:dyDescent="0.2">
      <c r="A41" s="2">
        <v>39</v>
      </c>
      <c r="B41" s="1" t="s">
        <v>25</v>
      </c>
      <c r="C41" s="1">
        <v>39000234273</v>
      </c>
      <c r="D41" s="1" t="s">
        <v>60</v>
      </c>
      <c r="E41" s="1" t="s">
        <v>61</v>
      </c>
      <c r="F41" s="1">
        <v>1</v>
      </c>
      <c r="G41" s="1" t="s">
        <v>78</v>
      </c>
      <c r="H41" s="1" t="str">
        <f t="shared" si="0"/>
        <v>PICKLE JUICE</v>
      </c>
      <c r="I41" s="9">
        <f t="shared" si="1"/>
        <v>45702</v>
      </c>
      <c r="J41" s="1" t="str">
        <f t="shared" si="2"/>
        <v>2025-02</v>
      </c>
    </row>
    <row r="42" spans="1:10" x14ac:dyDescent="0.2">
      <c r="A42" s="2">
        <v>40</v>
      </c>
      <c r="B42" s="1" t="s">
        <v>32</v>
      </c>
      <c r="C42" s="1">
        <v>39001488136</v>
      </c>
      <c r="D42" s="1" t="s">
        <v>72</v>
      </c>
      <c r="E42" s="1" t="s">
        <v>73</v>
      </c>
      <c r="F42" s="1">
        <v>1</v>
      </c>
      <c r="G42" s="1" t="s">
        <v>79</v>
      </c>
      <c r="H42" s="1" t="str">
        <f t="shared" si="0"/>
        <v>DIET SODA</v>
      </c>
      <c r="I42" s="9">
        <f t="shared" si="1"/>
        <v>45695</v>
      </c>
      <c r="J42" s="1" t="str">
        <f t="shared" si="2"/>
        <v>2025-02</v>
      </c>
    </row>
    <row r="43" spans="1:10" x14ac:dyDescent="0.2">
      <c r="A43" s="2">
        <v>41</v>
      </c>
      <c r="B43" s="1" t="s">
        <v>33</v>
      </c>
      <c r="C43" s="1">
        <v>39000203164</v>
      </c>
      <c r="D43" s="1" t="s">
        <v>60</v>
      </c>
      <c r="E43" s="1" t="s">
        <v>61</v>
      </c>
      <c r="F43" s="1">
        <v>1</v>
      </c>
      <c r="G43" s="1" t="s">
        <v>92</v>
      </c>
      <c r="H43" s="1" t="str">
        <f t="shared" si="0"/>
        <v>DIET COOKIE</v>
      </c>
      <c r="I43" s="9">
        <f t="shared" si="1"/>
        <v>45672</v>
      </c>
      <c r="J43" s="1" t="str">
        <f t="shared" si="2"/>
        <v>2025-01</v>
      </c>
    </row>
    <row r="44" spans="1:10" x14ac:dyDescent="0.2">
      <c r="A44" s="2">
        <v>42</v>
      </c>
      <c r="B44" s="1" t="s">
        <v>34</v>
      </c>
      <c r="C44" s="1">
        <v>39000664963</v>
      </c>
      <c r="D44" s="1" t="s">
        <v>68</v>
      </c>
      <c r="E44" s="1" t="s">
        <v>68</v>
      </c>
      <c r="F44" s="1">
        <v>1</v>
      </c>
      <c r="G44" s="1" t="s">
        <v>106</v>
      </c>
      <c r="H44" s="1" t="str">
        <f t="shared" si="0"/>
        <v>STRAWBERRY MILKSHAKE</v>
      </c>
      <c r="I44" s="9">
        <f t="shared" si="1"/>
        <v>45698</v>
      </c>
      <c r="J44" s="1" t="str">
        <f t="shared" si="2"/>
        <v>2025-02</v>
      </c>
    </row>
    <row r="45" spans="1:10" x14ac:dyDescent="0.2">
      <c r="A45" s="2">
        <v>43</v>
      </c>
      <c r="B45" s="1" t="s">
        <v>21</v>
      </c>
      <c r="C45" s="1">
        <v>39000280943</v>
      </c>
      <c r="D45" s="1" t="s">
        <v>74</v>
      </c>
      <c r="E45" s="1" t="s">
        <v>63</v>
      </c>
      <c r="F45" s="1">
        <v>1</v>
      </c>
      <c r="G45" s="1" t="s">
        <v>92</v>
      </c>
      <c r="H45" s="1" t="str">
        <f t="shared" si="0"/>
        <v>DIET COOKIE</v>
      </c>
      <c r="I45" s="9">
        <f t="shared" si="1"/>
        <v>45699</v>
      </c>
      <c r="J45" s="1" t="str">
        <f t="shared" si="2"/>
        <v>2025-02</v>
      </c>
    </row>
    <row r="46" spans="1:10" x14ac:dyDescent="0.2">
      <c r="A46" s="2">
        <v>44</v>
      </c>
      <c r="B46" s="1" t="s">
        <v>35</v>
      </c>
      <c r="C46" s="1">
        <v>39001619709</v>
      </c>
      <c r="D46" s="1" t="s">
        <v>72</v>
      </c>
      <c r="E46" s="1" t="s">
        <v>73</v>
      </c>
      <c r="F46" s="1">
        <v>1</v>
      </c>
      <c r="G46" s="1" t="s">
        <v>79</v>
      </c>
      <c r="H46" s="1" t="str">
        <f t="shared" si="0"/>
        <v>DIET SODA</v>
      </c>
      <c r="I46" s="9">
        <f t="shared" si="1"/>
        <v>45693</v>
      </c>
      <c r="J46" s="1" t="str">
        <f t="shared" si="2"/>
        <v>2025-02</v>
      </c>
    </row>
    <row r="47" spans="1:10" x14ac:dyDescent="0.2">
      <c r="A47" s="2">
        <v>45</v>
      </c>
      <c r="B47" s="1" t="s">
        <v>6</v>
      </c>
      <c r="C47" s="1">
        <v>39000220714</v>
      </c>
      <c r="D47" s="1" t="s">
        <v>60</v>
      </c>
      <c r="E47" s="1" t="s">
        <v>61</v>
      </c>
      <c r="F47" s="1">
        <v>4</v>
      </c>
      <c r="G47" s="1" t="s">
        <v>107</v>
      </c>
      <c r="H47" s="1" t="str">
        <f t="shared" si="0"/>
        <v>LEMONADE</v>
      </c>
      <c r="I47" s="9">
        <f t="shared" si="1"/>
        <v>45720</v>
      </c>
      <c r="J47" s="1" t="str">
        <f t="shared" si="2"/>
        <v>2025-03</v>
      </c>
    </row>
    <row r="48" spans="1:10" x14ac:dyDescent="0.2">
      <c r="A48" s="2">
        <v>46</v>
      </c>
      <c r="B48" s="1" t="s">
        <v>16</v>
      </c>
      <c r="C48" s="1">
        <v>39001587833</v>
      </c>
      <c r="D48" s="1" t="s">
        <v>70</v>
      </c>
      <c r="E48" s="1" t="s">
        <v>71</v>
      </c>
      <c r="F48" s="1">
        <v>5</v>
      </c>
      <c r="G48" s="1" t="s">
        <v>88</v>
      </c>
      <c r="H48" s="1" t="str">
        <f t="shared" si="0"/>
        <v>SPICY MEATBALL</v>
      </c>
      <c r="I48" s="9">
        <f t="shared" si="1"/>
        <v>45663</v>
      </c>
      <c r="J48" s="1" t="str">
        <f t="shared" si="2"/>
        <v>2025-01</v>
      </c>
    </row>
    <row r="49" spans="1:10" x14ac:dyDescent="0.2">
      <c r="A49" s="2">
        <v>47</v>
      </c>
      <c r="B49" s="1" t="s">
        <v>24</v>
      </c>
      <c r="C49" s="1">
        <v>39000585429</v>
      </c>
      <c r="D49" s="1" t="s">
        <v>54</v>
      </c>
      <c r="E49" s="1" t="s">
        <v>55</v>
      </c>
      <c r="F49" s="1">
        <v>1</v>
      </c>
      <c r="G49" s="1" t="s">
        <v>108</v>
      </c>
      <c r="H49" s="1" t="str">
        <f t="shared" si="0"/>
        <v>SUSHI ROLL</v>
      </c>
      <c r="I49" s="9">
        <f t="shared" si="1"/>
        <v>45726</v>
      </c>
      <c r="J49" s="1" t="str">
        <f t="shared" si="2"/>
        <v>2025-03</v>
      </c>
    </row>
    <row r="50" spans="1:10" x14ac:dyDescent="0.2">
      <c r="A50" s="2">
        <v>48</v>
      </c>
      <c r="B50" s="1" t="s">
        <v>36</v>
      </c>
      <c r="C50" s="1">
        <v>39002665507</v>
      </c>
      <c r="D50" s="1" t="s">
        <v>74</v>
      </c>
      <c r="E50" s="1" t="s">
        <v>63</v>
      </c>
      <c r="F50" s="1">
        <v>1</v>
      </c>
      <c r="G50" s="1" t="s">
        <v>108</v>
      </c>
      <c r="H50" s="1" t="str">
        <f t="shared" si="0"/>
        <v>SUSHI ROLL</v>
      </c>
      <c r="I50" s="9">
        <f t="shared" si="1"/>
        <v>45680</v>
      </c>
      <c r="J50" s="1" t="str">
        <f t="shared" si="2"/>
        <v>2025-01</v>
      </c>
    </row>
    <row r="51" spans="1:10" x14ac:dyDescent="0.2">
      <c r="A51" s="2">
        <v>49</v>
      </c>
      <c r="B51" s="1" t="s">
        <v>37</v>
      </c>
      <c r="C51" s="1">
        <v>39000585663</v>
      </c>
      <c r="D51" s="1" t="s">
        <v>54</v>
      </c>
      <c r="E51" s="1" t="s">
        <v>55</v>
      </c>
      <c r="F51" s="1">
        <v>-8.3000000000000004E-2</v>
      </c>
      <c r="G51" s="1" t="s">
        <v>90</v>
      </c>
      <c r="H51" s="1" t="str">
        <f t="shared" si="0"/>
        <v>SPICY MEATBALL</v>
      </c>
      <c r="I51" s="9">
        <f t="shared" si="1"/>
        <v>45723</v>
      </c>
      <c r="J51" s="1" t="str">
        <f t="shared" si="2"/>
        <v>2025-03</v>
      </c>
    </row>
    <row r="52" spans="1:10" x14ac:dyDescent="0.2">
      <c r="A52" s="2">
        <v>50</v>
      </c>
      <c r="B52" s="1" t="s">
        <v>17</v>
      </c>
      <c r="C52" s="1">
        <v>39001542060</v>
      </c>
      <c r="D52" s="1" t="s">
        <v>70</v>
      </c>
      <c r="E52" s="1" t="s">
        <v>71</v>
      </c>
      <c r="F52" s="1">
        <v>2</v>
      </c>
      <c r="G52" s="1" t="s">
        <v>79</v>
      </c>
      <c r="H52" s="1" t="str">
        <f t="shared" si="0"/>
        <v>DIET SODA</v>
      </c>
      <c r="I52" s="9">
        <f t="shared" si="1"/>
        <v>45708</v>
      </c>
      <c r="J52" s="1" t="str">
        <f t="shared" si="2"/>
        <v>2025-02</v>
      </c>
    </row>
    <row r="53" spans="1:10" x14ac:dyDescent="0.2">
      <c r="A53" s="2">
        <v>51</v>
      </c>
      <c r="B53" s="1" t="s">
        <v>27</v>
      </c>
      <c r="C53" s="1">
        <v>39000592072</v>
      </c>
      <c r="D53" s="1" t="s">
        <v>54</v>
      </c>
      <c r="E53" s="1" t="s">
        <v>55</v>
      </c>
      <c r="F53" s="1">
        <v>1</v>
      </c>
      <c r="G53" s="1" t="s">
        <v>99</v>
      </c>
      <c r="H53" s="1" t="str">
        <f t="shared" si="0"/>
        <v>KETCHUP</v>
      </c>
      <c r="I53" s="9">
        <f t="shared" si="1"/>
        <v>45709</v>
      </c>
      <c r="J53" s="1" t="str">
        <f t="shared" si="2"/>
        <v>2025-02</v>
      </c>
    </row>
    <row r="54" spans="1:10" x14ac:dyDescent="0.2">
      <c r="A54" s="2">
        <v>52</v>
      </c>
      <c r="B54" s="1" t="s">
        <v>33</v>
      </c>
      <c r="C54" s="1">
        <v>39000233207</v>
      </c>
      <c r="D54" s="1" t="s">
        <v>60</v>
      </c>
      <c r="E54" s="1" t="s">
        <v>61</v>
      </c>
      <c r="F54" s="1">
        <v>1</v>
      </c>
      <c r="G54" s="1" t="s">
        <v>109</v>
      </c>
      <c r="H54" s="1" t="str">
        <f t="shared" si="0"/>
        <v>PEACH COBBLER</v>
      </c>
      <c r="I54" s="9">
        <f t="shared" si="1"/>
        <v>45672</v>
      </c>
      <c r="J54" s="1" t="str">
        <f t="shared" si="2"/>
        <v>2025-01</v>
      </c>
    </row>
    <row r="55" spans="1:10" x14ac:dyDescent="0.2">
      <c r="A55" s="2">
        <v>53</v>
      </c>
      <c r="B55" s="1" t="s">
        <v>31</v>
      </c>
      <c r="C55" s="1">
        <v>39001549574</v>
      </c>
      <c r="D55" s="1" t="s">
        <v>70</v>
      </c>
      <c r="E55" s="1" t="s">
        <v>71</v>
      </c>
      <c r="F55" s="1">
        <v>1</v>
      </c>
      <c r="G55" s="1" t="s">
        <v>110</v>
      </c>
      <c r="H55" s="1" t="str">
        <f t="shared" si="0"/>
        <v>DIET COOKIE</v>
      </c>
      <c r="I55" s="9">
        <f t="shared" si="1"/>
        <v>45714</v>
      </c>
      <c r="J55" s="1" t="str">
        <f t="shared" si="2"/>
        <v>2025-02</v>
      </c>
    </row>
    <row r="56" spans="1:10" x14ac:dyDescent="0.2">
      <c r="A56" s="2">
        <v>54</v>
      </c>
      <c r="B56" s="1" t="s">
        <v>13</v>
      </c>
      <c r="C56" s="1">
        <v>39001434849</v>
      </c>
      <c r="D56" s="1" t="s">
        <v>70</v>
      </c>
      <c r="E56" s="1" t="s">
        <v>71</v>
      </c>
      <c r="F56" s="1">
        <v>2</v>
      </c>
      <c r="G56" s="1" t="s">
        <v>100</v>
      </c>
      <c r="H56" s="1" t="str">
        <f t="shared" si="0"/>
        <v>SPICY MEATBALL</v>
      </c>
      <c r="I56" s="9">
        <f t="shared" si="1"/>
        <v>45664</v>
      </c>
      <c r="J56" s="1" t="str">
        <f t="shared" si="2"/>
        <v>2025-01</v>
      </c>
    </row>
    <row r="57" spans="1:10" x14ac:dyDescent="0.2">
      <c r="A57" s="2">
        <v>55</v>
      </c>
      <c r="B57" s="1" t="s">
        <v>11</v>
      </c>
      <c r="C57" s="1">
        <v>39002246933</v>
      </c>
      <c r="D57" s="1" t="s">
        <v>56</v>
      </c>
      <c r="E57" s="1" t="s">
        <v>57</v>
      </c>
      <c r="F57" s="1">
        <v>1</v>
      </c>
      <c r="G57" s="1" t="s">
        <v>99</v>
      </c>
      <c r="H57" s="1" t="str">
        <f t="shared" si="0"/>
        <v>KETCHUP</v>
      </c>
      <c r="I57" s="9">
        <f t="shared" si="1"/>
        <v>45705</v>
      </c>
      <c r="J57" s="1" t="str">
        <f t="shared" si="2"/>
        <v>2025-02</v>
      </c>
    </row>
    <row r="58" spans="1:10" x14ac:dyDescent="0.2">
      <c r="A58" s="2">
        <v>56</v>
      </c>
      <c r="B58" s="1" t="s">
        <v>10</v>
      </c>
      <c r="C58" s="1">
        <v>39001713088</v>
      </c>
      <c r="D58" s="1" t="s">
        <v>64</v>
      </c>
      <c r="E58" s="1" t="s">
        <v>65</v>
      </c>
      <c r="F58" s="1">
        <v>1</v>
      </c>
      <c r="G58" s="1" t="s">
        <v>111</v>
      </c>
      <c r="H58" s="1" t="str">
        <f t="shared" si="0"/>
        <v>MAPLE SYRUP</v>
      </c>
      <c r="I58" s="9">
        <f t="shared" si="1"/>
        <v>45679</v>
      </c>
      <c r="J58" s="1" t="str">
        <f t="shared" si="2"/>
        <v>2025-01</v>
      </c>
    </row>
    <row r="59" spans="1:10" x14ac:dyDescent="0.2">
      <c r="A59" s="2">
        <v>57</v>
      </c>
      <c r="B59" s="1" t="s">
        <v>38</v>
      </c>
      <c r="C59" s="1">
        <v>39000661856</v>
      </c>
      <c r="D59" s="1" t="s">
        <v>68</v>
      </c>
      <c r="E59" s="1" t="s">
        <v>68</v>
      </c>
      <c r="F59" s="1">
        <v>-3</v>
      </c>
      <c r="G59" s="1" t="s">
        <v>92</v>
      </c>
      <c r="H59" s="1" t="str">
        <f t="shared" si="0"/>
        <v>DIET COOKIE</v>
      </c>
      <c r="I59" s="9">
        <f t="shared" si="1"/>
        <v>45671</v>
      </c>
      <c r="J59" s="1" t="str">
        <f t="shared" si="2"/>
        <v>2025-01</v>
      </c>
    </row>
    <row r="60" spans="1:10" x14ac:dyDescent="0.2">
      <c r="A60" s="2">
        <v>58</v>
      </c>
      <c r="B60" s="1" t="s">
        <v>13</v>
      </c>
      <c r="C60" s="1">
        <v>39001712386</v>
      </c>
      <c r="D60" s="1" t="s">
        <v>64</v>
      </c>
      <c r="E60" s="1" t="s">
        <v>65</v>
      </c>
      <c r="F60" s="1">
        <v>1</v>
      </c>
      <c r="G60" s="1" t="s">
        <v>112</v>
      </c>
      <c r="H60" s="1" t="str">
        <f t="shared" si="0"/>
        <v>AVOCADO TOAST</v>
      </c>
      <c r="I60" s="9">
        <f t="shared" si="1"/>
        <v>45664</v>
      </c>
      <c r="J60" s="1" t="str">
        <f t="shared" si="2"/>
        <v>2025-01</v>
      </c>
    </row>
    <row r="61" spans="1:10" x14ac:dyDescent="0.2">
      <c r="A61" s="2">
        <v>59</v>
      </c>
      <c r="B61" s="1" t="s">
        <v>39</v>
      </c>
      <c r="C61" s="1">
        <v>39002363153</v>
      </c>
      <c r="D61" s="1" t="s">
        <v>68</v>
      </c>
      <c r="E61" s="1" t="s">
        <v>68</v>
      </c>
      <c r="F61" s="1">
        <v>2</v>
      </c>
      <c r="G61" s="1" t="s">
        <v>84</v>
      </c>
      <c r="H61" s="1" t="str">
        <f t="shared" si="0"/>
        <v>SF ICE CREAM</v>
      </c>
      <c r="I61" s="9">
        <f t="shared" si="1"/>
        <v>45684</v>
      </c>
      <c r="J61" s="1" t="str">
        <f t="shared" si="2"/>
        <v>2025-01</v>
      </c>
    </row>
    <row r="62" spans="1:10" x14ac:dyDescent="0.2">
      <c r="A62" s="2">
        <v>60</v>
      </c>
      <c r="B62" s="1" t="s">
        <v>40</v>
      </c>
      <c r="C62" s="1">
        <v>39001700140</v>
      </c>
      <c r="D62" s="1" t="s">
        <v>64</v>
      </c>
      <c r="E62" s="1" t="s">
        <v>65</v>
      </c>
      <c r="F62" s="1">
        <v>1</v>
      </c>
      <c r="G62" s="1" t="s">
        <v>103</v>
      </c>
      <c r="H62" s="1" t="str">
        <f t="shared" si="0"/>
        <v>COCONUT MILK</v>
      </c>
      <c r="I62" s="9">
        <f t="shared" si="1"/>
        <v>45670</v>
      </c>
      <c r="J62" s="1" t="str">
        <f t="shared" si="2"/>
        <v>2025-01</v>
      </c>
    </row>
    <row r="63" spans="1:10" x14ac:dyDescent="0.2">
      <c r="A63" s="2">
        <v>61</v>
      </c>
      <c r="B63" s="1" t="s">
        <v>34</v>
      </c>
      <c r="C63" s="1">
        <v>39000949832</v>
      </c>
      <c r="D63" s="1" t="s">
        <v>58</v>
      </c>
      <c r="E63" s="1" t="s">
        <v>59</v>
      </c>
      <c r="F63" s="1">
        <v>1</v>
      </c>
      <c r="G63" s="1" t="s">
        <v>82</v>
      </c>
      <c r="H63" s="1" t="str">
        <f t="shared" si="0"/>
        <v>BLUEBERRY SMOOTHIE</v>
      </c>
      <c r="I63" s="9">
        <f t="shared" si="1"/>
        <v>45698</v>
      </c>
      <c r="J63" s="1" t="str">
        <f t="shared" si="2"/>
        <v>2025-02</v>
      </c>
    </row>
    <row r="64" spans="1:10" x14ac:dyDescent="0.2">
      <c r="A64" s="2">
        <v>62</v>
      </c>
      <c r="B64" s="1" t="s">
        <v>41</v>
      </c>
      <c r="C64" s="1">
        <v>39000198731</v>
      </c>
      <c r="D64" s="1" t="s">
        <v>60</v>
      </c>
      <c r="E64" s="1" t="s">
        <v>61</v>
      </c>
      <c r="F64" s="1">
        <v>3</v>
      </c>
      <c r="G64" s="1" t="s">
        <v>113</v>
      </c>
      <c r="H64" s="1" t="str">
        <f t="shared" si="0"/>
        <v>DIET SODA</v>
      </c>
      <c r="I64" s="9">
        <f t="shared" si="1"/>
        <v>45665</v>
      </c>
      <c r="J64" s="1" t="str">
        <f t="shared" si="2"/>
        <v>2025-01</v>
      </c>
    </row>
    <row r="65" spans="1:10" x14ac:dyDescent="0.2">
      <c r="A65" s="2">
        <v>63</v>
      </c>
      <c r="B65" s="1" t="s">
        <v>23</v>
      </c>
      <c r="C65" s="1">
        <v>39000960986</v>
      </c>
      <c r="D65" s="1" t="s">
        <v>58</v>
      </c>
      <c r="E65" s="1" t="s">
        <v>59</v>
      </c>
      <c r="F65" s="1">
        <v>1</v>
      </c>
      <c r="G65" s="1" t="s">
        <v>114</v>
      </c>
      <c r="H65" s="1" t="str">
        <f t="shared" si="0"/>
        <v>STRAWBERRY MILKSHAKE</v>
      </c>
      <c r="I65" s="9">
        <f t="shared" si="1"/>
        <v>45715</v>
      </c>
      <c r="J65" s="1" t="str">
        <f t="shared" si="2"/>
        <v>2025-02</v>
      </c>
    </row>
    <row r="66" spans="1:10" x14ac:dyDescent="0.2">
      <c r="A66" s="2">
        <v>64</v>
      </c>
      <c r="B66" s="1" t="s">
        <v>36</v>
      </c>
      <c r="C66" s="1">
        <v>39000662402</v>
      </c>
      <c r="D66" s="1" t="s">
        <v>68</v>
      </c>
      <c r="E66" s="1" t="s">
        <v>68</v>
      </c>
      <c r="F66" s="1">
        <v>2</v>
      </c>
      <c r="G66" s="1" t="s">
        <v>89</v>
      </c>
      <c r="H66" s="1" t="str">
        <f t="shared" si="0"/>
        <v>WASABI BANANA PUDDING</v>
      </c>
      <c r="I66" s="9">
        <f t="shared" si="1"/>
        <v>45680</v>
      </c>
      <c r="J66" s="1" t="str">
        <f t="shared" si="2"/>
        <v>2025-01</v>
      </c>
    </row>
    <row r="67" spans="1:10" x14ac:dyDescent="0.2">
      <c r="A67" s="2">
        <v>65</v>
      </c>
      <c r="B67" s="1" t="s">
        <v>20</v>
      </c>
      <c r="C67" s="1">
        <v>39001519713</v>
      </c>
      <c r="D67" s="1" t="s">
        <v>70</v>
      </c>
      <c r="E67" s="1" t="s">
        <v>71</v>
      </c>
      <c r="F67" s="1">
        <v>1</v>
      </c>
      <c r="G67" s="1" t="s">
        <v>100</v>
      </c>
      <c r="H67" s="1" t="str">
        <f t="shared" ref="H67:H130" si="3">_xlfn.TEXTBEFORE(G67," ",-2)</f>
        <v>SPICY MEATBALL</v>
      </c>
      <c r="I67" s="9">
        <f t="shared" ref="I67:I130" si="4">DATE(LEFT(B67,4), MID(B67,5,2), RIGHT(B67,2))</f>
        <v>45688</v>
      </c>
      <c r="J67" s="1" t="str">
        <f t="shared" ref="J67:J130" si="5">TEXT(I67,"YYYY-MM")</f>
        <v>2025-01</v>
      </c>
    </row>
    <row r="68" spans="1:10" x14ac:dyDescent="0.2">
      <c r="A68" s="2">
        <v>66</v>
      </c>
      <c r="B68" s="1" t="s">
        <v>34</v>
      </c>
      <c r="C68" s="1">
        <v>39001551628</v>
      </c>
      <c r="D68" s="1" t="s">
        <v>70</v>
      </c>
      <c r="E68" s="1" t="s">
        <v>71</v>
      </c>
      <c r="F68" s="1">
        <v>2</v>
      </c>
      <c r="G68" s="1" t="s">
        <v>100</v>
      </c>
      <c r="H68" s="1" t="str">
        <f t="shared" si="3"/>
        <v>SPICY MEATBALL</v>
      </c>
      <c r="I68" s="9">
        <f t="shared" si="4"/>
        <v>45698</v>
      </c>
      <c r="J68" s="1" t="str">
        <f t="shared" si="5"/>
        <v>2025-02</v>
      </c>
    </row>
    <row r="69" spans="1:10" x14ac:dyDescent="0.2">
      <c r="A69" s="2">
        <v>67</v>
      </c>
      <c r="B69" s="1" t="s">
        <v>42</v>
      </c>
      <c r="C69" s="1">
        <v>39001486329</v>
      </c>
      <c r="D69" s="1" t="s">
        <v>72</v>
      </c>
      <c r="E69" s="1" t="s">
        <v>73</v>
      </c>
      <c r="F69" s="1">
        <v>1</v>
      </c>
      <c r="G69" s="1" t="s">
        <v>115</v>
      </c>
      <c r="H69" s="1" t="str">
        <f t="shared" si="3"/>
        <v>BLUEBERRY SMOOTHIE</v>
      </c>
      <c r="I69" s="9">
        <f t="shared" si="4"/>
        <v>45673</v>
      </c>
      <c r="J69" s="1" t="str">
        <f t="shared" si="5"/>
        <v>2025-01</v>
      </c>
    </row>
    <row r="70" spans="1:10" x14ac:dyDescent="0.2">
      <c r="A70" s="2">
        <v>68</v>
      </c>
      <c r="B70" s="1" t="s">
        <v>33</v>
      </c>
      <c r="C70" s="1">
        <v>39000240968</v>
      </c>
      <c r="D70" s="1" t="s">
        <v>60</v>
      </c>
      <c r="E70" s="1" t="s">
        <v>61</v>
      </c>
      <c r="F70" s="1">
        <v>1</v>
      </c>
      <c r="G70" s="1" t="s">
        <v>83</v>
      </c>
      <c r="H70" s="1" t="str">
        <f t="shared" si="3"/>
        <v>SPICY MEATBALL</v>
      </c>
      <c r="I70" s="9">
        <f t="shared" si="4"/>
        <v>45672</v>
      </c>
      <c r="J70" s="1" t="str">
        <f t="shared" si="5"/>
        <v>2025-01</v>
      </c>
    </row>
    <row r="71" spans="1:10" x14ac:dyDescent="0.2">
      <c r="A71" s="2">
        <v>69</v>
      </c>
      <c r="B71" s="1" t="s">
        <v>5</v>
      </c>
      <c r="C71" s="1">
        <v>39002192853</v>
      </c>
      <c r="D71" s="1" t="s">
        <v>56</v>
      </c>
      <c r="E71" s="1" t="s">
        <v>57</v>
      </c>
      <c r="F71" s="1">
        <v>1</v>
      </c>
      <c r="G71" s="1" t="s">
        <v>116</v>
      </c>
      <c r="H71" s="1" t="str">
        <f t="shared" si="3"/>
        <v>SPICY MEATBALL</v>
      </c>
      <c r="I71" s="9">
        <f t="shared" si="4"/>
        <v>45674</v>
      </c>
      <c r="J71" s="1" t="str">
        <f t="shared" si="5"/>
        <v>2025-01</v>
      </c>
    </row>
    <row r="72" spans="1:10" x14ac:dyDescent="0.2">
      <c r="A72" s="2">
        <v>70</v>
      </c>
      <c r="B72" s="1" t="s">
        <v>7</v>
      </c>
      <c r="C72" s="1">
        <v>39000226265</v>
      </c>
      <c r="D72" s="1" t="s">
        <v>60</v>
      </c>
      <c r="E72" s="1" t="s">
        <v>61</v>
      </c>
      <c r="F72" s="1">
        <v>1</v>
      </c>
      <c r="G72" s="1" t="s">
        <v>98</v>
      </c>
      <c r="H72" s="1" t="str">
        <f t="shared" si="3"/>
        <v>COCONUT MILK</v>
      </c>
      <c r="I72" s="9">
        <f t="shared" si="4"/>
        <v>45712</v>
      </c>
      <c r="J72" s="1" t="str">
        <f t="shared" si="5"/>
        <v>2025-02</v>
      </c>
    </row>
    <row r="73" spans="1:10" x14ac:dyDescent="0.2">
      <c r="A73" s="2">
        <v>71</v>
      </c>
      <c r="B73" s="1" t="s">
        <v>13</v>
      </c>
      <c r="C73" s="1">
        <v>39000965926</v>
      </c>
      <c r="D73" s="1" t="s">
        <v>58</v>
      </c>
      <c r="E73" s="1" t="s">
        <v>59</v>
      </c>
      <c r="F73" s="1">
        <v>1</v>
      </c>
      <c r="G73" s="1" t="s">
        <v>117</v>
      </c>
      <c r="H73" s="1" t="str">
        <f t="shared" si="3"/>
        <v>STRAWBERRY MILKSHAKE</v>
      </c>
      <c r="I73" s="9">
        <f t="shared" si="4"/>
        <v>45664</v>
      </c>
      <c r="J73" s="1" t="str">
        <f t="shared" si="5"/>
        <v>2025-01</v>
      </c>
    </row>
    <row r="74" spans="1:10" x14ac:dyDescent="0.2">
      <c r="A74" s="2">
        <v>72</v>
      </c>
      <c r="B74" s="1" t="s">
        <v>16</v>
      </c>
      <c r="C74" s="1">
        <v>39000281164</v>
      </c>
      <c r="D74" s="1" t="s">
        <v>74</v>
      </c>
      <c r="E74" s="1" t="s">
        <v>63</v>
      </c>
      <c r="F74" s="1">
        <v>1</v>
      </c>
      <c r="G74" s="1" t="s">
        <v>111</v>
      </c>
      <c r="H74" s="1" t="str">
        <f t="shared" si="3"/>
        <v>MAPLE SYRUP</v>
      </c>
      <c r="I74" s="9">
        <f t="shared" si="4"/>
        <v>45663</v>
      </c>
      <c r="J74" s="1" t="str">
        <f t="shared" si="5"/>
        <v>2025-01</v>
      </c>
    </row>
    <row r="75" spans="1:10" x14ac:dyDescent="0.2">
      <c r="A75" s="2">
        <v>73</v>
      </c>
      <c r="B75" s="1" t="s">
        <v>13</v>
      </c>
      <c r="C75" s="1">
        <v>39000963014</v>
      </c>
      <c r="D75" s="1" t="s">
        <v>58</v>
      </c>
      <c r="E75" s="1" t="s">
        <v>59</v>
      </c>
      <c r="F75" s="1">
        <v>1</v>
      </c>
      <c r="G75" s="1" t="s">
        <v>103</v>
      </c>
      <c r="H75" s="1" t="str">
        <f t="shared" si="3"/>
        <v>COCONUT MILK</v>
      </c>
      <c r="I75" s="9">
        <f t="shared" si="4"/>
        <v>45664</v>
      </c>
      <c r="J75" s="1" t="str">
        <f t="shared" si="5"/>
        <v>2025-01</v>
      </c>
    </row>
    <row r="76" spans="1:10" x14ac:dyDescent="0.2">
      <c r="A76" s="2">
        <v>74</v>
      </c>
      <c r="B76" s="1" t="s">
        <v>31</v>
      </c>
      <c r="C76" s="1">
        <v>39000228020</v>
      </c>
      <c r="D76" s="1" t="s">
        <v>69</v>
      </c>
      <c r="E76" s="1" t="s">
        <v>61</v>
      </c>
      <c r="F76" s="1">
        <v>1</v>
      </c>
      <c r="G76" s="1" t="s">
        <v>116</v>
      </c>
      <c r="H76" s="1" t="str">
        <f t="shared" si="3"/>
        <v>SPICY MEATBALL</v>
      </c>
      <c r="I76" s="9">
        <f t="shared" si="4"/>
        <v>45714</v>
      </c>
      <c r="J76" s="1" t="str">
        <f t="shared" si="5"/>
        <v>2025-02</v>
      </c>
    </row>
    <row r="77" spans="1:10" x14ac:dyDescent="0.2">
      <c r="A77" s="2">
        <v>75</v>
      </c>
      <c r="B77" s="1" t="s">
        <v>35</v>
      </c>
      <c r="C77" s="1">
        <v>39000202462</v>
      </c>
      <c r="D77" s="1" t="s">
        <v>60</v>
      </c>
      <c r="E77" s="1" t="s">
        <v>61</v>
      </c>
      <c r="F77" s="1">
        <v>-0.25</v>
      </c>
      <c r="G77" s="1" t="s">
        <v>92</v>
      </c>
      <c r="H77" s="1" t="str">
        <f t="shared" si="3"/>
        <v>DIET COOKIE</v>
      </c>
      <c r="I77" s="9">
        <f t="shared" si="4"/>
        <v>45693</v>
      </c>
      <c r="J77" s="1" t="str">
        <f t="shared" si="5"/>
        <v>2025-02</v>
      </c>
    </row>
    <row r="78" spans="1:10" x14ac:dyDescent="0.2">
      <c r="A78" s="2">
        <v>76</v>
      </c>
      <c r="B78" s="1" t="s">
        <v>19</v>
      </c>
      <c r="C78" s="1">
        <v>39000196638</v>
      </c>
      <c r="D78" s="1" t="s">
        <v>60</v>
      </c>
      <c r="E78" s="1" t="s">
        <v>61</v>
      </c>
      <c r="F78" s="1">
        <v>1</v>
      </c>
      <c r="G78" s="1" t="s">
        <v>108</v>
      </c>
      <c r="H78" s="1" t="str">
        <f t="shared" si="3"/>
        <v>SUSHI ROLL</v>
      </c>
      <c r="I78" s="9">
        <f t="shared" si="4"/>
        <v>45722</v>
      </c>
      <c r="J78" s="1" t="str">
        <f t="shared" si="5"/>
        <v>2025-03</v>
      </c>
    </row>
    <row r="79" spans="1:10" x14ac:dyDescent="0.2">
      <c r="A79" s="2">
        <v>77</v>
      </c>
      <c r="B79" s="1" t="s">
        <v>43</v>
      </c>
      <c r="C79" s="1">
        <v>39000971204</v>
      </c>
      <c r="D79" s="1" t="s">
        <v>58</v>
      </c>
      <c r="E79" s="1" t="s">
        <v>59</v>
      </c>
      <c r="F79" s="1">
        <v>3</v>
      </c>
      <c r="G79" s="1" t="s">
        <v>83</v>
      </c>
      <c r="H79" s="1" t="str">
        <f t="shared" si="3"/>
        <v>SPICY MEATBALL</v>
      </c>
      <c r="I79" s="9">
        <f t="shared" si="4"/>
        <v>45685</v>
      </c>
      <c r="J79" s="1" t="str">
        <f t="shared" si="5"/>
        <v>2025-01</v>
      </c>
    </row>
    <row r="80" spans="1:10" x14ac:dyDescent="0.2">
      <c r="A80" s="2">
        <v>78</v>
      </c>
      <c r="B80" s="1" t="s">
        <v>29</v>
      </c>
      <c r="C80" s="1">
        <v>39000281658</v>
      </c>
      <c r="D80" s="1" t="s">
        <v>74</v>
      </c>
      <c r="E80" s="1" t="s">
        <v>63</v>
      </c>
      <c r="F80" s="1">
        <v>1</v>
      </c>
      <c r="G80" s="1" t="s">
        <v>99</v>
      </c>
      <c r="H80" s="1" t="str">
        <f t="shared" si="3"/>
        <v>KETCHUP</v>
      </c>
      <c r="I80" s="9">
        <f t="shared" si="4"/>
        <v>45660</v>
      </c>
      <c r="J80" s="1" t="str">
        <f t="shared" si="5"/>
        <v>2025-01</v>
      </c>
    </row>
    <row r="81" spans="1:10" x14ac:dyDescent="0.2">
      <c r="A81" s="2">
        <v>79</v>
      </c>
      <c r="B81" s="1" t="s">
        <v>44</v>
      </c>
      <c r="C81" s="1">
        <v>39001117298</v>
      </c>
      <c r="D81" s="1" t="s">
        <v>74</v>
      </c>
      <c r="E81" s="1" t="s">
        <v>63</v>
      </c>
      <c r="F81" s="1">
        <v>1</v>
      </c>
      <c r="G81" s="1" t="s">
        <v>79</v>
      </c>
      <c r="H81" s="1" t="str">
        <f t="shared" si="3"/>
        <v>DIET SODA</v>
      </c>
      <c r="I81" s="9">
        <f t="shared" si="4"/>
        <v>45666</v>
      </c>
      <c r="J81" s="1" t="str">
        <f t="shared" si="5"/>
        <v>2025-01</v>
      </c>
    </row>
    <row r="82" spans="1:10" x14ac:dyDescent="0.2">
      <c r="A82" s="2">
        <v>80</v>
      </c>
      <c r="B82" s="1" t="s">
        <v>18</v>
      </c>
      <c r="C82" s="1">
        <v>39000223054</v>
      </c>
      <c r="D82" s="1" t="s">
        <v>69</v>
      </c>
      <c r="E82" s="1" t="s">
        <v>61</v>
      </c>
      <c r="F82" s="1">
        <v>1</v>
      </c>
      <c r="G82" s="1" t="s">
        <v>101</v>
      </c>
      <c r="H82" s="1" t="str">
        <f t="shared" si="3"/>
        <v>KETCHUP</v>
      </c>
      <c r="I82" s="9">
        <f t="shared" si="4"/>
        <v>45678</v>
      </c>
      <c r="J82" s="1" t="str">
        <f t="shared" si="5"/>
        <v>2025-01</v>
      </c>
    </row>
    <row r="83" spans="1:10" x14ac:dyDescent="0.2">
      <c r="A83" s="2">
        <v>81</v>
      </c>
      <c r="B83" s="1" t="s">
        <v>23</v>
      </c>
      <c r="C83" s="1">
        <v>39002654145</v>
      </c>
      <c r="D83" s="1" t="s">
        <v>68</v>
      </c>
      <c r="E83" s="1" t="s">
        <v>68</v>
      </c>
      <c r="F83" s="1">
        <v>1</v>
      </c>
      <c r="G83" s="1" t="s">
        <v>117</v>
      </c>
      <c r="H83" s="1" t="str">
        <f t="shared" si="3"/>
        <v>STRAWBERRY MILKSHAKE</v>
      </c>
      <c r="I83" s="9">
        <f t="shared" si="4"/>
        <v>45715</v>
      </c>
      <c r="J83" s="1" t="str">
        <f t="shared" si="5"/>
        <v>2025-02</v>
      </c>
    </row>
    <row r="84" spans="1:10" x14ac:dyDescent="0.2">
      <c r="A84" s="2">
        <v>82</v>
      </c>
      <c r="B84" s="1" t="s">
        <v>37</v>
      </c>
      <c r="C84" s="1">
        <v>39000271297</v>
      </c>
      <c r="D84" s="1" t="s">
        <v>62</v>
      </c>
      <c r="E84" s="1" t="s">
        <v>63</v>
      </c>
      <c r="F84" s="1">
        <v>1</v>
      </c>
      <c r="G84" s="1" t="s">
        <v>118</v>
      </c>
      <c r="H84" s="1" t="str">
        <f t="shared" si="3"/>
        <v>SF STRAWBERRY MILKSHAKE</v>
      </c>
      <c r="I84" s="9">
        <f t="shared" si="4"/>
        <v>45723</v>
      </c>
      <c r="J84" s="1" t="str">
        <f t="shared" si="5"/>
        <v>2025-03</v>
      </c>
    </row>
    <row r="85" spans="1:10" x14ac:dyDescent="0.2">
      <c r="A85" s="2">
        <v>83</v>
      </c>
      <c r="B85" s="1" t="s">
        <v>34</v>
      </c>
      <c r="C85" s="1">
        <v>39000591344</v>
      </c>
      <c r="D85" s="1" t="s">
        <v>54</v>
      </c>
      <c r="E85" s="1" t="s">
        <v>55</v>
      </c>
      <c r="F85" s="1">
        <v>1</v>
      </c>
      <c r="G85" s="1" t="s">
        <v>110</v>
      </c>
      <c r="H85" s="1" t="str">
        <f t="shared" si="3"/>
        <v>DIET COOKIE</v>
      </c>
      <c r="I85" s="9">
        <f t="shared" si="4"/>
        <v>45698</v>
      </c>
      <c r="J85" s="1" t="str">
        <f t="shared" si="5"/>
        <v>2025-02</v>
      </c>
    </row>
    <row r="86" spans="1:10" x14ac:dyDescent="0.2">
      <c r="A86" s="2">
        <v>84</v>
      </c>
      <c r="B86" s="1" t="s">
        <v>19</v>
      </c>
      <c r="C86" s="1">
        <v>39002320500</v>
      </c>
      <c r="D86" s="1" t="s">
        <v>56</v>
      </c>
      <c r="E86" s="1" t="s">
        <v>57</v>
      </c>
      <c r="F86" s="1">
        <v>1</v>
      </c>
      <c r="G86" s="1" t="s">
        <v>90</v>
      </c>
      <c r="H86" s="1" t="str">
        <f t="shared" si="3"/>
        <v>SPICY MEATBALL</v>
      </c>
      <c r="I86" s="9">
        <f t="shared" si="4"/>
        <v>45722</v>
      </c>
      <c r="J86" s="1" t="str">
        <f t="shared" si="5"/>
        <v>2025-03</v>
      </c>
    </row>
    <row r="87" spans="1:10" x14ac:dyDescent="0.2">
      <c r="A87" s="2">
        <v>85</v>
      </c>
      <c r="B87" s="1" t="s">
        <v>14</v>
      </c>
      <c r="C87" s="1">
        <v>39000956319</v>
      </c>
      <c r="D87" s="1" t="s">
        <v>58</v>
      </c>
      <c r="E87" s="1" t="s">
        <v>59</v>
      </c>
      <c r="F87" s="1">
        <v>2</v>
      </c>
      <c r="G87" s="1" t="s">
        <v>83</v>
      </c>
      <c r="H87" s="1" t="str">
        <f t="shared" si="3"/>
        <v>SPICY MEATBALL</v>
      </c>
      <c r="I87" s="9">
        <f t="shared" si="4"/>
        <v>45694</v>
      </c>
      <c r="J87" s="1" t="str">
        <f t="shared" si="5"/>
        <v>2025-02</v>
      </c>
    </row>
    <row r="88" spans="1:10" x14ac:dyDescent="0.2">
      <c r="A88" s="2">
        <v>86</v>
      </c>
      <c r="B88" s="1" t="s">
        <v>6</v>
      </c>
      <c r="C88" s="1">
        <v>39000221728</v>
      </c>
      <c r="D88" s="1" t="s">
        <v>60</v>
      </c>
      <c r="E88" s="1" t="s">
        <v>61</v>
      </c>
      <c r="F88" s="1">
        <v>1</v>
      </c>
      <c r="G88" s="1" t="s">
        <v>90</v>
      </c>
      <c r="H88" s="1" t="str">
        <f t="shared" si="3"/>
        <v>SPICY MEATBALL</v>
      </c>
      <c r="I88" s="9">
        <f t="shared" si="4"/>
        <v>45720</v>
      </c>
      <c r="J88" s="1" t="str">
        <f t="shared" si="5"/>
        <v>2025-03</v>
      </c>
    </row>
    <row r="89" spans="1:10" x14ac:dyDescent="0.2">
      <c r="A89" s="2">
        <v>87</v>
      </c>
      <c r="B89" s="1" t="s">
        <v>6</v>
      </c>
      <c r="C89" s="1">
        <v>39000589134</v>
      </c>
      <c r="D89" s="1" t="s">
        <v>54</v>
      </c>
      <c r="E89" s="1" t="s">
        <v>55</v>
      </c>
      <c r="F89" s="1">
        <v>2</v>
      </c>
      <c r="G89" s="1" t="s">
        <v>117</v>
      </c>
      <c r="H89" s="1" t="str">
        <f t="shared" si="3"/>
        <v>STRAWBERRY MILKSHAKE</v>
      </c>
      <c r="I89" s="9">
        <f t="shared" si="4"/>
        <v>45720</v>
      </c>
      <c r="J89" s="1" t="str">
        <f t="shared" si="5"/>
        <v>2025-03</v>
      </c>
    </row>
    <row r="90" spans="1:10" x14ac:dyDescent="0.2">
      <c r="A90" s="2">
        <v>88</v>
      </c>
      <c r="B90" s="1" t="s">
        <v>10</v>
      </c>
      <c r="C90" s="1">
        <v>39001488487</v>
      </c>
      <c r="D90" s="1" t="s">
        <v>72</v>
      </c>
      <c r="E90" s="1" t="s">
        <v>73</v>
      </c>
      <c r="F90" s="1">
        <v>1</v>
      </c>
      <c r="G90" s="1" t="s">
        <v>94</v>
      </c>
      <c r="H90" s="1" t="str">
        <f t="shared" si="3"/>
        <v>DIET COOKIE</v>
      </c>
      <c r="I90" s="9">
        <f t="shared" si="4"/>
        <v>45679</v>
      </c>
      <c r="J90" s="1" t="str">
        <f t="shared" si="5"/>
        <v>2025-01</v>
      </c>
    </row>
    <row r="91" spans="1:10" x14ac:dyDescent="0.2">
      <c r="A91" s="2">
        <v>89</v>
      </c>
      <c r="B91" s="1" t="s">
        <v>34</v>
      </c>
      <c r="C91" s="1">
        <v>39000222599</v>
      </c>
      <c r="D91" s="1" t="s">
        <v>60</v>
      </c>
      <c r="E91" s="1" t="s">
        <v>61</v>
      </c>
      <c r="F91" s="1">
        <v>2</v>
      </c>
      <c r="G91" s="1" t="s">
        <v>116</v>
      </c>
      <c r="H91" s="1" t="str">
        <f t="shared" si="3"/>
        <v>SPICY MEATBALL</v>
      </c>
      <c r="I91" s="9">
        <f t="shared" si="4"/>
        <v>45698</v>
      </c>
      <c r="J91" s="1" t="str">
        <f t="shared" si="5"/>
        <v>2025-02</v>
      </c>
    </row>
    <row r="92" spans="1:10" x14ac:dyDescent="0.2">
      <c r="A92" s="2">
        <v>90</v>
      </c>
      <c r="B92" s="1" t="s">
        <v>45</v>
      </c>
      <c r="C92" s="1">
        <v>39000749892</v>
      </c>
      <c r="D92" s="1" t="s">
        <v>68</v>
      </c>
      <c r="E92" s="1" t="s">
        <v>68</v>
      </c>
      <c r="F92" s="1">
        <v>1</v>
      </c>
      <c r="G92" s="1" t="s">
        <v>119</v>
      </c>
      <c r="H92" s="1" t="str">
        <f t="shared" si="3"/>
        <v>SF MAPLE SYRUP</v>
      </c>
      <c r="I92" s="9">
        <f t="shared" si="4"/>
        <v>45700</v>
      </c>
      <c r="J92" s="1" t="str">
        <f t="shared" si="5"/>
        <v>2025-02</v>
      </c>
    </row>
    <row r="93" spans="1:10" x14ac:dyDescent="0.2">
      <c r="A93" s="2">
        <v>91</v>
      </c>
      <c r="B93" s="1" t="s">
        <v>6</v>
      </c>
      <c r="C93" s="1">
        <v>39000213980</v>
      </c>
      <c r="D93" s="1" t="s">
        <v>69</v>
      </c>
      <c r="E93" s="1" t="s">
        <v>61</v>
      </c>
      <c r="F93" s="1">
        <v>1</v>
      </c>
      <c r="G93" s="1" t="s">
        <v>120</v>
      </c>
      <c r="H93" s="1" t="str">
        <f t="shared" si="3"/>
        <v>DIET COOKIE</v>
      </c>
      <c r="I93" s="9">
        <f t="shared" si="4"/>
        <v>45720</v>
      </c>
      <c r="J93" s="1" t="str">
        <f t="shared" si="5"/>
        <v>2025-03</v>
      </c>
    </row>
    <row r="94" spans="1:10" x14ac:dyDescent="0.2">
      <c r="A94" s="2">
        <v>92</v>
      </c>
      <c r="B94" s="1" t="s">
        <v>23</v>
      </c>
      <c r="C94" s="1">
        <v>39002126254</v>
      </c>
      <c r="D94" s="1" t="s">
        <v>66</v>
      </c>
      <c r="E94" s="1" t="s">
        <v>67</v>
      </c>
      <c r="F94" s="1">
        <v>1</v>
      </c>
      <c r="G94" s="1" t="s">
        <v>121</v>
      </c>
      <c r="H94" s="1" t="str">
        <f t="shared" si="3"/>
        <v>SF STRAWBERRY MILKSHAKE</v>
      </c>
      <c r="I94" s="9">
        <f t="shared" si="4"/>
        <v>45715</v>
      </c>
      <c r="J94" s="1" t="str">
        <f t="shared" si="5"/>
        <v>2025-02</v>
      </c>
    </row>
    <row r="95" spans="1:10" x14ac:dyDescent="0.2">
      <c r="A95" s="2">
        <v>93</v>
      </c>
      <c r="B95" s="1" t="s">
        <v>18</v>
      </c>
      <c r="C95" s="1">
        <v>39000585975</v>
      </c>
      <c r="D95" s="1" t="s">
        <v>54</v>
      </c>
      <c r="E95" s="1" t="s">
        <v>55</v>
      </c>
      <c r="F95" s="1">
        <v>2</v>
      </c>
      <c r="G95" s="1" t="s">
        <v>100</v>
      </c>
      <c r="H95" s="1" t="str">
        <f t="shared" si="3"/>
        <v>SPICY MEATBALL</v>
      </c>
      <c r="I95" s="9">
        <f t="shared" si="4"/>
        <v>45678</v>
      </c>
      <c r="J95" s="1" t="str">
        <f t="shared" si="5"/>
        <v>2025-01</v>
      </c>
    </row>
    <row r="96" spans="1:10" x14ac:dyDescent="0.2">
      <c r="A96" s="2">
        <v>94</v>
      </c>
      <c r="B96" s="1" t="s">
        <v>14</v>
      </c>
      <c r="C96" s="1">
        <v>39000214175</v>
      </c>
      <c r="D96" s="1" t="s">
        <v>69</v>
      </c>
      <c r="E96" s="1" t="s">
        <v>61</v>
      </c>
      <c r="F96" s="1">
        <v>-3</v>
      </c>
      <c r="G96" s="1" t="s">
        <v>79</v>
      </c>
      <c r="H96" s="1" t="str">
        <f t="shared" si="3"/>
        <v>DIET SODA</v>
      </c>
      <c r="I96" s="9">
        <f t="shared" si="4"/>
        <v>45694</v>
      </c>
      <c r="J96" s="1" t="str">
        <f t="shared" si="5"/>
        <v>2025-02</v>
      </c>
    </row>
    <row r="97" spans="1:10" x14ac:dyDescent="0.2">
      <c r="A97" s="2">
        <v>95</v>
      </c>
      <c r="B97" s="1" t="s">
        <v>29</v>
      </c>
      <c r="C97" s="1">
        <v>39002227537</v>
      </c>
      <c r="D97" s="1" t="s">
        <v>56</v>
      </c>
      <c r="E97" s="1" t="s">
        <v>57</v>
      </c>
      <c r="F97" s="1">
        <v>1</v>
      </c>
      <c r="G97" s="1" t="s">
        <v>122</v>
      </c>
      <c r="H97" s="1" t="str">
        <f t="shared" si="3"/>
        <v>SF KETCHUP</v>
      </c>
      <c r="I97" s="9">
        <f t="shared" si="4"/>
        <v>45660</v>
      </c>
      <c r="J97" s="1" t="str">
        <f t="shared" si="5"/>
        <v>2025-01</v>
      </c>
    </row>
    <row r="98" spans="1:10" x14ac:dyDescent="0.2">
      <c r="A98" s="2">
        <v>96</v>
      </c>
      <c r="B98" s="1" t="s">
        <v>25</v>
      </c>
      <c r="C98" s="1">
        <v>39000667108</v>
      </c>
      <c r="D98" s="1" t="s">
        <v>68</v>
      </c>
      <c r="E98" s="1" t="s">
        <v>68</v>
      </c>
      <c r="F98" s="1">
        <v>1</v>
      </c>
      <c r="G98" s="1" t="s">
        <v>111</v>
      </c>
      <c r="H98" s="1" t="str">
        <f t="shared" si="3"/>
        <v>MAPLE SYRUP</v>
      </c>
      <c r="I98" s="9">
        <f t="shared" si="4"/>
        <v>45702</v>
      </c>
      <c r="J98" s="1" t="str">
        <f t="shared" si="5"/>
        <v>2025-02</v>
      </c>
    </row>
    <row r="99" spans="1:10" x14ac:dyDescent="0.2">
      <c r="A99" s="2">
        <v>97</v>
      </c>
      <c r="B99" s="1" t="s">
        <v>34</v>
      </c>
      <c r="C99" s="1">
        <v>39000215163</v>
      </c>
      <c r="D99" s="1" t="s">
        <v>60</v>
      </c>
      <c r="E99" s="1" t="s">
        <v>61</v>
      </c>
      <c r="F99" s="1">
        <v>5</v>
      </c>
      <c r="G99" s="1" t="s">
        <v>100</v>
      </c>
      <c r="H99" s="1" t="str">
        <f t="shared" si="3"/>
        <v>SPICY MEATBALL</v>
      </c>
      <c r="I99" s="9">
        <f t="shared" si="4"/>
        <v>45698</v>
      </c>
      <c r="J99" s="1" t="str">
        <f t="shared" si="5"/>
        <v>2025-02</v>
      </c>
    </row>
    <row r="100" spans="1:10" x14ac:dyDescent="0.2">
      <c r="A100" s="2">
        <v>98</v>
      </c>
      <c r="B100" s="1" t="s">
        <v>35</v>
      </c>
      <c r="C100" s="1">
        <v>39000959088</v>
      </c>
      <c r="D100" s="1" t="s">
        <v>58</v>
      </c>
      <c r="E100" s="1" t="s">
        <v>59</v>
      </c>
      <c r="F100" s="1">
        <v>1</v>
      </c>
      <c r="G100" s="1" t="s">
        <v>123</v>
      </c>
      <c r="H100" s="1" t="str">
        <f t="shared" si="3"/>
        <v>ICE CREAM</v>
      </c>
      <c r="I100" s="9">
        <f t="shared" si="4"/>
        <v>45693</v>
      </c>
      <c r="J100" s="1" t="str">
        <f t="shared" si="5"/>
        <v>2025-02</v>
      </c>
    </row>
    <row r="101" spans="1:10" x14ac:dyDescent="0.2">
      <c r="A101" s="2">
        <v>99</v>
      </c>
      <c r="B101" s="1" t="s">
        <v>8</v>
      </c>
      <c r="C101" s="1">
        <v>39001453881</v>
      </c>
      <c r="D101" s="1" t="s">
        <v>72</v>
      </c>
      <c r="E101" s="1" t="s">
        <v>73</v>
      </c>
      <c r="F101" s="1">
        <v>1</v>
      </c>
      <c r="G101" s="1" t="s">
        <v>124</v>
      </c>
      <c r="H101" s="1" t="str">
        <f t="shared" si="3"/>
        <v>SUSHI ROLL</v>
      </c>
      <c r="I101" s="9">
        <f t="shared" si="4"/>
        <v>45706</v>
      </c>
      <c r="J101" s="1" t="str">
        <f t="shared" si="5"/>
        <v>2025-02</v>
      </c>
    </row>
    <row r="102" spans="1:10" x14ac:dyDescent="0.2">
      <c r="A102" s="2">
        <v>100</v>
      </c>
      <c r="B102" s="1" t="s">
        <v>15</v>
      </c>
      <c r="C102" s="1">
        <v>39000346164</v>
      </c>
      <c r="D102" s="1" t="s">
        <v>66</v>
      </c>
      <c r="E102" s="1" t="s">
        <v>67</v>
      </c>
      <c r="F102" s="1">
        <v>1</v>
      </c>
      <c r="G102" s="1" t="s">
        <v>115</v>
      </c>
      <c r="H102" s="1" t="str">
        <f t="shared" si="3"/>
        <v>BLUEBERRY SMOOTHIE</v>
      </c>
      <c r="I102" s="9">
        <f t="shared" si="4"/>
        <v>45713</v>
      </c>
      <c r="J102" s="1" t="str">
        <f t="shared" si="5"/>
        <v>2025-02</v>
      </c>
    </row>
    <row r="103" spans="1:10" x14ac:dyDescent="0.2">
      <c r="A103" s="2">
        <v>101</v>
      </c>
      <c r="B103" s="1" t="s">
        <v>46</v>
      </c>
      <c r="C103" s="1">
        <v>39000337272</v>
      </c>
      <c r="D103" s="1" t="s">
        <v>66</v>
      </c>
      <c r="E103" s="1" t="s">
        <v>67</v>
      </c>
      <c r="F103" s="1">
        <v>1</v>
      </c>
      <c r="G103" s="1" t="s">
        <v>96</v>
      </c>
      <c r="H103" s="1" t="str">
        <f t="shared" si="3"/>
        <v>SPICY MEATBALL</v>
      </c>
      <c r="I103" s="9">
        <f t="shared" si="4"/>
        <v>45701</v>
      </c>
      <c r="J103" s="1" t="str">
        <f t="shared" si="5"/>
        <v>2025-02</v>
      </c>
    </row>
    <row r="104" spans="1:10" x14ac:dyDescent="0.2">
      <c r="A104" s="2">
        <v>102</v>
      </c>
      <c r="B104" s="1" t="s">
        <v>24</v>
      </c>
      <c r="C104" s="1">
        <v>39000263549</v>
      </c>
      <c r="D104" s="1" t="s">
        <v>62</v>
      </c>
      <c r="E104" s="1" t="s">
        <v>63</v>
      </c>
      <c r="F104" s="1">
        <v>1</v>
      </c>
      <c r="G104" s="1" t="s">
        <v>124</v>
      </c>
      <c r="H104" s="1" t="str">
        <f t="shared" si="3"/>
        <v>SUSHI ROLL</v>
      </c>
      <c r="I104" s="9">
        <f t="shared" si="4"/>
        <v>45726</v>
      </c>
      <c r="J104" s="1" t="str">
        <f t="shared" si="5"/>
        <v>2025-03</v>
      </c>
    </row>
    <row r="105" spans="1:10" x14ac:dyDescent="0.2">
      <c r="A105" s="2">
        <v>103</v>
      </c>
      <c r="B105" s="1" t="s">
        <v>22</v>
      </c>
      <c r="C105" s="1">
        <v>39001709643</v>
      </c>
      <c r="D105" s="1" t="s">
        <v>64</v>
      </c>
      <c r="E105" s="1" t="s">
        <v>65</v>
      </c>
      <c r="F105" s="1">
        <v>1</v>
      </c>
      <c r="G105" s="1" t="s">
        <v>125</v>
      </c>
      <c r="H105" s="1" t="str">
        <f t="shared" si="3"/>
        <v>MAPLE SYRUP</v>
      </c>
      <c r="I105" s="9">
        <f t="shared" si="4"/>
        <v>45721</v>
      </c>
      <c r="J105" s="1" t="str">
        <f t="shared" si="5"/>
        <v>2025-03</v>
      </c>
    </row>
    <row r="106" spans="1:10" x14ac:dyDescent="0.2">
      <c r="A106" s="2">
        <v>104</v>
      </c>
      <c r="B106" s="1" t="s">
        <v>37</v>
      </c>
      <c r="C106" s="1">
        <v>39000282308</v>
      </c>
      <c r="D106" s="1" t="s">
        <v>74</v>
      </c>
      <c r="E106" s="1" t="s">
        <v>63</v>
      </c>
      <c r="F106" s="1">
        <v>1</v>
      </c>
      <c r="G106" s="1" t="s">
        <v>124</v>
      </c>
      <c r="H106" s="1" t="str">
        <f t="shared" si="3"/>
        <v>SUSHI ROLL</v>
      </c>
      <c r="I106" s="9">
        <f t="shared" si="4"/>
        <v>45723</v>
      </c>
      <c r="J106" s="1" t="str">
        <f t="shared" si="5"/>
        <v>2025-03</v>
      </c>
    </row>
    <row r="107" spans="1:10" x14ac:dyDescent="0.2">
      <c r="A107" s="2">
        <v>105</v>
      </c>
      <c r="B107" s="1" t="s">
        <v>38</v>
      </c>
      <c r="C107" s="1">
        <v>39000665080</v>
      </c>
      <c r="D107" s="1" t="s">
        <v>68</v>
      </c>
      <c r="E107" s="1" t="s">
        <v>68</v>
      </c>
      <c r="F107" s="1">
        <v>1</v>
      </c>
      <c r="G107" s="1" t="s">
        <v>78</v>
      </c>
      <c r="H107" s="1" t="str">
        <f t="shared" si="3"/>
        <v>PICKLE JUICE</v>
      </c>
      <c r="I107" s="9">
        <f t="shared" si="4"/>
        <v>45671</v>
      </c>
      <c r="J107" s="1" t="str">
        <f t="shared" si="5"/>
        <v>2025-01</v>
      </c>
    </row>
    <row r="108" spans="1:10" x14ac:dyDescent="0.2">
      <c r="A108" s="2">
        <v>106</v>
      </c>
      <c r="B108" s="1" t="s">
        <v>35</v>
      </c>
      <c r="C108" s="1">
        <v>39000588588</v>
      </c>
      <c r="D108" s="1" t="s">
        <v>54</v>
      </c>
      <c r="E108" s="1" t="s">
        <v>55</v>
      </c>
      <c r="F108" s="1">
        <v>1</v>
      </c>
      <c r="G108" s="1" t="s">
        <v>116</v>
      </c>
      <c r="H108" s="1" t="str">
        <f t="shared" si="3"/>
        <v>SPICY MEATBALL</v>
      </c>
      <c r="I108" s="9">
        <f t="shared" si="4"/>
        <v>45693</v>
      </c>
      <c r="J108" s="1" t="str">
        <f t="shared" si="5"/>
        <v>2025-02</v>
      </c>
    </row>
    <row r="109" spans="1:10" x14ac:dyDescent="0.2">
      <c r="A109" s="2">
        <v>107</v>
      </c>
      <c r="B109" s="1" t="s">
        <v>41</v>
      </c>
      <c r="C109" s="1">
        <v>39000662987</v>
      </c>
      <c r="D109" s="1" t="s">
        <v>68</v>
      </c>
      <c r="E109" s="1" t="s">
        <v>68</v>
      </c>
      <c r="F109" s="1">
        <v>2</v>
      </c>
      <c r="G109" s="1" t="s">
        <v>101</v>
      </c>
      <c r="H109" s="1" t="str">
        <f t="shared" si="3"/>
        <v>KETCHUP</v>
      </c>
      <c r="I109" s="9">
        <f t="shared" si="4"/>
        <v>45665</v>
      </c>
      <c r="J109" s="1" t="str">
        <f t="shared" si="5"/>
        <v>2025-01</v>
      </c>
    </row>
    <row r="110" spans="1:10" x14ac:dyDescent="0.2">
      <c r="A110" s="2">
        <v>108</v>
      </c>
      <c r="B110" s="1" t="s">
        <v>24</v>
      </c>
      <c r="C110" s="1">
        <v>39000284505</v>
      </c>
      <c r="D110" s="1" t="s">
        <v>74</v>
      </c>
      <c r="E110" s="1" t="s">
        <v>63</v>
      </c>
      <c r="F110" s="1">
        <v>1</v>
      </c>
      <c r="G110" s="1" t="s">
        <v>126</v>
      </c>
      <c r="H110" s="1" t="str">
        <f t="shared" si="3"/>
        <v>PICKLE JUICE</v>
      </c>
      <c r="I110" s="9">
        <f t="shared" si="4"/>
        <v>45726</v>
      </c>
      <c r="J110" s="1" t="str">
        <f t="shared" si="5"/>
        <v>2025-03</v>
      </c>
    </row>
    <row r="111" spans="1:10" x14ac:dyDescent="0.2">
      <c r="A111" s="2">
        <v>109</v>
      </c>
      <c r="B111" s="1" t="s">
        <v>18</v>
      </c>
      <c r="C111" s="1">
        <v>39001520168</v>
      </c>
      <c r="D111" s="1" t="s">
        <v>70</v>
      </c>
      <c r="E111" s="1" t="s">
        <v>71</v>
      </c>
      <c r="F111" s="1">
        <v>2</v>
      </c>
      <c r="G111" s="1" t="s">
        <v>100</v>
      </c>
      <c r="H111" s="1" t="str">
        <f t="shared" si="3"/>
        <v>SPICY MEATBALL</v>
      </c>
      <c r="I111" s="9">
        <f t="shared" si="4"/>
        <v>45678</v>
      </c>
      <c r="J111" s="1" t="str">
        <f t="shared" si="5"/>
        <v>2025-01</v>
      </c>
    </row>
    <row r="112" spans="1:10" x14ac:dyDescent="0.2">
      <c r="A112" s="2">
        <v>110</v>
      </c>
      <c r="B112" s="1" t="s">
        <v>24</v>
      </c>
      <c r="C112" s="1">
        <v>39000220324</v>
      </c>
      <c r="D112" s="1" t="s">
        <v>69</v>
      </c>
      <c r="E112" s="1" t="s">
        <v>61</v>
      </c>
      <c r="F112" s="1">
        <v>1</v>
      </c>
      <c r="G112" s="1" t="s">
        <v>127</v>
      </c>
      <c r="H112" s="1" t="str">
        <f t="shared" si="3"/>
        <v>SF KETCHUP</v>
      </c>
      <c r="I112" s="9">
        <f t="shared" si="4"/>
        <v>45726</v>
      </c>
      <c r="J112" s="1" t="str">
        <f t="shared" si="5"/>
        <v>2025-03</v>
      </c>
    </row>
    <row r="113" spans="1:10" x14ac:dyDescent="0.2">
      <c r="A113" s="2">
        <v>111</v>
      </c>
      <c r="B113" s="1" t="s">
        <v>47</v>
      </c>
      <c r="C113" s="1">
        <v>39001707966</v>
      </c>
      <c r="D113" s="1" t="s">
        <v>64</v>
      </c>
      <c r="E113" s="1" t="s">
        <v>65</v>
      </c>
      <c r="F113" s="1">
        <v>1</v>
      </c>
      <c r="G113" s="1" t="s">
        <v>122</v>
      </c>
      <c r="H113" s="1" t="str">
        <f t="shared" si="3"/>
        <v>SF KETCHUP</v>
      </c>
      <c r="I113" s="9">
        <f t="shared" si="4"/>
        <v>45691</v>
      </c>
      <c r="J113" s="1" t="str">
        <f t="shared" si="5"/>
        <v>2025-02</v>
      </c>
    </row>
    <row r="114" spans="1:10" x14ac:dyDescent="0.2">
      <c r="A114" s="2">
        <v>112</v>
      </c>
      <c r="B114" s="1" t="s">
        <v>33</v>
      </c>
      <c r="C114" s="1">
        <v>39000348946</v>
      </c>
      <c r="D114" s="1" t="s">
        <v>66</v>
      </c>
      <c r="E114" s="1" t="s">
        <v>67</v>
      </c>
      <c r="F114" s="1">
        <v>1</v>
      </c>
      <c r="G114" s="1" t="s">
        <v>91</v>
      </c>
      <c r="H114" s="1" t="str">
        <f t="shared" si="3"/>
        <v>DIET</v>
      </c>
      <c r="I114" s="9">
        <f t="shared" si="4"/>
        <v>45672</v>
      </c>
      <c r="J114" s="1" t="str">
        <f t="shared" si="5"/>
        <v>2025-01</v>
      </c>
    </row>
    <row r="115" spans="1:10" x14ac:dyDescent="0.2">
      <c r="A115" s="2">
        <v>113</v>
      </c>
      <c r="B115" s="1" t="s">
        <v>8</v>
      </c>
      <c r="C115" s="1">
        <v>39001525277</v>
      </c>
      <c r="D115" s="1" t="s">
        <v>70</v>
      </c>
      <c r="E115" s="1" t="s">
        <v>71</v>
      </c>
      <c r="F115" s="1">
        <v>1</v>
      </c>
      <c r="G115" s="1" t="s">
        <v>99</v>
      </c>
      <c r="H115" s="1" t="str">
        <f t="shared" si="3"/>
        <v>KETCHUP</v>
      </c>
      <c r="I115" s="9">
        <f t="shared" si="4"/>
        <v>45706</v>
      </c>
      <c r="J115" s="1" t="str">
        <f t="shared" si="5"/>
        <v>2025-02</v>
      </c>
    </row>
    <row r="116" spans="1:10" x14ac:dyDescent="0.2">
      <c r="A116" s="2">
        <v>114</v>
      </c>
      <c r="B116" s="1" t="s">
        <v>46</v>
      </c>
      <c r="C116" s="1">
        <v>39000221624</v>
      </c>
      <c r="D116" s="1" t="s">
        <v>60</v>
      </c>
      <c r="E116" s="1" t="s">
        <v>61</v>
      </c>
      <c r="F116" s="1">
        <v>1</v>
      </c>
      <c r="G116" s="1" t="s">
        <v>113</v>
      </c>
      <c r="H116" s="1" t="str">
        <f t="shared" si="3"/>
        <v>DIET SODA</v>
      </c>
      <c r="I116" s="9">
        <f t="shared" si="4"/>
        <v>45701</v>
      </c>
      <c r="J116" s="1" t="str">
        <f t="shared" si="5"/>
        <v>2025-02</v>
      </c>
    </row>
    <row r="117" spans="1:10" x14ac:dyDescent="0.2">
      <c r="A117" s="2">
        <v>115</v>
      </c>
      <c r="B117" s="1" t="s">
        <v>42</v>
      </c>
      <c r="C117" s="1">
        <v>39000592800</v>
      </c>
      <c r="D117" s="1" t="s">
        <v>54</v>
      </c>
      <c r="E117" s="1" t="s">
        <v>55</v>
      </c>
      <c r="F117" s="1">
        <v>1</v>
      </c>
      <c r="G117" s="1" t="s">
        <v>111</v>
      </c>
      <c r="H117" s="1" t="str">
        <f t="shared" si="3"/>
        <v>MAPLE SYRUP</v>
      </c>
      <c r="I117" s="9">
        <f t="shared" si="4"/>
        <v>45673</v>
      </c>
      <c r="J117" s="1" t="str">
        <f t="shared" si="5"/>
        <v>2025-01</v>
      </c>
    </row>
    <row r="118" spans="1:10" x14ac:dyDescent="0.2">
      <c r="A118" s="2">
        <v>116</v>
      </c>
      <c r="B118" s="1" t="s">
        <v>40</v>
      </c>
      <c r="C118" s="1">
        <v>39002246933</v>
      </c>
      <c r="D118" s="1" t="s">
        <v>56</v>
      </c>
      <c r="E118" s="1" t="s">
        <v>57</v>
      </c>
      <c r="F118" s="1">
        <v>1</v>
      </c>
      <c r="G118" s="1" t="s">
        <v>128</v>
      </c>
      <c r="H118" s="1" t="str">
        <f t="shared" si="3"/>
        <v>ICE CREAM</v>
      </c>
      <c r="I118" s="9">
        <f t="shared" si="4"/>
        <v>45670</v>
      </c>
      <c r="J118" s="1" t="str">
        <f t="shared" si="5"/>
        <v>2025-01</v>
      </c>
    </row>
    <row r="119" spans="1:10" x14ac:dyDescent="0.2">
      <c r="A119" s="2">
        <v>117</v>
      </c>
      <c r="B119" s="1" t="s">
        <v>42</v>
      </c>
      <c r="C119" s="1">
        <v>39000239031</v>
      </c>
      <c r="D119" s="1" t="s">
        <v>69</v>
      </c>
      <c r="E119" s="1" t="s">
        <v>61</v>
      </c>
      <c r="F119" s="1">
        <v>1</v>
      </c>
      <c r="G119" s="1" t="s">
        <v>125</v>
      </c>
      <c r="H119" s="1" t="str">
        <f t="shared" si="3"/>
        <v>MAPLE SYRUP</v>
      </c>
      <c r="I119" s="9">
        <f t="shared" si="4"/>
        <v>45673</v>
      </c>
      <c r="J119" s="1" t="str">
        <f t="shared" si="5"/>
        <v>2025-01</v>
      </c>
    </row>
    <row r="120" spans="1:10" x14ac:dyDescent="0.2">
      <c r="A120" s="2">
        <v>118</v>
      </c>
      <c r="B120" s="1" t="s">
        <v>13</v>
      </c>
      <c r="C120" s="1">
        <v>39000761228</v>
      </c>
      <c r="D120" s="1" t="s">
        <v>68</v>
      </c>
      <c r="E120" s="1" t="s">
        <v>68</v>
      </c>
      <c r="F120" s="1">
        <v>1</v>
      </c>
      <c r="G120" s="1" t="s">
        <v>115</v>
      </c>
      <c r="H120" s="1" t="str">
        <f t="shared" si="3"/>
        <v>BLUEBERRY SMOOTHIE</v>
      </c>
      <c r="I120" s="9">
        <f t="shared" si="4"/>
        <v>45664</v>
      </c>
      <c r="J120" s="1" t="str">
        <f t="shared" si="5"/>
        <v>2025-01</v>
      </c>
    </row>
    <row r="121" spans="1:10" x14ac:dyDescent="0.2">
      <c r="A121" s="2">
        <v>119</v>
      </c>
      <c r="B121" s="1" t="s">
        <v>4</v>
      </c>
      <c r="C121" s="1">
        <v>39002244762</v>
      </c>
      <c r="D121" s="1" t="s">
        <v>56</v>
      </c>
      <c r="E121" s="1" t="s">
        <v>57</v>
      </c>
      <c r="F121" s="1">
        <v>1</v>
      </c>
      <c r="G121" s="1" t="s">
        <v>88</v>
      </c>
      <c r="H121" s="1" t="str">
        <f t="shared" si="3"/>
        <v>SPICY MEATBALL</v>
      </c>
      <c r="I121" s="9">
        <f t="shared" si="4"/>
        <v>45686</v>
      </c>
      <c r="J121" s="1" t="str">
        <f t="shared" si="5"/>
        <v>2025-01</v>
      </c>
    </row>
    <row r="122" spans="1:10" x14ac:dyDescent="0.2">
      <c r="A122" s="2">
        <v>120</v>
      </c>
      <c r="B122" s="1" t="s">
        <v>33</v>
      </c>
      <c r="C122" s="1">
        <v>39000239733</v>
      </c>
      <c r="D122" s="1" t="s">
        <v>60</v>
      </c>
      <c r="E122" s="1" t="s">
        <v>61</v>
      </c>
      <c r="F122" s="1">
        <v>1</v>
      </c>
      <c r="G122" s="1" t="s">
        <v>115</v>
      </c>
      <c r="H122" s="1" t="str">
        <f t="shared" si="3"/>
        <v>BLUEBERRY SMOOTHIE</v>
      </c>
      <c r="I122" s="9">
        <f t="shared" si="4"/>
        <v>45672</v>
      </c>
      <c r="J122" s="1" t="str">
        <f t="shared" si="5"/>
        <v>2025-01</v>
      </c>
    </row>
    <row r="123" spans="1:10" x14ac:dyDescent="0.2">
      <c r="A123" s="2">
        <v>121</v>
      </c>
      <c r="B123" s="1" t="s">
        <v>21</v>
      </c>
      <c r="C123" s="1">
        <v>39000336648</v>
      </c>
      <c r="D123" s="1" t="s">
        <v>66</v>
      </c>
      <c r="E123" s="1" t="s">
        <v>67</v>
      </c>
      <c r="F123" s="1">
        <v>1</v>
      </c>
      <c r="G123" s="1" t="s">
        <v>129</v>
      </c>
      <c r="H123" s="1" t="str">
        <f t="shared" si="3"/>
        <v>PICKLE JUICE</v>
      </c>
      <c r="I123" s="9">
        <f t="shared" si="4"/>
        <v>45699</v>
      </c>
      <c r="J123" s="1" t="str">
        <f t="shared" si="5"/>
        <v>2025-02</v>
      </c>
    </row>
    <row r="124" spans="1:10" x14ac:dyDescent="0.2">
      <c r="A124" s="2">
        <v>122</v>
      </c>
      <c r="B124" s="1" t="s">
        <v>44</v>
      </c>
      <c r="C124" s="1">
        <v>39000959153</v>
      </c>
      <c r="D124" s="1" t="s">
        <v>58</v>
      </c>
      <c r="E124" s="1" t="s">
        <v>59</v>
      </c>
      <c r="F124" s="1">
        <v>1</v>
      </c>
      <c r="G124" s="1" t="s">
        <v>79</v>
      </c>
      <c r="H124" s="1" t="str">
        <f t="shared" si="3"/>
        <v>DIET SODA</v>
      </c>
      <c r="I124" s="9">
        <f t="shared" si="4"/>
        <v>45666</v>
      </c>
      <c r="J124" s="1" t="str">
        <f t="shared" si="5"/>
        <v>2025-01</v>
      </c>
    </row>
    <row r="125" spans="1:10" x14ac:dyDescent="0.2">
      <c r="A125" s="2">
        <v>123</v>
      </c>
      <c r="B125" s="1" t="s">
        <v>38</v>
      </c>
      <c r="C125" s="1">
        <v>39001719250</v>
      </c>
      <c r="D125" s="1" t="s">
        <v>64</v>
      </c>
      <c r="E125" s="1" t="s">
        <v>65</v>
      </c>
      <c r="F125" s="1">
        <v>-8.3000000000000004E-2</v>
      </c>
      <c r="G125" s="1" t="s">
        <v>94</v>
      </c>
      <c r="H125" s="1" t="str">
        <f t="shared" si="3"/>
        <v>DIET COOKIE</v>
      </c>
      <c r="I125" s="9">
        <f t="shared" si="4"/>
        <v>45671</v>
      </c>
      <c r="J125" s="1" t="str">
        <f t="shared" si="5"/>
        <v>2025-01</v>
      </c>
    </row>
    <row r="126" spans="1:10" x14ac:dyDescent="0.2">
      <c r="A126" s="2">
        <v>124</v>
      </c>
      <c r="B126" s="1" t="s">
        <v>32</v>
      </c>
      <c r="C126" s="1">
        <v>39001461187</v>
      </c>
      <c r="D126" s="1" t="s">
        <v>70</v>
      </c>
      <c r="E126" s="1" t="s">
        <v>71</v>
      </c>
      <c r="F126" s="1">
        <v>1</v>
      </c>
      <c r="G126" s="1" t="s">
        <v>111</v>
      </c>
      <c r="H126" s="1" t="str">
        <f t="shared" si="3"/>
        <v>MAPLE SYRUP</v>
      </c>
      <c r="I126" s="9">
        <f t="shared" si="4"/>
        <v>45695</v>
      </c>
      <c r="J126" s="1" t="str">
        <f t="shared" si="5"/>
        <v>2025-02</v>
      </c>
    </row>
    <row r="127" spans="1:10" x14ac:dyDescent="0.2">
      <c r="A127" s="2">
        <v>125</v>
      </c>
      <c r="B127" s="1" t="s">
        <v>23</v>
      </c>
      <c r="C127" s="1">
        <v>39001626248</v>
      </c>
      <c r="D127" s="1" t="s">
        <v>70</v>
      </c>
      <c r="E127" s="1" t="s">
        <v>71</v>
      </c>
      <c r="F127" s="1">
        <v>1</v>
      </c>
      <c r="G127" s="1" t="s">
        <v>118</v>
      </c>
      <c r="H127" s="1" t="str">
        <f t="shared" si="3"/>
        <v>SF STRAWBERRY MILKSHAKE</v>
      </c>
      <c r="I127" s="9">
        <f t="shared" si="4"/>
        <v>45715</v>
      </c>
      <c r="J127" s="1" t="str">
        <f t="shared" si="5"/>
        <v>2025-02</v>
      </c>
    </row>
    <row r="128" spans="1:10" x14ac:dyDescent="0.2">
      <c r="A128" s="2">
        <v>126</v>
      </c>
      <c r="B128" s="1" t="s">
        <v>23</v>
      </c>
      <c r="C128" s="1">
        <v>39000657163</v>
      </c>
      <c r="D128" s="1" t="s">
        <v>68</v>
      </c>
      <c r="E128" s="1" t="s">
        <v>68</v>
      </c>
      <c r="F128" s="1">
        <v>1</v>
      </c>
      <c r="G128" s="1" t="s">
        <v>130</v>
      </c>
      <c r="H128" s="1" t="str">
        <f t="shared" si="3"/>
        <v>SF LEMONADE</v>
      </c>
      <c r="I128" s="9">
        <f t="shared" si="4"/>
        <v>45715</v>
      </c>
      <c r="J128" s="1" t="str">
        <f t="shared" si="5"/>
        <v>2025-02</v>
      </c>
    </row>
    <row r="129" spans="1:10" x14ac:dyDescent="0.2">
      <c r="A129" s="2">
        <v>127</v>
      </c>
      <c r="B129" s="1" t="s">
        <v>27</v>
      </c>
      <c r="C129" s="1">
        <v>39000667004</v>
      </c>
      <c r="D129" s="1" t="s">
        <v>68</v>
      </c>
      <c r="E129" s="1" t="s">
        <v>68</v>
      </c>
      <c r="F129" s="1">
        <v>1</v>
      </c>
      <c r="G129" s="1" t="s">
        <v>83</v>
      </c>
      <c r="H129" s="1" t="str">
        <f t="shared" si="3"/>
        <v>SPICY MEATBALL</v>
      </c>
      <c r="I129" s="9">
        <f t="shared" si="4"/>
        <v>45709</v>
      </c>
      <c r="J129" s="1" t="str">
        <f t="shared" si="5"/>
        <v>2025-02</v>
      </c>
    </row>
    <row r="130" spans="1:10" x14ac:dyDescent="0.2">
      <c r="A130" s="2">
        <v>128</v>
      </c>
      <c r="B130" s="1" t="s">
        <v>31</v>
      </c>
      <c r="C130" s="1">
        <v>39000344175</v>
      </c>
      <c r="D130" s="1" t="s">
        <v>66</v>
      </c>
      <c r="E130" s="1" t="s">
        <v>67</v>
      </c>
      <c r="F130" s="1">
        <v>1</v>
      </c>
      <c r="G130" s="1" t="s">
        <v>131</v>
      </c>
      <c r="H130" s="1" t="str">
        <f t="shared" si="3"/>
        <v>STRAWBERRY MILKSHAKE</v>
      </c>
      <c r="I130" s="9">
        <f t="shared" si="4"/>
        <v>45714</v>
      </c>
      <c r="J130" s="1" t="str">
        <f t="shared" si="5"/>
        <v>2025-02</v>
      </c>
    </row>
    <row r="131" spans="1:10" x14ac:dyDescent="0.2">
      <c r="A131" s="2">
        <v>129</v>
      </c>
      <c r="B131" s="1" t="s">
        <v>32</v>
      </c>
      <c r="C131" s="1">
        <v>39000234767</v>
      </c>
      <c r="D131" s="1" t="s">
        <v>69</v>
      </c>
      <c r="E131" s="1" t="s">
        <v>61</v>
      </c>
      <c r="F131" s="1">
        <v>3</v>
      </c>
      <c r="G131" s="1" t="s">
        <v>88</v>
      </c>
      <c r="H131" s="1" t="str">
        <f t="shared" ref="H131:H194" si="6">_xlfn.TEXTBEFORE(G131," ",-2)</f>
        <v>SPICY MEATBALL</v>
      </c>
      <c r="I131" s="9">
        <f t="shared" ref="I131:I194" si="7">DATE(LEFT(B131,4), MID(B131,5,2), RIGHT(B131,2))</f>
        <v>45695</v>
      </c>
      <c r="J131" s="1" t="str">
        <f t="shared" ref="J131:J194" si="8">TEXT(I131,"YYYY-MM")</f>
        <v>2025-02</v>
      </c>
    </row>
    <row r="132" spans="1:10" x14ac:dyDescent="0.2">
      <c r="A132" s="2">
        <v>130</v>
      </c>
      <c r="B132" s="1" t="s">
        <v>26</v>
      </c>
      <c r="C132" s="1">
        <v>39001774942</v>
      </c>
      <c r="D132" s="1" t="s">
        <v>66</v>
      </c>
      <c r="E132" s="1" t="s">
        <v>67</v>
      </c>
      <c r="F132" s="1">
        <v>2</v>
      </c>
      <c r="G132" s="1" t="s">
        <v>91</v>
      </c>
      <c r="H132" s="1" t="str">
        <f t="shared" si="6"/>
        <v>DIET</v>
      </c>
      <c r="I132" s="9">
        <f t="shared" si="7"/>
        <v>45707</v>
      </c>
      <c r="J132" s="1" t="str">
        <f t="shared" si="8"/>
        <v>2025-02</v>
      </c>
    </row>
    <row r="133" spans="1:10" x14ac:dyDescent="0.2">
      <c r="A133" s="2">
        <v>131</v>
      </c>
      <c r="B133" s="1" t="s">
        <v>6</v>
      </c>
      <c r="C133" s="1">
        <v>39001707004</v>
      </c>
      <c r="D133" s="1" t="s">
        <v>64</v>
      </c>
      <c r="E133" s="1" t="s">
        <v>65</v>
      </c>
      <c r="F133" s="1">
        <v>-0.79200000000000004</v>
      </c>
      <c r="G133" s="1" t="s">
        <v>92</v>
      </c>
      <c r="H133" s="1" t="str">
        <f t="shared" si="6"/>
        <v>DIET COOKIE</v>
      </c>
      <c r="I133" s="9">
        <f t="shared" si="7"/>
        <v>45720</v>
      </c>
      <c r="J133" s="1" t="str">
        <f t="shared" si="8"/>
        <v>2025-03</v>
      </c>
    </row>
    <row r="134" spans="1:10" x14ac:dyDescent="0.2">
      <c r="A134" s="2">
        <v>132</v>
      </c>
      <c r="B134" s="1" t="s">
        <v>31</v>
      </c>
      <c r="C134" s="1">
        <v>39000592683</v>
      </c>
      <c r="D134" s="1" t="s">
        <v>54</v>
      </c>
      <c r="E134" s="1" t="s">
        <v>55</v>
      </c>
      <c r="F134" s="1">
        <v>1</v>
      </c>
      <c r="G134" s="1" t="s">
        <v>124</v>
      </c>
      <c r="H134" s="1" t="str">
        <f t="shared" si="6"/>
        <v>SUSHI ROLL</v>
      </c>
      <c r="I134" s="9">
        <f t="shared" si="7"/>
        <v>45714</v>
      </c>
      <c r="J134" s="1" t="str">
        <f t="shared" si="8"/>
        <v>2025-02</v>
      </c>
    </row>
    <row r="135" spans="1:10" x14ac:dyDescent="0.2">
      <c r="A135" s="2">
        <v>133</v>
      </c>
      <c r="B135" s="1" t="s">
        <v>18</v>
      </c>
      <c r="C135" s="1">
        <v>39001686464</v>
      </c>
      <c r="D135" s="1" t="s">
        <v>62</v>
      </c>
      <c r="E135" s="1" t="s">
        <v>63</v>
      </c>
      <c r="F135" s="1">
        <v>3</v>
      </c>
      <c r="G135" s="1" t="s">
        <v>88</v>
      </c>
      <c r="H135" s="1" t="str">
        <f t="shared" si="6"/>
        <v>SPICY MEATBALL</v>
      </c>
      <c r="I135" s="9">
        <f t="shared" si="7"/>
        <v>45678</v>
      </c>
      <c r="J135" s="1" t="str">
        <f t="shared" si="8"/>
        <v>2025-01</v>
      </c>
    </row>
    <row r="136" spans="1:10" x14ac:dyDescent="0.2">
      <c r="A136" s="2">
        <v>134</v>
      </c>
      <c r="B136" s="1" t="s">
        <v>15</v>
      </c>
      <c r="C136" s="1">
        <v>39000590902</v>
      </c>
      <c r="D136" s="1" t="s">
        <v>54</v>
      </c>
      <c r="E136" s="1" t="s">
        <v>55</v>
      </c>
      <c r="F136" s="1">
        <v>3</v>
      </c>
      <c r="G136" s="1" t="s">
        <v>90</v>
      </c>
      <c r="H136" s="1" t="str">
        <f t="shared" si="6"/>
        <v>SPICY MEATBALL</v>
      </c>
      <c r="I136" s="9">
        <f t="shared" si="7"/>
        <v>45713</v>
      </c>
      <c r="J136" s="1" t="str">
        <f t="shared" si="8"/>
        <v>2025-02</v>
      </c>
    </row>
    <row r="137" spans="1:10" x14ac:dyDescent="0.2">
      <c r="A137" s="2">
        <v>135</v>
      </c>
      <c r="B137" s="1" t="s">
        <v>18</v>
      </c>
      <c r="C137" s="1">
        <v>39000588783</v>
      </c>
      <c r="D137" s="1" t="s">
        <v>54</v>
      </c>
      <c r="E137" s="1" t="s">
        <v>55</v>
      </c>
      <c r="F137" s="1">
        <v>1</v>
      </c>
      <c r="G137" s="1" t="s">
        <v>132</v>
      </c>
      <c r="H137" s="1" t="str">
        <f t="shared" si="6"/>
        <v>AVOCADO TOAST</v>
      </c>
      <c r="I137" s="9">
        <f t="shared" si="7"/>
        <v>45678</v>
      </c>
      <c r="J137" s="1" t="str">
        <f t="shared" si="8"/>
        <v>2025-01</v>
      </c>
    </row>
    <row r="138" spans="1:10" x14ac:dyDescent="0.2">
      <c r="A138" s="2">
        <v>136</v>
      </c>
      <c r="B138" s="1" t="s">
        <v>46</v>
      </c>
      <c r="C138" s="1">
        <v>39000201838</v>
      </c>
      <c r="D138" s="1" t="s">
        <v>69</v>
      </c>
      <c r="E138" s="1" t="s">
        <v>61</v>
      </c>
      <c r="F138" s="1">
        <v>1</v>
      </c>
      <c r="G138" s="1" t="s">
        <v>78</v>
      </c>
      <c r="H138" s="1" t="str">
        <f t="shared" si="6"/>
        <v>PICKLE JUICE</v>
      </c>
      <c r="I138" s="9">
        <f t="shared" si="7"/>
        <v>45701</v>
      </c>
      <c r="J138" s="1" t="str">
        <f t="shared" si="8"/>
        <v>2025-02</v>
      </c>
    </row>
    <row r="139" spans="1:10" x14ac:dyDescent="0.2">
      <c r="A139" s="2">
        <v>137</v>
      </c>
      <c r="B139" s="1" t="s">
        <v>20</v>
      </c>
      <c r="C139" s="1">
        <v>39000221156</v>
      </c>
      <c r="D139" s="1" t="s">
        <v>60</v>
      </c>
      <c r="E139" s="1" t="s">
        <v>61</v>
      </c>
      <c r="F139" s="1">
        <v>1</v>
      </c>
      <c r="G139" s="1" t="s">
        <v>111</v>
      </c>
      <c r="H139" s="1" t="str">
        <f t="shared" si="6"/>
        <v>MAPLE SYRUP</v>
      </c>
      <c r="I139" s="9">
        <f t="shared" si="7"/>
        <v>45688</v>
      </c>
      <c r="J139" s="1" t="str">
        <f t="shared" si="8"/>
        <v>2025-01</v>
      </c>
    </row>
    <row r="140" spans="1:10" x14ac:dyDescent="0.2">
      <c r="A140" s="2">
        <v>138</v>
      </c>
      <c r="B140" s="1" t="s">
        <v>6</v>
      </c>
      <c r="C140" s="1">
        <v>39001969994</v>
      </c>
      <c r="D140" s="1" t="s">
        <v>60</v>
      </c>
      <c r="E140" s="1" t="s">
        <v>61</v>
      </c>
      <c r="F140" s="1">
        <v>2</v>
      </c>
      <c r="G140" s="1" t="s">
        <v>108</v>
      </c>
      <c r="H140" s="1" t="str">
        <f t="shared" si="6"/>
        <v>SUSHI ROLL</v>
      </c>
      <c r="I140" s="9">
        <f t="shared" si="7"/>
        <v>45720</v>
      </c>
      <c r="J140" s="1" t="str">
        <f t="shared" si="8"/>
        <v>2025-03</v>
      </c>
    </row>
    <row r="141" spans="1:10" x14ac:dyDescent="0.2">
      <c r="A141" s="2">
        <v>139</v>
      </c>
      <c r="B141" s="1" t="s">
        <v>20</v>
      </c>
      <c r="C141" s="1">
        <v>39002780388</v>
      </c>
      <c r="D141" s="1" t="s">
        <v>54</v>
      </c>
      <c r="E141" s="1" t="s">
        <v>55</v>
      </c>
      <c r="F141" s="1">
        <v>1</v>
      </c>
      <c r="G141" s="1" t="s">
        <v>126</v>
      </c>
      <c r="H141" s="1" t="str">
        <f t="shared" si="6"/>
        <v>PICKLE JUICE</v>
      </c>
      <c r="I141" s="9">
        <f t="shared" si="7"/>
        <v>45688</v>
      </c>
      <c r="J141" s="1" t="str">
        <f t="shared" si="8"/>
        <v>2025-01</v>
      </c>
    </row>
    <row r="142" spans="1:10" x14ac:dyDescent="0.2">
      <c r="A142" s="2">
        <v>140</v>
      </c>
      <c r="B142" s="1" t="s">
        <v>23</v>
      </c>
      <c r="C142" s="1">
        <v>39001957995</v>
      </c>
      <c r="D142" s="1" t="s">
        <v>70</v>
      </c>
      <c r="E142" s="1" t="s">
        <v>71</v>
      </c>
      <c r="F142" s="1">
        <v>1</v>
      </c>
      <c r="G142" s="1" t="s">
        <v>85</v>
      </c>
      <c r="H142" s="1" t="str">
        <f t="shared" si="6"/>
        <v>SF MAPLE SYRUP</v>
      </c>
      <c r="I142" s="9">
        <f t="shared" si="7"/>
        <v>45715</v>
      </c>
      <c r="J142" s="1" t="str">
        <f t="shared" si="8"/>
        <v>2025-02</v>
      </c>
    </row>
    <row r="143" spans="1:10" x14ac:dyDescent="0.2">
      <c r="A143" s="2">
        <v>141</v>
      </c>
      <c r="B143" s="1" t="s">
        <v>25</v>
      </c>
      <c r="C143" s="1">
        <v>39002766062</v>
      </c>
      <c r="D143" s="1" t="s">
        <v>66</v>
      </c>
      <c r="E143" s="1" t="s">
        <v>67</v>
      </c>
      <c r="F143" s="1">
        <v>1</v>
      </c>
      <c r="G143" s="1" t="s">
        <v>103</v>
      </c>
      <c r="H143" s="1" t="str">
        <f t="shared" si="6"/>
        <v>COCONUT MILK</v>
      </c>
      <c r="I143" s="9">
        <f t="shared" si="7"/>
        <v>45702</v>
      </c>
      <c r="J143" s="1" t="str">
        <f t="shared" si="8"/>
        <v>2025-02</v>
      </c>
    </row>
    <row r="144" spans="1:10" x14ac:dyDescent="0.2">
      <c r="A144" s="2">
        <v>142</v>
      </c>
      <c r="B144" s="1" t="s">
        <v>13</v>
      </c>
      <c r="C144" s="1">
        <v>39000658632</v>
      </c>
      <c r="D144" s="1" t="s">
        <v>68</v>
      </c>
      <c r="E144" s="1" t="s">
        <v>68</v>
      </c>
      <c r="F144" s="1">
        <v>1</v>
      </c>
      <c r="G144" s="1" t="s">
        <v>133</v>
      </c>
      <c r="H144" s="1" t="str">
        <f t="shared" si="6"/>
        <v>PEACH COBBLER</v>
      </c>
      <c r="I144" s="9">
        <f t="shared" si="7"/>
        <v>45664</v>
      </c>
      <c r="J144" s="1" t="str">
        <f t="shared" si="8"/>
        <v>2025-01</v>
      </c>
    </row>
    <row r="145" spans="1:10" x14ac:dyDescent="0.2">
      <c r="A145" s="2">
        <v>143</v>
      </c>
      <c r="B145" s="1" t="s">
        <v>44</v>
      </c>
      <c r="C145" s="1">
        <v>39000197405</v>
      </c>
      <c r="D145" s="1" t="s">
        <v>60</v>
      </c>
      <c r="E145" s="1" t="s">
        <v>61</v>
      </c>
      <c r="F145" s="1">
        <v>7</v>
      </c>
      <c r="G145" s="1" t="s">
        <v>88</v>
      </c>
      <c r="H145" s="1" t="str">
        <f t="shared" si="6"/>
        <v>SPICY MEATBALL</v>
      </c>
      <c r="I145" s="9">
        <f t="shared" si="7"/>
        <v>45666</v>
      </c>
      <c r="J145" s="1" t="str">
        <f t="shared" si="8"/>
        <v>2025-01</v>
      </c>
    </row>
    <row r="146" spans="1:10" x14ac:dyDescent="0.2">
      <c r="A146" s="2">
        <v>144</v>
      </c>
      <c r="B146" s="1" t="s">
        <v>6</v>
      </c>
      <c r="C146" s="1">
        <v>39001431339</v>
      </c>
      <c r="D146" s="1" t="s">
        <v>70</v>
      </c>
      <c r="E146" s="1" t="s">
        <v>71</v>
      </c>
      <c r="F146" s="1">
        <v>1</v>
      </c>
      <c r="G146" s="1" t="s">
        <v>90</v>
      </c>
      <c r="H146" s="1" t="str">
        <f t="shared" si="6"/>
        <v>SPICY MEATBALL</v>
      </c>
      <c r="I146" s="9">
        <f t="shared" si="7"/>
        <v>45720</v>
      </c>
      <c r="J146" s="1" t="str">
        <f t="shared" si="8"/>
        <v>2025-03</v>
      </c>
    </row>
    <row r="147" spans="1:10" x14ac:dyDescent="0.2">
      <c r="A147" s="2">
        <v>145</v>
      </c>
      <c r="B147" s="1" t="s">
        <v>46</v>
      </c>
      <c r="C147" s="1">
        <v>39001431456</v>
      </c>
      <c r="D147" s="1" t="s">
        <v>70</v>
      </c>
      <c r="E147" s="1" t="s">
        <v>71</v>
      </c>
      <c r="F147" s="1">
        <v>1</v>
      </c>
      <c r="G147" s="1" t="s">
        <v>83</v>
      </c>
      <c r="H147" s="1" t="str">
        <f t="shared" si="6"/>
        <v>SPICY MEATBALL</v>
      </c>
      <c r="I147" s="9">
        <f t="shared" si="7"/>
        <v>45701</v>
      </c>
      <c r="J147" s="1" t="str">
        <f t="shared" si="8"/>
        <v>2025-02</v>
      </c>
    </row>
    <row r="148" spans="1:10" x14ac:dyDescent="0.2">
      <c r="A148" s="2">
        <v>146</v>
      </c>
      <c r="B148" s="1" t="s">
        <v>23</v>
      </c>
      <c r="C148" s="1">
        <v>39000217412</v>
      </c>
      <c r="D148" s="1" t="s">
        <v>60</v>
      </c>
      <c r="E148" s="1" t="s">
        <v>61</v>
      </c>
      <c r="F148" s="1">
        <v>1</v>
      </c>
      <c r="G148" s="1" t="s">
        <v>95</v>
      </c>
      <c r="H148" s="1" t="str">
        <f t="shared" si="6"/>
        <v>LEMONADE</v>
      </c>
      <c r="I148" s="9">
        <f t="shared" si="7"/>
        <v>45715</v>
      </c>
      <c r="J148" s="1" t="str">
        <f t="shared" si="8"/>
        <v>2025-02</v>
      </c>
    </row>
    <row r="149" spans="1:10" x14ac:dyDescent="0.2">
      <c r="A149" s="2">
        <v>147</v>
      </c>
      <c r="B149" s="1" t="s">
        <v>8</v>
      </c>
      <c r="C149" s="1">
        <v>39000285064</v>
      </c>
      <c r="D149" s="1" t="s">
        <v>74</v>
      </c>
      <c r="E149" s="1" t="s">
        <v>63</v>
      </c>
      <c r="F149" s="1">
        <v>2</v>
      </c>
      <c r="G149" s="1" t="s">
        <v>134</v>
      </c>
      <c r="H149" s="1" t="str">
        <f t="shared" si="6"/>
        <v>BLUEBERRY SMOOTHIE</v>
      </c>
      <c r="I149" s="9">
        <f t="shared" si="7"/>
        <v>45706</v>
      </c>
      <c r="J149" s="1" t="str">
        <f t="shared" si="8"/>
        <v>2025-02</v>
      </c>
    </row>
    <row r="150" spans="1:10" x14ac:dyDescent="0.2">
      <c r="A150" s="2">
        <v>148</v>
      </c>
      <c r="B150" s="1" t="s">
        <v>29</v>
      </c>
      <c r="C150" s="1">
        <v>39000979888</v>
      </c>
      <c r="D150" s="1" t="s">
        <v>58</v>
      </c>
      <c r="E150" s="1" t="s">
        <v>59</v>
      </c>
      <c r="F150" s="1">
        <v>1</v>
      </c>
      <c r="G150" s="1" t="s">
        <v>111</v>
      </c>
      <c r="H150" s="1" t="str">
        <f t="shared" si="6"/>
        <v>MAPLE SYRUP</v>
      </c>
      <c r="I150" s="9">
        <f t="shared" si="7"/>
        <v>45660</v>
      </c>
      <c r="J150" s="1" t="str">
        <f t="shared" si="8"/>
        <v>2025-01</v>
      </c>
    </row>
    <row r="151" spans="1:10" x14ac:dyDescent="0.2">
      <c r="A151" s="2">
        <v>149</v>
      </c>
      <c r="B151" s="1" t="s">
        <v>39</v>
      </c>
      <c r="C151" s="1">
        <v>39000667225</v>
      </c>
      <c r="D151" s="1" t="s">
        <v>68</v>
      </c>
      <c r="E151" s="1" t="s">
        <v>68</v>
      </c>
      <c r="F151" s="1">
        <v>1</v>
      </c>
      <c r="G151" s="1" t="s">
        <v>89</v>
      </c>
      <c r="H151" s="1" t="str">
        <f t="shared" si="6"/>
        <v>WASABI BANANA PUDDING</v>
      </c>
      <c r="I151" s="9">
        <f t="shared" si="7"/>
        <v>45684</v>
      </c>
      <c r="J151" s="1" t="str">
        <f t="shared" si="8"/>
        <v>2025-01</v>
      </c>
    </row>
    <row r="152" spans="1:10" x14ac:dyDescent="0.2">
      <c r="A152" s="2">
        <v>150</v>
      </c>
      <c r="B152" s="1" t="s">
        <v>20</v>
      </c>
      <c r="C152" s="1">
        <v>39000984841</v>
      </c>
      <c r="D152" s="1" t="s">
        <v>58</v>
      </c>
      <c r="E152" s="1" t="s">
        <v>59</v>
      </c>
      <c r="F152" s="1">
        <v>1</v>
      </c>
      <c r="G152" s="1" t="s">
        <v>99</v>
      </c>
      <c r="H152" s="1" t="str">
        <f t="shared" si="6"/>
        <v>KETCHUP</v>
      </c>
      <c r="I152" s="9">
        <f t="shared" si="7"/>
        <v>45688</v>
      </c>
      <c r="J152" s="1" t="str">
        <f t="shared" si="8"/>
        <v>2025-01</v>
      </c>
    </row>
    <row r="153" spans="1:10" x14ac:dyDescent="0.2">
      <c r="A153" s="2">
        <v>151</v>
      </c>
      <c r="B153" s="1" t="s">
        <v>4</v>
      </c>
      <c r="C153" s="1">
        <v>39000202956</v>
      </c>
      <c r="D153" s="1" t="s">
        <v>69</v>
      </c>
      <c r="E153" s="1" t="s">
        <v>61</v>
      </c>
      <c r="F153" s="1">
        <v>2</v>
      </c>
      <c r="G153" s="1" t="s">
        <v>88</v>
      </c>
      <c r="H153" s="1" t="str">
        <f t="shared" si="6"/>
        <v>SPICY MEATBALL</v>
      </c>
      <c r="I153" s="9">
        <f t="shared" si="7"/>
        <v>45686</v>
      </c>
      <c r="J153" s="1" t="str">
        <f t="shared" si="8"/>
        <v>2025-01</v>
      </c>
    </row>
    <row r="154" spans="1:10" x14ac:dyDescent="0.2">
      <c r="A154" s="2">
        <v>152</v>
      </c>
      <c r="B154" s="1" t="s">
        <v>16</v>
      </c>
      <c r="C154" s="1">
        <v>39000261079</v>
      </c>
      <c r="D154" s="1" t="s">
        <v>62</v>
      </c>
      <c r="E154" s="1" t="s">
        <v>63</v>
      </c>
      <c r="F154" s="1">
        <v>1</v>
      </c>
      <c r="G154" s="1" t="s">
        <v>111</v>
      </c>
      <c r="H154" s="1" t="str">
        <f t="shared" si="6"/>
        <v>MAPLE SYRUP</v>
      </c>
      <c r="I154" s="9">
        <f t="shared" si="7"/>
        <v>45663</v>
      </c>
      <c r="J154" s="1" t="str">
        <f t="shared" si="8"/>
        <v>2025-01</v>
      </c>
    </row>
    <row r="155" spans="1:10" x14ac:dyDescent="0.2">
      <c r="A155" s="2">
        <v>153</v>
      </c>
      <c r="B155" s="1" t="s">
        <v>8</v>
      </c>
      <c r="C155" s="1">
        <v>39000344214</v>
      </c>
      <c r="D155" s="1" t="s">
        <v>66</v>
      </c>
      <c r="E155" s="1" t="s">
        <v>67</v>
      </c>
      <c r="F155" s="1">
        <v>1</v>
      </c>
      <c r="G155" s="1" t="s">
        <v>79</v>
      </c>
      <c r="H155" s="1" t="str">
        <f t="shared" si="6"/>
        <v>DIET SODA</v>
      </c>
      <c r="I155" s="9">
        <f t="shared" si="7"/>
        <v>45706</v>
      </c>
      <c r="J155" s="1" t="str">
        <f t="shared" si="8"/>
        <v>2025-02</v>
      </c>
    </row>
    <row r="156" spans="1:10" x14ac:dyDescent="0.2">
      <c r="A156" s="2">
        <v>154</v>
      </c>
      <c r="B156" s="1">
        <v>20250225</v>
      </c>
      <c r="C156" s="1">
        <v>39000217191</v>
      </c>
      <c r="D156" s="1" t="s">
        <v>60</v>
      </c>
      <c r="E156" s="1" t="s">
        <v>61</v>
      </c>
      <c r="F156" s="1">
        <v>1</v>
      </c>
      <c r="G156" s="1" t="s">
        <v>85</v>
      </c>
      <c r="H156" s="1" t="str">
        <f t="shared" si="6"/>
        <v>SF MAPLE SYRUP</v>
      </c>
      <c r="I156" s="9">
        <f t="shared" si="7"/>
        <v>45713</v>
      </c>
      <c r="J156" s="1" t="str">
        <f t="shared" si="8"/>
        <v>2025-02</v>
      </c>
    </row>
    <row r="157" spans="1:10" x14ac:dyDescent="0.2">
      <c r="A157" s="2">
        <v>155</v>
      </c>
      <c r="B157" s="1" t="s">
        <v>48</v>
      </c>
      <c r="C157" s="1">
        <v>39000203905</v>
      </c>
      <c r="D157" s="1" t="s">
        <v>60</v>
      </c>
      <c r="E157" s="1" t="s">
        <v>61</v>
      </c>
      <c r="F157" s="1">
        <v>1</v>
      </c>
      <c r="G157" s="1" t="s">
        <v>99</v>
      </c>
      <c r="H157" s="1" t="str">
        <f t="shared" si="6"/>
        <v>KETCHUP</v>
      </c>
      <c r="I157" s="9">
        <f t="shared" si="7"/>
        <v>45667</v>
      </c>
      <c r="J157" s="1" t="str">
        <f t="shared" si="8"/>
        <v>2025-01</v>
      </c>
    </row>
    <row r="158" spans="1:10" x14ac:dyDescent="0.2">
      <c r="A158" s="2">
        <v>156</v>
      </c>
      <c r="B158" s="1" t="s">
        <v>30</v>
      </c>
      <c r="C158" s="1">
        <v>39000590109</v>
      </c>
      <c r="D158" s="1" t="s">
        <v>54</v>
      </c>
      <c r="E158" s="1" t="s">
        <v>55</v>
      </c>
      <c r="F158" s="1">
        <v>1</v>
      </c>
      <c r="G158" s="1" t="s">
        <v>115</v>
      </c>
      <c r="H158" s="1" t="str">
        <f t="shared" si="6"/>
        <v>BLUEBERRY SMOOTHIE</v>
      </c>
      <c r="I158" s="9">
        <f t="shared" si="7"/>
        <v>45716</v>
      </c>
      <c r="J158" s="1" t="str">
        <f t="shared" si="8"/>
        <v>2025-02</v>
      </c>
    </row>
    <row r="159" spans="1:10" x14ac:dyDescent="0.2">
      <c r="A159" s="2">
        <v>157</v>
      </c>
      <c r="B159" s="1" t="s">
        <v>48</v>
      </c>
      <c r="C159" s="1">
        <v>39001549691</v>
      </c>
      <c r="D159" s="1" t="s">
        <v>75</v>
      </c>
      <c r="E159" s="1" t="s">
        <v>71</v>
      </c>
      <c r="F159" s="1">
        <v>1</v>
      </c>
      <c r="G159" s="1" t="s">
        <v>135</v>
      </c>
      <c r="H159" s="1" t="str">
        <f t="shared" si="6"/>
        <v>SPICY MEATBALL</v>
      </c>
      <c r="I159" s="9">
        <f t="shared" si="7"/>
        <v>45667</v>
      </c>
      <c r="J159" s="1" t="str">
        <f t="shared" si="8"/>
        <v>2025-01</v>
      </c>
    </row>
    <row r="160" spans="1:10" x14ac:dyDescent="0.2">
      <c r="A160" s="2">
        <v>158</v>
      </c>
      <c r="B160" s="1" t="s">
        <v>46</v>
      </c>
      <c r="C160" s="1">
        <v>39000282022</v>
      </c>
      <c r="D160" s="1" t="s">
        <v>74</v>
      </c>
      <c r="E160" s="1" t="s">
        <v>63</v>
      </c>
      <c r="F160" s="1">
        <v>1</v>
      </c>
      <c r="G160" s="1" t="s">
        <v>122</v>
      </c>
      <c r="H160" s="1" t="str">
        <f t="shared" si="6"/>
        <v>SF KETCHUP</v>
      </c>
      <c r="I160" s="9">
        <f t="shared" si="7"/>
        <v>45701</v>
      </c>
      <c r="J160" s="1" t="str">
        <f t="shared" si="8"/>
        <v>2025-02</v>
      </c>
    </row>
    <row r="161" spans="1:10" x14ac:dyDescent="0.2">
      <c r="A161" s="2">
        <v>159</v>
      </c>
      <c r="B161" s="1" t="s">
        <v>8</v>
      </c>
      <c r="C161" s="1">
        <v>39000266903</v>
      </c>
      <c r="D161" s="1" t="s">
        <v>62</v>
      </c>
      <c r="E161" s="1" t="s">
        <v>63</v>
      </c>
      <c r="F161" s="1">
        <v>1</v>
      </c>
      <c r="G161" s="1" t="s">
        <v>116</v>
      </c>
      <c r="H161" s="1" t="str">
        <f t="shared" si="6"/>
        <v>SPICY MEATBALL</v>
      </c>
      <c r="I161" s="9">
        <f t="shared" si="7"/>
        <v>45706</v>
      </c>
      <c r="J161" s="1" t="str">
        <f t="shared" si="8"/>
        <v>2025-02</v>
      </c>
    </row>
    <row r="162" spans="1:10" x14ac:dyDescent="0.2">
      <c r="A162" s="2">
        <v>160</v>
      </c>
      <c r="B162" s="1" t="s">
        <v>22</v>
      </c>
      <c r="C162" s="1">
        <v>39000284427</v>
      </c>
      <c r="D162" s="1" t="s">
        <v>74</v>
      </c>
      <c r="E162" s="1" t="s">
        <v>63</v>
      </c>
      <c r="F162" s="1">
        <v>1</v>
      </c>
      <c r="G162" s="1" t="s">
        <v>80</v>
      </c>
      <c r="H162" s="1" t="str">
        <f t="shared" si="6"/>
        <v>SF SUSHI ROLL</v>
      </c>
      <c r="I162" s="9">
        <f t="shared" si="7"/>
        <v>45721</v>
      </c>
      <c r="J162" s="1" t="str">
        <f t="shared" si="8"/>
        <v>2025-03</v>
      </c>
    </row>
    <row r="163" spans="1:10" x14ac:dyDescent="0.2">
      <c r="A163" s="2">
        <v>161</v>
      </c>
      <c r="B163" s="1" t="s">
        <v>5</v>
      </c>
      <c r="C163" s="1">
        <v>39001384110</v>
      </c>
      <c r="D163" s="1" t="s">
        <v>68</v>
      </c>
      <c r="E163" s="1" t="s">
        <v>68</v>
      </c>
      <c r="F163" s="1">
        <v>2</v>
      </c>
      <c r="G163" s="1" t="s">
        <v>124</v>
      </c>
      <c r="H163" s="1" t="str">
        <f t="shared" si="6"/>
        <v>SUSHI ROLL</v>
      </c>
      <c r="I163" s="9">
        <f t="shared" si="7"/>
        <v>45674</v>
      </c>
      <c r="J163" s="1" t="str">
        <f t="shared" si="8"/>
        <v>2025-01</v>
      </c>
    </row>
    <row r="164" spans="1:10" x14ac:dyDescent="0.2">
      <c r="A164" s="2">
        <v>162</v>
      </c>
      <c r="B164" s="1" t="s">
        <v>44</v>
      </c>
      <c r="C164" s="1">
        <v>39000240019</v>
      </c>
      <c r="D164" s="1" t="s">
        <v>69</v>
      </c>
      <c r="E164" s="1" t="s">
        <v>61</v>
      </c>
      <c r="F164" s="1">
        <v>1</v>
      </c>
      <c r="G164" s="1" t="s">
        <v>125</v>
      </c>
      <c r="H164" s="1" t="str">
        <f t="shared" si="6"/>
        <v>MAPLE SYRUP</v>
      </c>
      <c r="I164" s="9">
        <f t="shared" si="7"/>
        <v>45666</v>
      </c>
      <c r="J164" s="1" t="str">
        <f t="shared" si="8"/>
        <v>2025-01</v>
      </c>
    </row>
    <row r="165" spans="1:10" x14ac:dyDescent="0.2">
      <c r="A165" s="2">
        <v>163</v>
      </c>
      <c r="B165" s="1" t="s">
        <v>18</v>
      </c>
      <c r="C165" s="1">
        <v>39000202397</v>
      </c>
      <c r="D165" s="1" t="s">
        <v>69</v>
      </c>
      <c r="E165" s="1" t="s">
        <v>61</v>
      </c>
      <c r="F165" s="1">
        <v>1</v>
      </c>
      <c r="G165" s="1" t="s">
        <v>90</v>
      </c>
      <c r="H165" s="1" t="str">
        <f t="shared" si="6"/>
        <v>SPICY MEATBALL</v>
      </c>
      <c r="I165" s="9">
        <f t="shared" si="7"/>
        <v>45678</v>
      </c>
      <c r="J165" s="1" t="str">
        <f t="shared" si="8"/>
        <v>2025-01</v>
      </c>
    </row>
    <row r="166" spans="1:10" x14ac:dyDescent="0.2">
      <c r="A166" s="2">
        <v>164</v>
      </c>
      <c r="B166" s="1" t="s">
        <v>40</v>
      </c>
      <c r="C166" s="1">
        <v>39000963352</v>
      </c>
      <c r="D166" s="1" t="s">
        <v>58</v>
      </c>
      <c r="E166" s="1" t="s">
        <v>59</v>
      </c>
      <c r="F166" s="1">
        <v>2</v>
      </c>
      <c r="G166" s="1" t="s">
        <v>78</v>
      </c>
      <c r="H166" s="1" t="str">
        <f t="shared" si="6"/>
        <v>PICKLE JUICE</v>
      </c>
      <c r="I166" s="9">
        <f t="shared" si="7"/>
        <v>45670</v>
      </c>
      <c r="J166" s="1" t="str">
        <f t="shared" si="8"/>
        <v>2025-01</v>
      </c>
    </row>
    <row r="167" spans="1:10" x14ac:dyDescent="0.2">
      <c r="A167" s="2">
        <v>165</v>
      </c>
      <c r="B167" s="1" t="s">
        <v>8</v>
      </c>
      <c r="C167" s="1">
        <v>39000211835</v>
      </c>
      <c r="D167" s="1" t="s">
        <v>69</v>
      </c>
      <c r="E167" s="1" t="s">
        <v>61</v>
      </c>
      <c r="F167" s="1">
        <v>1</v>
      </c>
      <c r="G167" s="1" t="s">
        <v>99</v>
      </c>
      <c r="H167" s="1" t="str">
        <f t="shared" si="6"/>
        <v>KETCHUP</v>
      </c>
      <c r="I167" s="9">
        <f t="shared" si="7"/>
        <v>45706</v>
      </c>
      <c r="J167" s="1" t="str">
        <f t="shared" si="8"/>
        <v>2025-02</v>
      </c>
    </row>
    <row r="168" spans="1:10" x14ac:dyDescent="0.2">
      <c r="A168" s="2">
        <v>166</v>
      </c>
      <c r="B168" s="1" t="s">
        <v>40</v>
      </c>
      <c r="C168" s="1">
        <v>39000336973</v>
      </c>
      <c r="D168" s="1" t="s">
        <v>66</v>
      </c>
      <c r="E168" s="1" t="s">
        <v>67</v>
      </c>
      <c r="F168" s="1">
        <v>1</v>
      </c>
      <c r="G168" s="1" t="s">
        <v>83</v>
      </c>
      <c r="H168" s="1" t="str">
        <f t="shared" si="6"/>
        <v>SPICY MEATBALL</v>
      </c>
      <c r="I168" s="9">
        <f t="shared" si="7"/>
        <v>45670</v>
      </c>
      <c r="J168" s="1" t="str">
        <f t="shared" si="8"/>
        <v>2025-01</v>
      </c>
    </row>
    <row r="169" spans="1:10" x14ac:dyDescent="0.2">
      <c r="A169" s="2">
        <v>167</v>
      </c>
      <c r="B169" s="1" t="s">
        <v>5</v>
      </c>
      <c r="C169" s="1">
        <v>39000238433</v>
      </c>
      <c r="D169" s="1" t="s">
        <v>69</v>
      </c>
      <c r="E169" s="1" t="s">
        <v>61</v>
      </c>
      <c r="F169" s="1">
        <v>1</v>
      </c>
      <c r="G169" s="1" t="s">
        <v>78</v>
      </c>
      <c r="H169" s="1" t="str">
        <f t="shared" si="6"/>
        <v>PICKLE JUICE</v>
      </c>
      <c r="I169" s="9">
        <f t="shared" si="7"/>
        <v>45674</v>
      </c>
      <c r="J169" s="1" t="str">
        <f t="shared" si="8"/>
        <v>2025-01</v>
      </c>
    </row>
    <row r="170" spans="1:10" x14ac:dyDescent="0.2">
      <c r="A170" s="2">
        <v>168</v>
      </c>
      <c r="B170" s="1" t="s">
        <v>37</v>
      </c>
      <c r="C170" s="1">
        <v>39001417403</v>
      </c>
      <c r="D170" s="1" t="s">
        <v>70</v>
      </c>
      <c r="E170" s="1" t="s">
        <v>71</v>
      </c>
      <c r="F170" s="1">
        <v>1</v>
      </c>
      <c r="G170" s="1" t="s">
        <v>136</v>
      </c>
      <c r="H170" s="1" t="str">
        <f t="shared" si="6"/>
        <v>SF LEMONADE</v>
      </c>
      <c r="I170" s="9">
        <f t="shared" si="7"/>
        <v>45723</v>
      </c>
      <c r="J170" s="1" t="str">
        <f t="shared" si="8"/>
        <v>2025-03</v>
      </c>
    </row>
    <row r="171" spans="1:10" x14ac:dyDescent="0.2">
      <c r="A171" s="2">
        <v>169</v>
      </c>
      <c r="B171" s="1" t="s">
        <v>25</v>
      </c>
      <c r="C171" s="1">
        <v>39000207025</v>
      </c>
      <c r="D171" s="1" t="s">
        <v>60</v>
      </c>
      <c r="E171" s="1" t="s">
        <v>61</v>
      </c>
      <c r="F171" s="1">
        <v>1</v>
      </c>
      <c r="G171" s="1" t="s">
        <v>100</v>
      </c>
      <c r="H171" s="1" t="str">
        <f t="shared" si="6"/>
        <v>SPICY MEATBALL</v>
      </c>
      <c r="I171" s="9">
        <f t="shared" si="7"/>
        <v>45702</v>
      </c>
      <c r="J171" s="1" t="str">
        <f t="shared" si="8"/>
        <v>2025-02</v>
      </c>
    </row>
    <row r="172" spans="1:10" x14ac:dyDescent="0.2">
      <c r="A172" s="2">
        <v>170</v>
      </c>
      <c r="B172" s="1" t="s">
        <v>12</v>
      </c>
      <c r="C172" s="1">
        <v>39001711905</v>
      </c>
      <c r="D172" s="1" t="s">
        <v>64</v>
      </c>
      <c r="E172" s="1" t="s">
        <v>65</v>
      </c>
      <c r="F172" s="1">
        <v>1</v>
      </c>
      <c r="G172" s="1" t="s">
        <v>132</v>
      </c>
      <c r="H172" s="1" t="str">
        <f t="shared" si="6"/>
        <v>AVOCADO TOAST</v>
      </c>
      <c r="I172" s="9">
        <f t="shared" si="7"/>
        <v>45659</v>
      </c>
      <c r="J172" s="1" t="str">
        <f t="shared" si="8"/>
        <v>2025-01</v>
      </c>
    </row>
    <row r="173" spans="1:10" x14ac:dyDescent="0.2">
      <c r="A173" s="2">
        <v>171</v>
      </c>
      <c r="B173" s="1" t="s">
        <v>7</v>
      </c>
      <c r="C173" s="1">
        <v>39000660595</v>
      </c>
      <c r="D173" s="1" t="s">
        <v>68</v>
      </c>
      <c r="E173" s="1" t="s">
        <v>68</v>
      </c>
      <c r="F173" s="1">
        <v>1</v>
      </c>
      <c r="G173" s="1" t="s">
        <v>115</v>
      </c>
      <c r="H173" s="1" t="str">
        <f t="shared" si="6"/>
        <v>BLUEBERRY SMOOTHIE</v>
      </c>
      <c r="I173" s="9">
        <f t="shared" si="7"/>
        <v>45712</v>
      </c>
      <c r="J173" s="1" t="str">
        <f t="shared" si="8"/>
        <v>2025-02</v>
      </c>
    </row>
    <row r="174" spans="1:10" x14ac:dyDescent="0.2">
      <c r="A174" s="2">
        <v>172</v>
      </c>
      <c r="B174" s="1" t="s">
        <v>8</v>
      </c>
      <c r="C174" s="1">
        <v>39000585923</v>
      </c>
      <c r="D174" s="1" t="s">
        <v>54</v>
      </c>
      <c r="E174" s="1" t="s">
        <v>55</v>
      </c>
      <c r="F174" s="1">
        <v>1</v>
      </c>
      <c r="G174" s="1" t="s">
        <v>103</v>
      </c>
      <c r="H174" s="1" t="str">
        <f t="shared" si="6"/>
        <v>COCONUT MILK</v>
      </c>
      <c r="I174" s="9">
        <f t="shared" si="7"/>
        <v>45706</v>
      </c>
      <c r="J174" s="1" t="str">
        <f t="shared" si="8"/>
        <v>2025-02</v>
      </c>
    </row>
    <row r="175" spans="1:10" x14ac:dyDescent="0.2">
      <c r="A175" s="2">
        <v>173</v>
      </c>
      <c r="B175" s="1" t="s">
        <v>13</v>
      </c>
      <c r="C175" s="1">
        <v>39000207402</v>
      </c>
      <c r="D175" s="1" t="s">
        <v>69</v>
      </c>
      <c r="E175" s="1" t="s">
        <v>61</v>
      </c>
      <c r="F175" s="1">
        <v>1</v>
      </c>
      <c r="G175" s="1" t="s">
        <v>137</v>
      </c>
      <c r="H175" s="1" t="str">
        <f t="shared" si="6"/>
        <v>KETCHUP</v>
      </c>
      <c r="I175" s="9">
        <f t="shared" si="7"/>
        <v>45664</v>
      </c>
      <c r="J175" s="1" t="str">
        <f t="shared" si="8"/>
        <v>2025-01</v>
      </c>
    </row>
    <row r="176" spans="1:10" x14ac:dyDescent="0.2">
      <c r="A176" s="2">
        <v>174</v>
      </c>
      <c r="B176" s="1" t="s">
        <v>5</v>
      </c>
      <c r="C176" s="1">
        <v>39000585286</v>
      </c>
      <c r="D176" s="1" t="s">
        <v>54</v>
      </c>
      <c r="E176" s="1" t="s">
        <v>55</v>
      </c>
      <c r="F176" s="1">
        <v>1</v>
      </c>
      <c r="G176" s="1" t="s">
        <v>78</v>
      </c>
      <c r="H176" s="1" t="str">
        <f t="shared" si="6"/>
        <v>PICKLE JUICE</v>
      </c>
      <c r="I176" s="9">
        <f t="shared" si="7"/>
        <v>45674</v>
      </c>
      <c r="J176" s="1" t="str">
        <f t="shared" si="8"/>
        <v>2025-01</v>
      </c>
    </row>
    <row r="177" spans="1:10" x14ac:dyDescent="0.2">
      <c r="A177" s="2">
        <v>175</v>
      </c>
      <c r="B177" s="1" t="s">
        <v>28</v>
      </c>
      <c r="C177" s="1">
        <v>39000585364</v>
      </c>
      <c r="D177" s="1" t="s">
        <v>54</v>
      </c>
      <c r="E177" s="1" t="s">
        <v>55</v>
      </c>
      <c r="F177" s="1">
        <v>1</v>
      </c>
      <c r="G177" s="1" t="s">
        <v>136</v>
      </c>
      <c r="H177" s="1" t="str">
        <f t="shared" si="6"/>
        <v>SF LEMONADE</v>
      </c>
      <c r="I177" s="9">
        <f t="shared" si="7"/>
        <v>45719</v>
      </c>
      <c r="J177" s="1" t="str">
        <f t="shared" si="8"/>
        <v>2025-03</v>
      </c>
    </row>
    <row r="178" spans="1:10" x14ac:dyDescent="0.2">
      <c r="A178" s="2">
        <v>176</v>
      </c>
      <c r="B178" s="1" t="s">
        <v>49</v>
      </c>
      <c r="C178" s="1">
        <v>39000199121</v>
      </c>
      <c r="D178" s="1" t="s">
        <v>69</v>
      </c>
      <c r="E178" s="1" t="s">
        <v>61</v>
      </c>
      <c r="F178" s="1">
        <v>1</v>
      </c>
      <c r="G178" s="1" t="s">
        <v>84</v>
      </c>
      <c r="H178" s="1" t="str">
        <f t="shared" si="6"/>
        <v>SF ICE CREAM</v>
      </c>
      <c r="I178" s="9">
        <f t="shared" si="7"/>
        <v>45681</v>
      </c>
      <c r="J178" s="1" t="str">
        <f t="shared" si="8"/>
        <v>2025-01</v>
      </c>
    </row>
    <row r="179" spans="1:10" x14ac:dyDescent="0.2">
      <c r="A179" s="2">
        <v>177</v>
      </c>
      <c r="B179" s="1" t="s">
        <v>14</v>
      </c>
      <c r="C179" s="1">
        <v>39000767533</v>
      </c>
      <c r="D179" s="1" t="s">
        <v>66</v>
      </c>
      <c r="E179" s="1" t="s">
        <v>67</v>
      </c>
      <c r="F179" s="1">
        <v>2</v>
      </c>
      <c r="G179" s="1" t="s">
        <v>90</v>
      </c>
      <c r="H179" s="1" t="str">
        <f t="shared" si="6"/>
        <v>SPICY MEATBALL</v>
      </c>
      <c r="I179" s="9">
        <f t="shared" si="7"/>
        <v>45694</v>
      </c>
      <c r="J179" s="1" t="str">
        <f t="shared" si="8"/>
        <v>2025-02</v>
      </c>
    </row>
    <row r="180" spans="1:10" x14ac:dyDescent="0.2">
      <c r="A180" s="2">
        <v>178</v>
      </c>
      <c r="B180" s="1" t="s">
        <v>5</v>
      </c>
      <c r="C180" s="1">
        <v>39000283439</v>
      </c>
      <c r="D180" s="1" t="s">
        <v>74</v>
      </c>
      <c r="E180" s="1" t="s">
        <v>63</v>
      </c>
      <c r="F180" s="1">
        <v>-0.58299999999999996</v>
      </c>
      <c r="G180" s="1" t="s">
        <v>83</v>
      </c>
      <c r="H180" s="1" t="str">
        <f t="shared" si="6"/>
        <v>SPICY MEATBALL</v>
      </c>
      <c r="I180" s="9">
        <f t="shared" si="7"/>
        <v>45674</v>
      </c>
      <c r="J180" s="1" t="str">
        <f t="shared" si="8"/>
        <v>2025-01</v>
      </c>
    </row>
    <row r="181" spans="1:10" x14ac:dyDescent="0.2">
      <c r="A181" s="2">
        <v>179</v>
      </c>
      <c r="B181" s="1" t="s">
        <v>19</v>
      </c>
      <c r="C181" s="1">
        <v>39001719159</v>
      </c>
      <c r="D181" s="1" t="s">
        <v>64</v>
      </c>
      <c r="E181" s="1" t="s">
        <v>65</v>
      </c>
      <c r="F181" s="1">
        <v>-4.2000000000000003E-2</v>
      </c>
      <c r="G181" s="1" t="s">
        <v>138</v>
      </c>
      <c r="H181" s="1" t="str">
        <f t="shared" si="6"/>
        <v>ICE PC</v>
      </c>
      <c r="I181" s="9">
        <f t="shared" si="7"/>
        <v>45722</v>
      </c>
      <c r="J181" s="1" t="str">
        <f t="shared" si="8"/>
        <v>2025-03</v>
      </c>
    </row>
    <row r="182" spans="1:10" x14ac:dyDescent="0.2">
      <c r="A182" s="2">
        <v>180</v>
      </c>
      <c r="B182" s="1" t="s">
        <v>39</v>
      </c>
      <c r="C182" s="1">
        <v>39000329979</v>
      </c>
      <c r="D182" s="1" t="s">
        <v>66</v>
      </c>
      <c r="E182" s="1" t="s">
        <v>67</v>
      </c>
      <c r="F182" s="1">
        <v>1</v>
      </c>
      <c r="G182" s="1" t="s">
        <v>89</v>
      </c>
      <c r="H182" s="1" t="str">
        <f t="shared" si="6"/>
        <v>WASABI BANANA PUDDING</v>
      </c>
      <c r="I182" s="9">
        <f t="shared" si="7"/>
        <v>45684</v>
      </c>
      <c r="J182" s="1" t="str">
        <f t="shared" si="8"/>
        <v>2025-01</v>
      </c>
    </row>
    <row r="183" spans="1:10" x14ac:dyDescent="0.2">
      <c r="A183" s="2">
        <v>181</v>
      </c>
      <c r="B183" s="1" t="s">
        <v>49</v>
      </c>
      <c r="C183" s="1">
        <v>39000217243</v>
      </c>
      <c r="D183" s="1" t="s">
        <v>60</v>
      </c>
      <c r="E183" s="1" t="s">
        <v>61</v>
      </c>
      <c r="F183" s="1">
        <v>1</v>
      </c>
      <c r="G183" s="1" t="s">
        <v>99</v>
      </c>
      <c r="H183" s="1" t="str">
        <f t="shared" si="6"/>
        <v>KETCHUP</v>
      </c>
      <c r="I183" s="9">
        <f t="shared" si="7"/>
        <v>45681</v>
      </c>
      <c r="J183" s="1" t="str">
        <f t="shared" si="8"/>
        <v>2025-01</v>
      </c>
    </row>
    <row r="184" spans="1:10" x14ac:dyDescent="0.2">
      <c r="A184" s="2">
        <v>182</v>
      </c>
      <c r="B184" s="1" t="s">
        <v>31</v>
      </c>
      <c r="C184" s="1">
        <v>39000662974</v>
      </c>
      <c r="D184" s="1" t="s">
        <v>68</v>
      </c>
      <c r="E184" s="1" t="s">
        <v>68</v>
      </c>
      <c r="F184" s="1">
        <v>1</v>
      </c>
      <c r="G184" s="1" t="s">
        <v>79</v>
      </c>
      <c r="H184" s="1" t="str">
        <f t="shared" si="6"/>
        <v>DIET SODA</v>
      </c>
      <c r="I184" s="9">
        <f t="shared" si="7"/>
        <v>45714</v>
      </c>
      <c r="J184" s="1" t="str">
        <f t="shared" si="8"/>
        <v>2025-02</v>
      </c>
    </row>
    <row r="185" spans="1:10" x14ac:dyDescent="0.2">
      <c r="A185" s="2">
        <v>183</v>
      </c>
      <c r="B185" s="1" t="s">
        <v>50</v>
      </c>
      <c r="C185" s="1">
        <v>39002263885</v>
      </c>
      <c r="D185" s="1" t="s">
        <v>56</v>
      </c>
      <c r="E185" s="1" t="s">
        <v>57</v>
      </c>
      <c r="F185" s="1">
        <v>1</v>
      </c>
      <c r="G185" s="1" t="s">
        <v>88</v>
      </c>
      <c r="H185" s="1" t="str">
        <f t="shared" si="6"/>
        <v>SPICY MEATBALL</v>
      </c>
      <c r="I185" s="9">
        <f t="shared" si="7"/>
        <v>45692</v>
      </c>
      <c r="J185" s="1" t="str">
        <f t="shared" si="8"/>
        <v>2025-02</v>
      </c>
    </row>
    <row r="186" spans="1:10" x14ac:dyDescent="0.2">
      <c r="A186" s="2">
        <v>184</v>
      </c>
      <c r="B186" s="1" t="s">
        <v>36</v>
      </c>
      <c r="C186" s="1">
        <v>39000237003</v>
      </c>
      <c r="D186" s="1" t="s">
        <v>60</v>
      </c>
      <c r="E186" s="1" t="s">
        <v>61</v>
      </c>
      <c r="F186" s="1">
        <v>1</v>
      </c>
      <c r="G186" s="1" t="s">
        <v>88</v>
      </c>
      <c r="H186" s="1" t="str">
        <f t="shared" si="6"/>
        <v>SPICY MEATBALL</v>
      </c>
      <c r="I186" s="9">
        <f t="shared" si="7"/>
        <v>45680</v>
      </c>
      <c r="J186" s="1" t="str">
        <f t="shared" si="8"/>
        <v>2025-01</v>
      </c>
    </row>
    <row r="187" spans="1:10" x14ac:dyDescent="0.2">
      <c r="A187" s="2">
        <v>185</v>
      </c>
      <c r="B187" s="1" t="s">
        <v>43</v>
      </c>
      <c r="C187" s="1">
        <v>39000223964</v>
      </c>
      <c r="D187" s="1" t="s">
        <v>69</v>
      </c>
      <c r="E187" s="1" t="s">
        <v>61</v>
      </c>
      <c r="F187" s="1">
        <v>1</v>
      </c>
      <c r="G187" s="1" t="s">
        <v>88</v>
      </c>
      <c r="H187" s="1" t="str">
        <f t="shared" si="6"/>
        <v>SPICY MEATBALL</v>
      </c>
      <c r="I187" s="9">
        <f t="shared" si="7"/>
        <v>45685</v>
      </c>
      <c r="J187" s="1" t="str">
        <f t="shared" si="8"/>
        <v>2025-01</v>
      </c>
    </row>
    <row r="188" spans="1:10" x14ac:dyDescent="0.2">
      <c r="A188" s="2">
        <v>186</v>
      </c>
      <c r="B188" s="1" t="s">
        <v>20</v>
      </c>
      <c r="C188" s="1">
        <v>39001488500</v>
      </c>
      <c r="D188" s="1" t="s">
        <v>72</v>
      </c>
      <c r="E188" s="1" t="s">
        <v>73</v>
      </c>
      <c r="F188" s="1">
        <v>1</v>
      </c>
      <c r="G188" s="1" t="s">
        <v>90</v>
      </c>
      <c r="H188" s="1" t="str">
        <f t="shared" si="6"/>
        <v>SPICY MEATBALL</v>
      </c>
      <c r="I188" s="9">
        <f t="shared" si="7"/>
        <v>45688</v>
      </c>
      <c r="J188" s="1" t="str">
        <f t="shared" si="8"/>
        <v>2025-01</v>
      </c>
    </row>
    <row r="189" spans="1:10" x14ac:dyDescent="0.2">
      <c r="A189" s="2">
        <v>187</v>
      </c>
      <c r="B189" s="1" t="s">
        <v>50</v>
      </c>
      <c r="C189" s="1">
        <v>39000663182</v>
      </c>
      <c r="D189" s="1" t="s">
        <v>68</v>
      </c>
      <c r="E189" s="1" t="s">
        <v>68</v>
      </c>
      <c r="F189" s="1">
        <v>1</v>
      </c>
      <c r="G189" s="1" t="s">
        <v>100</v>
      </c>
      <c r="H189" s="1" t="str">
        <f t="shared" si="6"/>
        <v>SPICY MEATBALL</v>
      </c>
      <c r="I189" s="9">
        <f t="shared" si="7"/>
        <v>45692</v>
      </c>
      <c r="J189" s="1" t="str">
        <f t="shared" si="8"/>
        <v>2025-02</v>
      </c>
    </row>
    <row r="190" spans="1:10" x14ac:dyDescent="0.2">
      <c r="A190" s="2">
        <v>188</v>
      </c>
      <c r="B190" s="1" t="s">
        <v>38</v>
      </c>
      <c r="C190" s="1">
        <v>39000281489</v>
      </c>
      <c r="D190" s="1" t="s">
        <v>74</v>
      </c>
      <c r="E190" s="1" t="s">
        <v>63</v>
      </c>
      <c r="F190" s="1">
        <v>3</v>
      </c>
      <c r="G190" s="1" t="s">
        <v>83</v>
      </c>
      <c r="H190" s="1" t="str">
        <f t="shared" si="6"/>
        <v>SPICY MEATBALL</v>
      </c>
      <c r="I190" s="9">
        <f t="shared" si="7"/>
        <v>45671</v>
      </c>
      <c r="J190" s="1" t="str">
        <f t="shared" si="8"/>
        <v>2025-01</v>
      </c>
    </row>
    <row r="191" spans="1:10" x14ac:dyDescent="0.2">
      <c r="A191" s="2">
        <v>189</v>
      </c>
      <c r="B191" s="1" t="s">
        <v>23</v>
      </c>
      <c r="C191" s="1">
        <v>39000591591</v>
      </c>
      <c r="D191" s="1" t="s">
        <v>54</v>
      </c>
      <c r="E191" s="1" t="s">
        <v>55</v>
      </c>
      <c r="F191" s="1">
        <v>1</v>
      </c>
      <c r="G191" s="1" t="s">
        <v>126</v>
      </c>
      <c r="H191" s="1" t="str">
        <f t="shared" si="6"/>
        <v>PICKLE JUICE</v>
      </c>
      <c r="I191" s="9">
        <f t="shared" si="7"/>
        <v>45715</v>
      </c>
      <c r="J191" s="1" t="str">
        <f t="shared" si="8"/>
        <v>2025-02</v>
      </c>
    </row>
    <row r="192" spans="1:10" x14ac:dyDescent="0.2">
      <c r="A192" s="2">
        <v>190</v>
      </c>
      <c r="B192" s="1" t="s">
        <v>41</v>
      </c>
      <c r="C192" s="1">
        <v>39002659917</v>
      </c>
      <c r="D192" s="1" t="s">
        <v>74</v>
      </c>
      <c r="E192" s="1" t="s">
        <v>63</v>
      </c>
      <c r="F192" s="1">
        <v>2</v>
      </c>
      <c r="G192" s="1" t="s">
        <v>79</v>
      </c>
      <c r="H192" s="1" t="str">
        <f t="shared" si="6"/>
        <v>DIET SODA</v>
      </c>
      <c r="I192" s="9">
        <f t="shared" si="7"/>
        <v>45665</v>
      </c>
      <c r="J192" s="1" t="str">
        <f t="shared" si="8"/>
        <v>2025-01</v>
      </c>
    </row>
    <row r="193" spans="1:10" x14ac:dyDescent="0.2">
      <c r="A193" s="2">
        <v>191</v>
      </c>
      <c r="B193" s="1" t="s">
        <v>35</v>
      </c>
      <c r="C193" s="1">
        <v>39000970541</v>
      </c>
      <c r="D193" s="1" t="s">
        <v>58</v>
      </c>
      <c r="E193" s="1" t="s">
        <v>59</v>
      </c>
      <c r="F193" s="1">
        <v>-4.2000000000000003E-2</v>
      </c>
      <c r="G193" s="1" t="s">
        <v>100</v>
      </c>
      <c r="H193" s="1" t="str">
        <f t="shared" si="6"/>
        <v>SPICY MEATBALL</v>
      </c>
      <c r="I193" s="9">
        <f t="shared" si="7"/>
        <v>45693</v>
      </c>
      <c r="J193" s="1" t="str">
        <f t="shared" si="8"/>
        <v>2025-02</v>
      </c>
    </row>
    <row r="194" spans="1:10" x14ac:dyDescent="0.2">
      <c r="A194" s="2">
        <v>192</v>
      </c>
      <c r="B194" s="1" t="s">
        <v>22</v>
      </c>
      <c r="C194" s="1">
        <v>39002120898</v>
      </c>
      <c r="D194" s="1" t="s">
        <v>70</v>
      </c>
      <c r="E194" s="1" t="s">
        <v>71</v>
      </c>
      <c r="F194" s="1">
        <v>1</v>
      </c>
      <c r="G194" s="1" t="s">
        <v>78</v>
      </c>
      <c r="H194" s="1" t="str">
        <f t="shared" si="6"/>
        <v>PICKLE JUICE</v>
      </c>
      <c r="I194" s="9">
        <f t="shared" si="7"/>
        <v>45721</v>
      </c>
      <c r="J194" s="1" t="str">
        <f t="shared" si="8"/>
        <v>2025-03</v>
      </c>
    </row>
    <row r="195" spans="1:10" x14ac:dyDescent="0.2">
      <c r="A195" s="2">
        <v>193</v>
      </c>
      <c r="B195" s="1" t="s">
        <v>17</v>
      </c>
      <c r="C195" s="1">
        <v>39002178501</v>
      </c>
      <c r="D195" s="1" t="s">
        <v>70</v>
      </c>
      <c r="E195" s="1" t="s">
        <v>71</v>
      </c>
      <c r="F195" s="1">
        <v>1</v>
      </c>
      <c r="G195" s="1" t="s">
        <v>94</v>
      </c>
      <c r="H195" s="1" t="str">
        <f t="shared" ref="H195:H258" si="9">_xlfn.TEXTBEFORE(G195," ",-2)</f>
        <v>DIET COOKIE</v>
      </c>
      <c r="I195" s="9">
        <f t="shared" ref="I195:I258" si="10">DATE(LEFT(B195,4), MID(B195,5,2), RIGHT(B195,2))</f>
        <v>45708</v>
      </c>
      <c r="J195" s="1" t="str">
        <f t="shared" ref="J195:J258" si="11">TEXT(I195,"YYYY-MM")</f>
        <v>2025-02</v>
      </c>
    </row>
    <row r="196" spans="1:10" x14ac:dyDescent="0.2">
      <c r="A196" s="2">
        <v>194</v>
      </c>
      <c r="B196" s="1" t="s">
        <v>33</v>
      </c>
      <c r="C196" s="1">
        <v>39000220324</v>
      </c>
      <c r="D196" s="1" t="s">
        <v>69</v>
      </c>
      <c r="E196" s="1" t="s">
        <v>61</v>
      </c>
      <c r="F196" s="1">
        <v>6</v>
      </c>
      <c r="G196" s="1" t="s">
        <v>96</v>
      </c>
      <c r="H196" s="1" t="str">
        <f t="shared" si="9"/>
        <v>SPICY MEATBALL</v>
      </c>
      <c r="I196" s="9">
        <f t="shared" si="10"/>
        <v>45672</v>
      </c>
      <c r="J196" s="1" t="str">
        <f t="shared" si="11"/>
        <v>2025-01</v>
      </c>
    </row>
    <row r="197" spans="1:10" x14ac:dyDescent="0.2">
      <c r="A197" s="2">
        <v>195</v>
      </c>
      <c r="B197" s="1" t="s">
        <v>50</v>
      </c>
      <c r="C197" s="1">
        <v>39001519752</v>
      </c>
      <c r="D197" s="1" t="s">
        <v>70</v>
      </c>
      <c r="E197" s="1" t="s">
        <v>71</v>
      </c>
      <c r="F197" s="1">
        <v>5</v>
      </c>
      <c r="G197" s="1" t="s">
        <v>100</v>
      </c>
      <c r="H197" s="1" t="str">
        <f t="shared" si="9"/>
        <v>SPICY MEATBALL</v>
      </c>
      <c r="I197" s="9">
        <f t="shared" si="10"/>
        <v>45692</v>
      </c>
      <c r="J197" s="1" t="str">
        <f t="shared" si="11"/>
        <v>2025-02</v>
      </c>
    </row>
    <row r="198" spans="1:10" x14ac:dyDescent="0.2">
      <c r="A198" s="2">
        <v>196</v>
      </c>
      <c r="B198" s="1" t="s">
        <v>42</v>
      </c>
      <c r="C198" s="1">
        <v>39000220766</v>
      </c>
      <c r="D198" s="1" t="s">
        <v>69</v>
      </c>
      <c r="E198" s="1" t="s">
        <v>61</v>
      </c>
      <c r="F198" s="1">
        <v>1</v>
      </c>
      <c r="G198" s="1" t="s">
        <v>93</v>
      </c>
      <c r="H198" s="1" t="str">
        <f t="shared" si="9"/>
        <v>SUSHI ROLL</v>
      </c>
      <c r="I198" s="9">
        <f t="shared" si="10"/>
        <v>45673</v>
      </c>
      <c r="J198" s="1" t="str">
        <f t="shared" si="11"/>
        <v>2025-01</v>
      </c>
    </row>
    <row r="199" spans="1:10" x14ac:dyDescent="0.2">
      <c r="A199" s="2">
        <v>197</v>
      </c>
      <c r="B199" s="1" t="s">
        <v>49</v>
      </c>
      <c r="C199" s="1">
        <v>39000236418</v>
      </c>
      <c r="D199" s="1" t="s">
        <v>60</v>
      </c>
      <c r="E199" s="1" t="s">
        <v>61</v>
      </c>
      <c r="F199" s="1">
        <v>2</v>
      </c>
      <c r="G199" s="1" t="s">
        <v>84</v>
      </c>
      <c r="H199" s="1" t="str">
        <f t="shared" si="9"/>
        <v>SF ICE CREAM</v>
      </c>
      <c r="I199" s="9">
        <f t="shared" si="10"/>
        <v>45681</v>
      </c>
      <c r="J199" s="1" t="str">
        <f t="shared" si="11"/>
        <v>2025-01</v>
      </c>
    </row>
    <row r="200" spans="1:10" x14ac:dyDescent="0.2">
      <c r="A200" s="2">
        <v>198</v>
      </c>
      <c r="B200" s="1" t="s">
        <v>7</v>
      </c>
      <c r="C200" s="1">
        <v>39001707901</v>
      </c>
      <c r="D200" s="1" t="s">
        <v>64</v>
      </c>
      <c r="E200" s="1" t="s">
        <v>65</v>
      </c>
      <c r="F200" s="1">
        <v>8</v>
      </c>
      <c r="G200" s="1" t="s">
        <v>100</v>
      </c>
      <c r="H200" s="1" t="str">
        <f t="shared" si="9"/>
        <v>SPICY MEATBALL</v>
      </c>
      <c r="I200" s="9">
        <f t="shared" si="10"/>
        <v>45712</v>
      </c>
      <c r="J200" s="1" t="str">
        <f t="shared" si="11"/>
        <v>2025-02</v>
      </c>
    </row>
    <row r="201" spans="1:10" x14ac:dyDescent="0.2">
      <c r="A201" s="2">
        <v>199</v>
      </c>
      <c r="B201" s="1" t="s">
        <v>24</v>
      </c>
      <c r="C201" s="1">
        <v>39000589394</v>
      </c>
      <c r="D201" s="1" t="s">
        <v>54</v>
      </c>
      <c r="E201" s="1" t="s">
        <v>55</v>
      </c>
      <c r="F201" s="1">
        <v>1</v>
      </c>
      <c r="G201" s="1" t="s">
        <v>139</v>
      </c>
      <c r="H201" s="1" t="str">
        <f t="shared" si="9"/>
        <v>LEMONADE</v>
      </c>
      <c r="I201" s="9">
        <f t="shared" si="10"/>
        <v>45726</v>
      </c>
      <c r="J201" s="1" t="str">
        <f t="shared" si="11"/>
        <v>2025-03</v>
      </c>
    </row>
    <row r="202" spans="1:10" x14ac:dyDescent="0.2">
      <c r="A202" s="2">
        <v>200</v>
      </c>
      <c r="B202" s="1" t="s">
        <v>42</v>
      </c>
      <c r="C202" s="1">
        <v>39000239928</v>
      </c>
      <c r="D202" s="1" t="s">
        <v>60</v>
      </c>
      <c r="E202" s="1" t="s">
        <v>61</v>
      </c>
      <c r="F202" s="1">
        <v>-1</v>
      </c>
      <c r="G202" s="1" t="s">
        <v>88</v>
      </c>
      <c r="H202" s="1" t="str">
        <f t="shared" si="9"/>
        <v>SPICY MEATBALL</v>
      </c>
      <c r="I202" s="9">
        <f t="shared" si="10"/>
        <v>45673</v>
      </c>
      <c r="J202" s="1" t="str">
        <f t="shared" si="11"/>
        <v>2025-01</v>
      </c>
    </row>
    <row r="203" spans="1:10" x14ac:dyDescent="0.2">
      <c r="A203" s="2">
        <v>201</v>
      </c>
      <c r="B203" s="1" t="s">
        <v>29</v>
      </c>
      <c r="C203" s="1">
        <v>39001386333</v>
      </c>
      <c r="D203" s="1" t="s">
        <v>70</v>
      </c>
      <c r="E203" s="1" t="s">
        <v>71</v>
      </c>
      <c r="F203" s="1">
        <v>2</v>
      </c>
      <c r="G203" s="1" t="s">
        <v>87</v>
      </c>
      <c r="H203" s="1" t="str">
        <f t="shared" si="9"/>
        <v>DIET COOKIE</v>
      </c>
      <c r="I203" s="9">
        <f t="shared" si="10"/>
        <v>45660</v>
      </c>
      <c r="J203" s="1" t="str">
        <f t="shared" si="11"/>
        <v>2025-01</v>
      </c>
    </row>
    <row r="204" spans="1:10" x14ac:dyDescent="0.2">
      <c r="A204" s="2">
        <v>202</v>
      </c>
      <c r="B204" s="1" t="s">
        <v>49</v>
      </c>
      <c r="C204" s="1">
        <v>39000592722</v>
      </c>
      <c r="D204" s="1" t="s">
        <v>54</v>
      </c>
      <c r="E204" s="1" t="s">
        <v>55</v>
      </c>
      <c r="F204" s="1">
        <v>1</v>
      </c>
      <c r="G204" s="1" t="s">
        <v>83</v>
      </c>
      <c r="H204" s="1" t="str">
        <f t="shared" si="9"/>
        <v>SPICY MEATBALL</v>
      </c>
      <c r="I204" s="9">
        <f t="shared" si="10"/>
        <v>45681</v>
      </c>
      <c r="J204" s="1" t="str">
        <f t="shared" si="11"/>
        <v>2025-01</v>
      </c>
    </row>
    <row r="205" spans="1:10" x14ac:dyDescent="0.2">
      <c r="A205" s="2">
        <v>203</v>
      </c>
      <c r="B205" s="1" t="s">
        <v>4</v>
      </c>
      <c r="C205" s="1">
        <v>39001588327</v>
      </c>
      <c r="D205" s="1" t="s">
        <v>70</v>
      </c>
      <c r="E205" s="1" t="s">
        <v>71</v>
      </c>
      <c r="F205" s="1">
        <v>1</v>
      </c>
      <c r="G205" s="1" t="s">
        <v>83</v>
      </c>
      <c r="H205" s="1" t="str">
        <f t="shared" si="9"/>
        <v>SPICY MEATBALL</v>
      </c>
      <c r="I205" s="9">
        <f t="shared" si="10"/>
        <v>45686</v>
      </c>
      <c r="J205" s="1" t="str">
        <f t="shared" si="11"/>
        <v>2025-01</v>
      </c>
    </row>
    <row r="206" spans="1:10" x14ac:dyDescent="0.2">
      <c r="A206" s="2">
        <v>204</v>
      </c>
      <c r="B206" s="1" t="s">
        <v>22</v>
      </c>
      <c r="C206" s="1">
        <v>39000217230</v>
      </c>
      <c r="D206" s="1" t="s">
        <v>69</v>
      </c>
      <c r="E206" s="1" t="s">
        <v>61</v>
      </c>
      <c r="F206" s="1">
        <v>1</v>
      </c>
      <c r="G206" s="1" t="s">
        <v>131</v>
      </c>
      <c r="H206" s="1" t="str">
        <f t="shared" si="9"/>
        <v>STRAWBERRY MILKSHAKE</v>
      </c>
      <c r="I206" s="9">
        <f t="shared" si="10"/>
        <v>45721</v>
      </c>
      <c r="J206" s="1" t="str">
        <f t="shared" si="11"/>
        <v>2025-03</v>
      </c>
    </row>
    <row r="207" spans="1:10" x14ac:dyDescent="0.2">
      <c r="A207" s="2">
        <v>205</v>
      </c>
      <c r="B207" s="1" t="s">
        <v>14</v>
      </c>
      <c r="C207" s="1">
        <v>39000956215</v>
      </c>
      <c r="D207" s="1" t="s">
        <v>58</v>
      </c>
      <c r="E207" s="1" t="s">
        <v>59</v>
      </c>
      <c r="F207" s="1">
        <v>2</v>
      </c>
      <c r="G207" s="1" t="s">
        <v>78</v>
      </c>
      <c r="H207" s="1" t="str">
        <f t="shared" si="9"/>
        <v>PICKLE JUICE</v>
      </c>
      <c r="I207" s="9">
        <f t="shared" si="10"/>
        <v>45694</v>
      </c>
      <c r="J207" s="1" t="str">
        <f t="shared" si="11"/>
        <v>2025-02</v>
      </c>
    </row>
    <row r="208" spans="1:10" x14ac:dyDescent="0.2">
      <c r="A208" s="2">
        <v>206</v>
      </c>
      <c r="B208" s="1" t="s">
        <v>31</v>
      </c>
      <c r="C208" s="1">
        <v>39000669708</v>
      </c>
      <c r="D208" s="1" t="s">
        <v>68</v>
      </c>
      <c r="E208" s="1" t="s">
        <v>68</v>
      </c>
      <c r="F208" s="1">
        <v>2</v>
      </c>
      <c r="G208" s="1" t="s">
        <v>118</v>
      </c>
      <c r="H208" s="1" t="str">
        <f t="shared" si="9"/>
        <v>SF STRAWBERRY MILKSHAKE</v>
      </c>
      <c r="I208" s="9">
        <f t="shared" si="10"/>
        <v>45714</v>
      </c>
      <c r="J208" s="1" t="str">
        <f t="shared" si="11"/>
        <v>2025-02</v>
      </c>
    </row>
    <row r="209" spans="1:10" x14ac:dyDescent="0.2">
      <c r="A209" s="2">
        <v>207</v>
      </c>
      <c r="B209" s="1" t="s">
        <v>18</v>
      </c>
      <c r="C209" s="1">
        <v>39000342680</v>
      </c>
      <c r="D209" s="1" t="s">
        <v>66</v>
      </c>
      <c r="E209" s="1" t="s">
        <v>67</v>
      </c>
      <c r="F209" s="1">
        <v>1</v>
      </c>
      <c r="G209" s="1" t="s">
        <v>92</v>
      </c>
      <c r="H209" s="1" t="str">
        <f t="shared" si="9"/>
        <v>DIET COOKIE</v>
      </c>
      <c r="I209" s="9">
        <f t="shared" si="10"/>
        <v>45678</v>
      </c>
      <c r="J209" s="1" t="str">
        <f t="shared" si="11"/>
        <v>2025-01</v>
      </c>
    </row>
    <row r="210" spans="1:10" x14ac:dyDescent="0.2">
      <c r="A210" s="2">
        <v>208</v>
      </c>
      <c r="B210" s="1" t="s">
        <v>41</v>
      </c>
      <c r="C210" s="1">
        <v>39000338754</v>
      </c>
      <c r="D210" s="1" t="s">
        <v>66</v>
      </c>
      <c r="E210" s="1" t="s">
        <v>67</v>
      </c>
      <c r="F210" s="1">
        <v>5</v>
      </c>
      <c r="G210" s="1" t="s">
        <v>88</v>
      </c>
      <c r="H210" s="1" t="str">
        <f t="shared" si="9"/>
        <v>SPICY MEATBALL</v>
      </c>
      <c r="I210" s="9">
        <f t="shared" si="10"/>
        <v>45665</v>
      </c>
      <c r="J210" s="1" t="str">
        <f t="shared" si="11"/>
        <v>2025-01</v>
      </c>
    </row>
    <row r="211" spans="1:10" x14ac:dyDescent="0.2">
      <c r="A211" s="2">
        <v>209</v>
      </c>
      <c r="B211" s="1" t="s">
        <v>24</v>
      </c>
      <c r="C211" s="1">
        <v>39000592631</v>
      </c>
      <c r="D211" s="1" t="s">
        <v>54</v>
      </c>
      <c r="E211" s="1" t="s">
        <v>55</v>
      </c>
      <c r="F211" s="1">
        <v>1</v>
      </c>
      <c r="G211" s="1" t="s">
        <v>136</v>
      </c>
      <c r="H211" s="1" t="str">
        <f t="shared" si="9"/>
        <v>SF LEMONADE</v>
      </c>
      <c r="I211" s="9">
        <f t="shared" si="10"/>
        <v>45726</v>
      </c>
      <c r="J211" s="1" t="str">
        <f t="shared" si="11"/>
        <v>2025-03</v>
      </c>
    </row>
    <row r="212" spans="1:10" x14ac:dyDescent="0.2">
      <c r="A212" s="2">
        <v>210</v>
      </c>
      <c r="B212" s="1" t="s">
        <v>44</v>
      </c>
      <c r="C212" s="1">
        <v>39000332163</v>
      </c>
      <c r="D212" s="1" t="s">
        <v>66</v>
      </c>
      <c r="E212" s="1" t="s">
        <v>67</v>
      </c>
      <c r="F212" s="1">
        <v>1</v>
      </c>
      <c r="G212" s="1" t="s">
        <v>140</v>
      </c>
      <c r="H212" s="1" t="str">
        <f t="shared" si="9"/>
        <v>AVOCADO TOAST</v>
      </c>
      <c r="I212" s="9">
        <f t="shared" si="10"/>
        <v>45666</v>
      </c>
      <c r="J212" s="1" t="str">
        <f t="shared" si="11"/>
        <v>2025-01</v>
      </c>
    </row>
    <row r="213" spans="1:10" x14ac:dyDescent="0.2">
      <c r="A213" s="2">
        <v>211</v>
      </c>
      <c r="B213" s="1" t="s">
        <v>14</v>
      </c>
      <c r="C213" s="1">
        <v>39000658229</v>
      </c>
      <c r="D213" s="1" t="s">
        <v>68</v>
      </c>
      <c r="E213" s="1" t="s">
        <v>68</v>
      </c>
      <c r="F213" s="1">
        <v>6</v>
      </c>
      <c r="G213" s="1" t="s">
        <v>88</v>
      </c>
      <c r="H213" s="1" t="str">
        <f t="shared" si="9"/>
        <v>SPICY MEATBALL</v>
      </c>
      <c r="I213" s="9">
        <f t="shared" si="10"/>
        <v>45694</v>
      </c>
      <c r="J213" s="1" t="str">
        <f t="shared" si="11"/>
        <v>2025-02</v>
      </c>
    </row>
    <row r="214" spans="1:10" x14ac:dyDescent="0.2">
      <c r="A214" s="2">
        <v>212</v>
      </c>
      <c r="B214" s="1" t="s">
        <v>26</v>
      </c>
      <c r="C214" s="1">
        <v>39000203086</v>
      </c>
      <c r="D214" s="1" t="s">
        <v>60</v>
      </c>
      <c r="E214" s="1" t="s">
        <v>61</v>
      </c>
      <c r="F214" s="1">
        <v>1</v>
      </c>
      <c r="G214" s="1" t="s">
        <v>126</v>
      </c>
      <c r="H214" s="1" t="str">
        <f t="shared" si="9"/>
        <v>PICKLE JUICE</v>
      </c>
      <c r="I214" s="9">
        <f t="shared" si="10"/>
        <v>45707</v>
      </c>
      <c r="J214" s="1" t="str">
        <f t="shared" si="11"/>
        <v>2025-02</v>
      </c>
    </row>
    <row r="215" spans="1:10" x14ac:dyDescent="0.2">
      <c r="A215" s="2">
        <v>213</v>
      </c>
      <c r="B215" s="1" t="s">
        <v>19</v>
      </c>
      <c r="C215" s="1">
        <v>39000595101</v>
      </c>
      <c r="D215" s="1" t="s">
        <v>54</v>
      </c>
      <c r="E215" s="1" t="s">
        <v>55</v>
      </c>
      <c r="F215" s="1">
        <v>1</v>
      </c>
      <c r="G215" s="1" t="s">
        <v>101</v>
      </c>
      <c r="H215" s="1" t="str">
        <f t="shared" si="9"/>
        <v>KETCHUP</v>
      </c>
      <c r="I215" s="9">
        <f t="shared" si="10"/>
        <v>45722</v>
      </c>
      <c r="J215" s="1" t="str">
        <f t="shared" si="11"/>
        <v>2025-03</v>
      </c>
    </row>
    <row r="216" spans="1:10" x14ac:dyDescent="0.2">
      <c r="A216" s="2">
        <v>214</v>
      </c>
      <c r="B216" s="1" t="s">
        <v>8</v>
      </c>
      <c r="C216" s="1">
        <v>39000426790</v>
      </c>
      <c r="D216" s="1" t="s">
        <v>74</v>
      </c>
      <c r="E216" s="1" t="s">
        <v>63</v>
      </c>
      <c r="F216" s="1">
        <v>1</v>
      </c>
      <c r="G216" s="1" t="s">
        <v>116</v>
      </c>
      <c r="H216" s="1" t="str">
        <f t="shared" si="9"/>
        <v>SPICY MEATBALL</v>
      </c>
      <c r="I216" s="9">
        <f t="shared" si="10"/>
        <v>45706</v>
      </c>
      <c r="J216" s="1" t="str">
        <f t="shared" si="11"/>
        <v>2025-02</v>
      </c>
    </row>
    <row r="217" spans="1:10" x14ac:dyDescent="0.2">
      <c r="A217" s="2">
        <v>215</v>
      </c>
      <c r="B217" s="1" t="s">
        <v>15</v>
      </c>
      <c r="C217" s="1">
        <v>39000220506</v>
      </c>
      <c r="D217" s="1" t="s">
        <v>60</v>
      </c>
      <c r="E217" s="1" t="s">
        <v>61</v>
      </c>
      <c r="F217" s="1">
        <v>1</v>
      </c>
      <c r="G217" s="1" t="s">
        <v>127</v>
      </c>
      <c r="H217" s="1" t="str">
        <f t="shared" si="9"/>
        <v>SF KETCHUP</v>
      </c>
      <c r="I217" s="9">
        <f t="shared" si="10"/>
        <v>45713</v>
      </c>
      <c r="J217" s="1" t="str">
        <f t="shared" si="11"/>
        <v>2025-02</v>
      </c>
    </row>
    <row r="218" spans="1:10" x14ac:dyDescent="0.2">
      <c r="A218" s="2">
        <v>216</v>
      </c>
      <c r="B218" s="1" t="s">
        <v>13</v>
      </c>
      <c r="C218" s="1">
        <v>39001470664</v>
      </c>
      <c r="D218" s="1" t="s">
        <v>70</v>
      </c>
      <c r="E218" s="1" t="s">
        <v>71</v>
      </c>
      <c r="F218" s="1">
        <v>-0.54200000000000004</v>
      </c>
      <c r="G218" s="1" t="s">
        <v>141</v>
      </c>
      <c r="H218" s="1" t="str">
        <f t="shared" si="9"/>
        <v>FLAT SODA</v>
      </c>
      <c r="I218" s="9">
        <f t="shared" si="10"/>
        <v>45664</v>
      </c>
      <c r="J218" s="1" t="str">
        <f t="shared" si="11"/>
        <v>2025-01</v>
      </c>
    </row>
    <row r="219" spans="1:10" x14ac:dyDescent="0.2">
      <c r="A219" s="2">
        <v>217</v>
      </c>
      <c r="B219" s="1" t="s">
        <v>32</v>
      </c>
      <c r="C219" s="1">
        <v>39002433223</v>
      </c>
      <c r="D219" s="1" t="s">
        <v>54</v>
      </c>
      <c r="E219" s="1" t="s">
        <v>55</v>
      </c>
      <c r="F219" s="1">
        <v>1</v>
      </c>
      <c r="G219" s="1" t="s">
        <v>111</v>
      </c>
      <c r="H219" s="1" t="str">
        <f t="shared" si="9"/>
        <v>MAPLE SYRUP</v>
      </c>
      <c r="I219" s="9">
        <f t="shared" si="10"/>
        <v>45695</v>
      </c>
      <c r="J219" s="1" t="str">
        <f t="shared" si="11"/>
        <v>2025-02</v>
      </c>
    </row>
    <row r="220" spans="1:10" x14ac:dyDescent="0.2">
      <c r="A220" s="2">
        <v>218</v>
      </c>
      <c r="B220" s="1" t="s">
        <v>47</v>
      </c>
      <c r="C220" s="1">
        <v>39001379651</v>
      </c>
      <c r="D220" s="1" t="s">
        <v>76</v>
      </c>
      <c r="E220" s="1" t="s">
        <v>77</v>
      </c>
      <c r="F220" s="1">
        <v>1</v>
      </c>
      <c r="G220" s="1" t="s">
        <v>94</v>
      </c>
      <c r="H220" s="1" t="str">
        <f t="shared" si="9"/>
        <v>DIET COOKIE</v>
      </c>
      <c r="I220" s="9">
        <f t="shared" si="10"/>
        <v>45691</v>
      </c>
      <c r="J220" s="1" t="str">
        <f t="shared" si="11"/>
        <v>2025-02</v>
      </c>
    </row>
    <row r="221" spans="1:10" x14ac:dyDescent="0.2">
      <c r="A221" s="2">
        <v>219</v>
      </c>
      <c r="B221" s="1" t="s">
        <v>31</v>
      </c>
      <c r="C221" s="1">
        <v>39000264836</v>
      </c>
      <c r="D221" s="1" t="s">
        <v>62</v>
      </c>
      <c r="E221" s="1" t="s">
        <v>63</v>
      </c>
      <c r="F221" s="1">
        <v>1</v>
      </c>
      <c r="G221" s="1" t="s">
        <v>95</v>
      </c>
      <c r="H221" s="1" t="str">
        <f t="shared" si="9"/>
        <v>LEMONADE</v>
      </c>
      <c r="I221" s="9">
        <f t="shared" si="10"/>
        <v>45714</v>
      </c>
      <c r="J221" s="1" t="str">
        <f t="shared" si="11"/>
        <v>2025-02</v>
      </c>
    </row>
    <row r="222" spans="1:10" x14ac:dyDescent="0.2">
      <c r="A222" s="2">
        <v>220</v>
      </c>
      <c r="B222" s="1" t="s">
        <v>40</v>
      </c>
      <c r="C222" s="1">
        <v>39000661102</v>
      </c>
      <c r="D222" s="1" t="s">
        <v>68</v>
      </c>
      <c r="E222" s="1" t="s">
        <v>68</v>
      </c>
      <c r="F222" s="1">
        <v>1</v>
      </c>
      <c r="G222" s="1" t="s">
        <v>124</v>
      </c>
      <c r="H222" s="1" t="str">
        <f t="shared" si="9"/>
        <v>SUSHI ROLL</v>
      </c>
      <c r="I222" s="9">
        <f t="shared" si="10"/>
        <v>45670</v>
      </c>
      <c r="J222" s="1" t="str">
        <f t="shared" si="11"/>
        <v>2025-01</v>
      </c>
    </row>
    <row r="223" spans="1:10" x14ac:dyDescent="0.2">
      <c r="A223" s="2">
        <v>221</v>
      </c>
      <c r="B223" s="1" t="s">
        <v>47</v>
      </c>
      <c r="C223" s="1">
        <v>39000263705</v>
      </c>
      <c r="D223" s="1" t="s">
        <v>62</v>
      </c>
      <c r="E223" s="1" t="s">
        <v>63</v>
      </c>
      <c r="F223" s="1">
        <v>1</v>
      </c>
      <c r="G223" s="1" t="s">
        <v>90</v>
      </c>
      <c r="H223" s="1" t="str">
        <f t="shared" si="9"/>
        <v>SPICY MEATBALL</v>
      </c>
      <c r="I223" s="9">
        <f t="shared" si="10"/>
        <v>45691</v>
      </c>
      <c r="J223" s="1" t="str">
        <f t="shared" si="11"/>
        <v>2025-02</v>
      </c>
    </row>
    <row r="224" spans="1:10" x14ac:dyDescent="0.2">
      <c r="A224" s="2">
        <v>222</v>
      </c>
      <c r="B224" s="1" t="s">
        <v>39</v>
      </c>
      <c r="C224" s="1">
        <v>39002365467</v>
      </c>
      <c r="D224" s="1" t="s">
        <v>68</v>
      </c>
      <c r="E224" s="1" t="s">
        <v>68</v>
      </c>
      <c r="F224" s="1">
        <v>1</v>
      </c>
      <c r="G224" s="1" t="s">
        <v>124</v>
      </c>
      <c r="H224" s="1" t="str">
        <f t="shared" si="9"/>
        <v>SUSHI ROLL</v>
      </c>
      <c r="I224" s="9">
        <f t="shared" si="10"/>
        <v>45684</v>
      </c>
      <c r="J224" s="1" t="str">
        <f t="shared" si="11"/>
        <v>2025-01</v>
      </c>
    </row>
    <row r="225" spans="1:10" x14ac:dyDescent="0.2">
      <c r="A225" s="2">
        <v>223</v>
      </c>
      <c r="B225" s="1" t="s">
        <v>5</v>
      </c>
      <c r="C225" s="1">
        <v>39000198159</v>
      </c>
      <c r="D225" s="1" t="s">
        <v>69</v>
      </c>
      <c r="E225" s="1" t="s">
        <v>61</v>
      </c>
      <c r="F225" s="1">
        <v>1</v>
      </c>
      <c r="G225" s="1" t="s">
        <v>90</v>
      </c>
      <c r="H225" s="1" t="str">
        <f t="shared" si="9"/>
        <v>SPICY MEATBALL</v>
      </c>
      <c r="I225" s="9">
        <f t="shared" si="10"/>
        <v>45674</v>
      </c>
      <c r="J225" s="1" t="str">
        <f t="shared" si="11"/>
        <v>2025-01</v>
      </c>
    </row>
    <row r="226" spans="1:10" x14ac:dyDescent="0.2">
      <c r="A226" s="2">
        <v>224</v>
      </c>
      <c r="B226" s="1" t="s">
        <v>23</v>
      </c>
      <c r="C226" s="1">
        <v>39001520506</v>
      </c>
      <c r="D226" s="1" t="s">
        <v>70</v>
      </c>
      <c r="E226" s="1" t="s">
        <v>71</v>
      </c>
      <c r="F226" s="1">
        <v>1</v>
      </c>
      <c r="G226" s="1" t="s">
        <v>51</v>
      </c>
      <c r="H226" s="1" t="str">
        <f t="shared" si="9"/>
        <v>SF VAR PK</v>
      </c>
      <c r="I226" s="9">
        <f t="shared" si="10"/>
        <v>45715</v>
      </c>
      <c r="J226" s="1" t="str">
        <f t="shared" si="11"/>
        <v>2025-02</v>
      </c>
    </row>
    <row r="227" spans="1:10" x14ac:dyDescent="0.2">
      <c r="A227" s="2">
        <v>225</v>
      </c>
      <c r="B227" s="1" t="s">
        <v>14</v>
      </c>
      <c r="C227" s="1">
        <v>39000660699</v>
      </c>
      <c r="D227" s="1" t="s">
        <v>68</v>
      </c>
      <c r="E227" s="1" t="s">
        <v>68</v>
      </c>
      <c r="F227" s="1">
        <v>1</v>
      </c>
      <c r="G227" s="1" t="s">
        <v>108</v>
      </c>
      <c r="H227" s="1" t="str">
        <f t="shared" si="9"/>
        <v>SUSHI ROLL</v>
      </c>
      <c r="I227" s="9">
        <f t="shared" si="10"/>
        <v>45694</v>
      </c>
      <c r="J227" s="1" t="str">
        <f t="shared" si="11"/>
        <v>2025-02</v>
      </c>
    </row>
    <row r="228" spans="1:10" x14ac:dyDescent="0.2">
      <c r="A228" s="2">
        <v>226</v>
      </c>
      <c r="B228" s="1" t="s">
        <v>26</v>
      </c>
      <c r="C228" s="1">
        <v>39000671281</v>
      </c>
      <c r="D228" s="1" t="s">
        <v>68</v>
      </c>
      <c r="E228" s="1" t="s">
        <v>68</v>
      </c>
      <c r="F228" s="1">
        <v>1</v>
      </c>
      <c r="G228" s="1" t="s">
        <v>124</v>
      </c>
      <c r="H228" s="1" t="str">
        <f t="shared" si="9"/>
        <v>SUSHI ROLL</v>
      </c>
      <c r="I228" s="9">
        <f t="shared" si="10"/>
        <v>45707</v>
      </c>
      <c r="J228" s="1" t="str">
        <f t="shared" si="11"/>
        <v>2025-02</v>
      </c>
    </row>
    <row r="229" spans="1:10" x14ac:dyDescent="0.2">
      <c r="A229" s="2">
        <v>227</v>
      </c>
      <c r="B229" s="1" t="s">
        <v>5</v>
      </c>
      <c r="C229" s="1">
        <v>39000227981</v>
      </c>
      <c r="D229" s="1" t="s">
        <v>60</v>
      </c>
      <c r="E229" s="1" t="s">
        <v>61</v>
      </c>
      <c r="F229" s="1">
        <v>2</v>
      </c>
      <c r="G229" s="1" t="s">
        <v>140</v>
      </c>
      <c r="H229" s="1" t="str">
        <f t="shared" si="9"/>
        <v>AVOCADO TOAST</v>
      </c>
      <c r="I229" s="9">
        <f t="shared" si="10"/>
        <v>45674</v>
      </c>
      <c r="J229" s="1" t="str">
        <f t="shared" si="11"/>
        <v>2025-01</v>
      </c>
    </row>
    <row r="230" spans="1:10" x14ac:dyDescent="0.2">
      <c r="A230" s="2">
        <v>228</v>
      </c>
      <c r="B230" s="1" t="s">
        <v>49</v>
      </c>
      <c r="C230" s="1">
        <v>39000211029</v>
      </c>
      <c r="D230" s="1" t="s">
        <v>60</v>
      </c>
      <c r="E230" s="1" t="s">
        <v>61</v>
      </c>
      <c r="F230" s="1">
        <v>1</v>
      </c>
      <c r="G230" s="1" t="s">
        <v>90</v>
      </c>
      <c r="H230" s="1" t="str">
        <f t="shared" si="9"/>
        <v>SPICY MEATBALL</v>
      </c>
      <c r="I230" s="9">
        <f t="shared" si="10"/>
        <v>45681</v>
      </c>
      <c r="J230" s="1" t="str">
        <f t="shared" si="11"/>
        <v>2025-01</v>
      </c>
    </row>
    <row r="231" spans="1:10" x14ac:dyDescent="0.2">
      <c r="A231" s="2">
        <v>229</v>
      </c>
      <c r="B231" s="1" t="s">
        <v>8</v>
      </c>
      <c r="C231" s="1">
        <v>39000285064</v>
      </c>
      <c r="D231" s="1" t="s">
        <v>74</v>
      </c>
      <c r="E231" s="1" t="s">
        <v>63</v>
      </c>
      <c r="F231" s="1">
        <v>2</v>
      </c>
      <c r="G231" s="1" t="s">
        <v>142</v>
      </c>
      <c r="H231" s="1" t="str">
        <f t="shared" si="9"/>
        <v>VP Mint</v>
      </c>
      <c r="I231" s="9">
        <f t="shared" si="10"/>
        <v>45706</v>
      </c>
      <c r="J231" s="1" t="str">
        <f t="shared" si="11"/>
        <v>2025-02</v>
      </c>
    </row>
    <row r="232" spans="1:10" x14ac:dyDescent="0.2">
      <c r="A232" s="2">
        <v>230</v>
      </c>
      <c r="B232" s="1" t="s">
        <v>28</v>
      </c>
      <c r="C232" s="1">
        <v>39002747732</v>
      </c>
      <c r="D232" s="1" t="s">
        <v>66</v>
      </c>
      <c r="E232" s="1" t="s">
        <v>67</v>
      </c>
      <c r="F232" s="1">
        <v>1</v>
      </c>
      <c r="G232" s="1" t="s">
        <v>83</v>
      </c>
      <c r="H232" s="1" t="str">
        <f t="shared" si="9"/>
        <v>SPICY MEATBALL</v>
      </c>
      <c r="I232" s="9">
        <f t="shared" si="10"/>
        <v>45719</v>
      </c>
      <c r="J232" s="1" t="str">
        <f t="shared" si="11"/>
        <v>2025-03</v>
      </c>
    </row>
    <row r="233" spans="1:10" x14ac:dyDescent="0.2">
      <c r="A233" s="2">
        <v>231</v>
      </c>
      <c r="B233" s="1" t="s">
        <v>31</v>
      </c>
      <c r="C233" s="1">
        <v>39000587769</v>
      </c>
      <c r="D233" s="1" t="s">
        <v>54</v>
      </c>
      <c r="E233" s="1" t="s">
        <v>55</v>
      </c>
      <c r="F233" s="1">
        <v>1</v>
      </c>
      <c r="G233" s="1" t="s">
        <v>78</v>
      </c>
      <c r="H233" s="1" t="str">
        <f t="shared" si="9"/>
        <v>PICKLE JUICE</v>
      </c>
      <c r="I233" s="9">
        <f t="shared" si="10"/>
        <v>45714</v>
      </c>
      <c r="J233" s="1" t="str">
        <f t="shared" si="11"/>
        <v>2025-02</v>
      </c>
    </row>
    <row r="234" spans="1:10" x14ac:dyDescent="0.2">
      <c r="A234" s="2">
        <v>232</v>
      </c>
      <c r="B234" s="1" t="s">
        <v>6</v>
      </c>
      <c r="C234" s="1">
        <v>39000197730</v>
      </c>
      <c r="D234" s="1" t="s">
        <v>60</v>
      </c>
      <c r="E234" s="1" t="s">
        <v>61</v>
      </c>
      <c r="F234" s="1">
        <v>1</v>
      </c>
      <c r="G234" s="1" t="s">
        <v>121</v>
      </c>
      <c r="H234" s="1" t="str">
        <f t="shared" si="9"/>
        <v>SF STRAWBERRY MILKSHAKE</v>
      </c>
      <c r="I234" s="9">
        <f t="shared" si="10"/>
        <v>45720</v>
      </c>
      <c r="J234" s="1" t="str">
        <f t="shared" si="11"/>
        <v>2025-03</v>
      </c>
    </row>
    <row r="235" spans="1:10" x14ac:dyDescent="0.2">
      <c r="A235" s="2">
        <v>233</v>
      </c>
      <c r="B235" s="1" t="s">
        <v>39</v>
      </c>
      <c r="C235" s="1">
        <v>39000337857</v>
      </c>
      <c r="D235" s="1" t="s">
        <v>66</v>
      </c>
      <c r="E235" s="1" t="s">
        <v>67</v>
      </c>
      <c r="F235" s="1">
        <v>1</v>
      </c>
      <c r="G235" s="1" t="s">
        <v>93</v>
      </c>
      <c r="H235" s="1" t="str">
        <f t="shared" si="9"/>
        <v>SUSHI ROLL</v>
      </c>
      <c r="I235" s="9">
        <f t="shared" si="10"/>
        <v>45684</v>
      </c>
      <c r="J235" s="1" t="str">
        <f t="shared" si="11"/>
        <v>2025-01</v>
      </c>
    </row>
    <row r="236" spans="1:10" x14ac:dyDescent="0.2">
      <c r="A236" s="2">
        <v>234</v>
      </c>
      <c r="B236" s="1" t="s">
        <v>17</v>
      </c>
      <c r="C236" s="1">
        <v>39002306343</v>
      </c>
      <c r="D236" s="1" t="s">
        <v>56</v>
      </c>
      <c r="E236" s="1" t="s">
        <v>57</v>
      </c>
      <c r="F236" s="1">
        <v>1</v>
      </c>
      <c r="G236" s="1" t="s">
        <v>89</v>
      </c>
      <c r="H236" s="1" t="str">
        <f t="shared" si="9"/>
        <v>WASABI BANANA PUDDING</v>
      </c>
      <c r="I236" s="9">
        <f t="shared" si="10"/>
        <v>45708</v>
      </c>
      <c r="J236" s="1" t="str">
        <f t="shared" si="11"/>
        <v>2025-02</v>
      </c>
    </row>
    <row r="237" spans="1:10" x14ac:dyDescent="0.2">
      <c r="A237" s="2">
        <v>235</v>
      </c>
      <c r="B237" s="1" t="s">
        <v>38</v>
      </c>
      <c r="C237" s="1">
        <v>39000209092</v>
      </c>
      <c r="D237" s="1" t="s">
        <v>60</v>
      </c>
      <c r="E237" s="1" t="s">
        <v>61</v>
      </c>
      <c r="F237" s="1">
        <v>1</v>
      </c>
      <c r="G237" s="1" t="s">
        <v>78</v>
      </c>
      <c r="H237" s="1" t="str">
        <f t="shared" si="9"/>
        <v>PICKLE JUICE</v>
      </c>
      <c r="I237" s="9">
        <f t="shared" si="10"/>
        <v>45671</v>
      </c>
      <c r="J237" s="1" t="str">
        <f t="shared" si="11"/>
        <v>2025-01</v>
      </c>
    </row>
    <row r="238" spans="1:10" x14ac:dyDescent="0.2">
      <c r="A238" s="2">
        <v>236</v>
      </c>
      <c r="B238" s="1" t="s">
        <v>30</v>
      </c>
      <c r="C238" s="1">
        <v>39001506297</v>
      </c>
      <c r="D238" s="1" t="s">
        <v>75</v>
      </c>
      <c r="E238" s="1" t="s">
        <v>71</v>
      </c>
      <c r="F238" s="1">
        <v>1</v>
      </c>
      <c r="G238" s="1" t="s">
        <v>89</v>
      </c>
      <c r="H238" s="1" t="str">
        <f t="shared" si="9"/>
        <v>WASABI BANANA PUDDING</v>
      </c>
      <c r="I238" s="9">
        <f t="shared" si="10"/>
        <v>45716</v>
      </c>
      <c r="J238" s="1" t="str">
        <f t="shared" si="11"/>
        <v>2025-02</v>
      </c>
    </row>
    <row r="239" spans="1:10" x14ac:dyDescent="0.2">
      <c r="A239" s="2">
        <v>237</v>
      </c>
      <c r="B239" s="1" t="s">
        <v>28</v>
      </c>
      <c r="C239" s="1">
        <v>39000595764</v>
      </c>
      <c r="D239" s="1" t="s">
        <v>54</v>
      </c>
      <c r="E239" s="1" t="s">
        <v>55</v>
      </c>
      <c r="F239" s="1">
        <v>1</v>
      </c>
      <c r="G239" s="1" t="s">
        <v>90</v>
      </c>
      <c r="H239" s="1" t="str">
        <f t="shared" si="9"/>
        <v>SPICY MEATBALL</v>
      </c>
      <c r="I239" s="9">
        <f t="shared" si="10"/>
        <v>45719</v>
      </c>
      <c r="J239" s="1" t="str">
        <f t="shared" si="11"/>
        <v>2025-03</v>
      </c>
    </row>
    <row r="240" spans="1:10" x14ac:dyDescent="0.2">
      <c r="A240" s="2">
        <v>238</v>
      </c>
      <c r="B240" s="1" t="s">
        <v>11</v>
      </c>
      <c r="C240" s="1">
        <v>39001501643</v>
      </c>
      <c r="D240" s="1" t="s">
        <v>70</v>
      </c>
      <c r="E240" s="1" t="s">
        <v>71</v>
      </c>
      <c r="F240" s="1">
        <v>1</v>
      </c>
      <c r="G240" s="1" t="s">
        <v>115</v>
      </c>
      <c r="H240" s="1" t="str">
        <f t="shared" si="9"/>
        <v>BLUEBERRY SMOOTHIE</v>
      </c>
      <c r="I240" s="9">
        <f t="shared" si="10"/>
        <v>45705</v>
      </c>
      <c r="J240" s="1" t="str">
        <f t="shared" si="11"/>
        <v>2025-02</v>
      </c>
    </row>
    <row r="241" spans="1:10" x14ac:dyDescent="0.2">
      <c r="A241" s="2">
        <v>239</v>
      </c>
      <c r="B241" s="1" t="s">
        <v>41</v>
      </c>
      <c r="C241" s="1">
        <v>39000230568</v>
      </c>
      <c r="D241" s="1" t="s">
        <v>60</v>
      </c>
      <c r="E241" s="1" t="s">
        <v>61</v>
      </c>
      <c r="F241" s="1">
        <v>1</v>
      </c>
      <c r="G241" s="1" t="s">
        <v>113</v>
      </c>
      <c r="H241" s="1" t="str">
        <f t="shared" si="9"/>
        <v>DIET SODA</v>
      </c>
      <c r="I241" s="9">
        <f t="shared" si="10"/>
        <v>45665</v>
      </c>
      <c r="J241" s="1" t="str">
        <f t="shared" si="11"/>
        <v>2025-01</v>
      </c>
    </row>
    <row r="242" spans="1:10" x14ac:dyDescent="0.2">
      <c r="A242" s="2">
        <v>240</v>
      </c>
      <c r="B242" s="1" t="s">
        <v>24</v>
      </c>
      <c r="C242" s="1">
        <v>39000666965</v>
      </c>
      <c r="D242" s="1" t="s">
        <v>68</v>
      </c>
      <c r="E242" s="1" t="s">
        <v>68</v>
      </c>
      <c r="F242" s="1">
        <v>1</v>
      </c>
      <c r="G242" s="1" t="s">
        <v>101</v>
      </c>
      <c r="H242" s="1" t="str">
        <f t="shared" si="9"/>
        <v>KETCHUP</v>
      </c>
      <c r="I242" s="9">
        <f t="shared" si="10"/>
        <v>45726</v>
      </c>
      <c r="J242" s="1" t="str">
        <f t="shared" si="11"/>
        <v>2025-03</v>
      </c>
    </row>
    <row r="243" spans="1:10" x14ac:dyDescent="0.2">
      <c r="A243" s="2">
        <v>241</v>
      </c>
      <c r="B243" s="1" t="s">
        <v>12</v>
      </c>
      <c r="C243" s="1">
        <v>39001460810</v>
      </c>
      <c r="D243" s="1" t="s">
        <v>70</v>
      </c>
      <c r="E243" s="1" t="s">
        <v>71</v>
      </c>
      <c r="F243" s="1">
        <v>1</v>
      </c>
      <c r="G243" s="1" t="s">
        <v>115</v>
      </c>
      <c r="H243" s="1" t="str">
        <f t="shared" si="9"/>
        <v>BLUEBERRY SMOOTHIE</v>
      </c>
      <c r="I243" s="9">
        <f t="shared" si="10"/>
        <v>45659</v>
      </c>
      <c r="J243" s="1" t="str">
        <f t="shared" si="11"/>
        <v>2025-01</v>
      </c>
    </row>
    <row r="244" spans="1:10" x14ac:dyDescent="0.2">
      <c r="A244" s="2">
        <v>242</v>
      </c>
      <c r="B244" s="1" t="s">
        <v>5</v>
      </c>
      <c r="C244" s="1">
        <v>39000591409</v>
      </c>
      <c r="D244" s="1" t="s">
        <v>54</v>
      </c>
      <c r="E244" s="1" t="s">
        <v>55</v>
      </c>
      <c r="F244" s="1">
        <v>1</v>
      </c>
      <c r="G244" s="1" t="s">
        <v>96</v>
      </c>
      <c r="H244" s="1" t="str">
        <f t="shared" si="9"/>
        <v>SPICY MEATBALL</v>
      </c>
      <c r="I244" s="9">
        <f t="shared" si="10"/>
        <v>45674</v>
      </c>
      <c r="J244" s="1" t="str">
        <f t="shared" si="11"/>
        <v>2025-01</v>
      </c>
    </row>
    <row r="245" spans="1:10" x14ac:dyDescent="0.2">
      <c r="A245" s="2">
        <v>243</v>
      </c>
      <c r="B245" s="1" t="s">
        <v>5</v>
      </c>
      <c r="C245" s="1">
        <v>39002236403</v>
      </c>
      <c r="D245" s="1" t="s">
        <v>56</v>
      </c>
      <c r="E245" s="1" t="s">
        <v>57</v>
      </c>
      <c r="F245" s="1">
        <v>1</v>
      </c>
      <c r="G245" s="1" t="s">
        <v>99</v>
      </c>
      <c r="H245" s="1" t="str">
        <f t="shared" si="9"/>
        <v>KETCHUP</v>
      </c>
      <c r="I245" s="9">
        <f t="shared" si="10"/>
        <v>45674</v>
      </c>
      <c r="J245" s="1" t="str">
        <f t="shared" si="11"/>
        <v>2025-01</v>
      </c>
    </row>
    <row r="246" spans="1:10" x14ac:dyDescent="0.2">
      <c r="A246" s="2">
        <v>244</v>
      </c>
      <c r="B246" s="1" t="s">
        <v>16</v>
      </c>
      <c r="C246" s="1">
        <v>39000948792</v>
      </c>
      <c r="D246" s="1" t="s">
        <v>58</v>
      </c>
      <c r="E246" s="1" t="s">
        <v>59</v>
      </c>
      <c r="F246" s="1">
        <v>1</v>
      </c>
      <c r="G246" s="1" t="s">
        <v>100</v>
      </c>
      <c r="H246" s="1" t="str">
        <f t="shared" si="9"/>
        <v>SPICY MEATBALL</v>
      </c>
      <c r="I246" s="9">
        <f t="shared" si="10"/>
        <v>45663</v>
      </c>
      <c r="J246" s="1" t="str">
        <f t="shared" si="11"/>
        <v>2025-01</v>
      </c>
    </row>
    <row r="247" spans="1:10" x14ac:dyDescent="0.2">
      <c r="A247" s="2">
        <v>245</v>
      </c>
      <c r="B247" s="1" t="s">
        <v>14</v>
      </c>
      <c r="C247" s="1">
        <v>39000201279</v>
      </c>
      <c r="D247" s="1" t="s">
        <v>60</v>
      </c>
      <c r="E247" s="1" t="s">
        <v>61</v>
      </c>
      <c r="F247" s="1">
        <v>1</v>
      </c>
      <c r="G247" s="1" t="s">
        <v>85</v>
      </c>
      <c r="H247" s="1" t="str">
        <f t="shared" si="9"/>
        <v>SF MAPLE SYRUP</v>
      </c>
      <c r="I247" s="9">
        <f t="shared" si="10"/>
        <v>45694</v>
      </c>
      <c r="J247" s="1" t="str">
        <f t="shared" si="11"/>
        <v>2025-02</v>
      </c>
    </row>
    <row r="248" spans="1:10" x14ac:dyDescent="0.2">
      <c r="A248" s="2">
        <v>246</v>
      </c>
      <c r="B248" s="1" t="s">
        <v>5</v>
      </c>
      <c r="C248" s="1">
        <v>39000337727</v>
      </c>
      <c r="D248" s="1" t="s">
        <v>66</v>
      </c>
      <c r="E248" s="1" t="s">
        <v>67</v>
      </c>
      <c r="F248" s="1">
        <v>1</v>
      </c>
      <c r="G248" s="1" t="s">
        <v>85</v>
      </c>
      <c r="H248" s="1" t="str">
        <f t="shared" si="9"/>
        <v>SF MAPLE SYRUP</v>
      </c>
      <c r="I248" s="9">
        <f t="shared" si="10"/>
        <v>45674</v>
      </c>
      <c r="J248" s="1" t="str">
        <f t="shared" si="11"/>
        <v>2025-01</v>
      </c>
    </row>
    <row r="249" spans="1:10" x14ac:dyDescent="0.2">
      <c r="A249" s="2">
        <v>247</v>
      </c>
      <c r="B249" s="1" t="s">
        <v>9</v>
      </c>
      <c r="C249" s="1">
        <v>39002280252</v>
      </c>
      <c r="D249" s="1" t="s">
        <v>56</v>
      </c>
      <c r="E249" s="1" t="s">
        <v>57</v>
      </c>
      <c r="F249" s="1">
        <v>2</v>
      </c>
      <c r="G249" s="1" t="s">
        <v>88</v>
      </c>
      <c r="H249" s="1" t="str">
        <f t="shared" si="9"/>
        <v>SPICY MEATBALL</v>
      </c>
      <c r="I249" s="9">
        <f t="shared" si="10"/>
        <v>45687</v>
      </c>
      <c r="J249" s="1" t="str">
        <f t="shared" si="11"/>
        <v>2025-01</v>
      </c>
    </row>
    <row r="250" spans="1:10" x14ac:dyDescent="0.2">
      <c r="A250" s="2">
        <v>248</v>
      </c>
      <c r="B250" s="1" t="s">
        <v>45</v>
      </c>
      <c r="C250" s="1">
        <v>39000961688</v>
      </c>
      <c r="D250" s="1" t="s">
        <v>58</v>
      </c>
      <c r="E250" s="1" t="s">
        <v>59</v>
      </c>
      <c r="F250" s="1">
        <v>2</v>
      </c>
      <c r="G250" s="1" t="s">
        <v>90</v>
      </c>
      <c r="H250" s="1" t="str">
        <f t="shared" si="9"/>
        <v>SPICY MEATBALL</v>
      </c>
      <c r="I250" s="9">
        <f t="shared" si="10"/>
        <v>45700</v>
      </c>
      <c r="J250" s="1" t="str">
        <f t="shared" si="11"/>
        <v>2025-02</v>
      </c>
    </row>
    <row r="251" spans="1:10" x14ac:dyDescent="0.2">
      <c r="A251" s="2">
        <v>249</v>
      </c>
      <c r="B251" s="1" t="s">
        <v>29</v>
      </c>
      <c r="C251" s="1">
        <v>39002654145</v>
      </c>
      <c r="D251" s="1" t="s">
        <v>68</v>
      </c>
      <c r="E251" s="1" t="s">
        <v>68</v>
      </c>
      <c r="F251" s="1">
        <v>4</v>
      </c>
      <c r="G251" s="1" t="s">
        <v>128</v>
      </c>
      <c r="H251" s="1" t="str">
        <f t="shared" si="9"/>
        <v>ICE CREAM</v>
      </c>
      <c r="I251" s="9">
        <f t="shared" si="10"/>
        <v>45660</v>
      </c>
      <c r="J251" s="1" t="str">
        <f t="shared" si="11"/>
        <v>2025-01</v>
      </c>
    </row>
    <row r="252" spans="1:10" x14ac:dyDescent="0.2">
      <c r="A252" s="2">
        <v>250</v>
      </c>
      <c r="B252" s="1" t="s">
        <v>9</v>
      </c>
      <c r="C252" s="1">
        <v>39000198289</v>
      </c>
      <c r="D252" s="1" t="s">
        <v>60</v>
      </c>
      <c r="E252" s="1" t="s">
        <v>61</v>
      </c>
      <c r="F252" s="1">
        <v>1</v>
      </c>
      <c r="G252" s="1" t="s">
        <v>94</v>
      </c>
      <c r="H252" s="1" t="str">
        <f t="shared" si="9"/>
        <v>DIET COOKIE</v>
      </c>
      <c r="I252" s="9">
        <f t="shared" si="10"/>
        <v>45687</v>
      </c>
      <c r="J252" s="1" t="str">
        <f t="shared" si="11"/>
        <v>2025-01</v>
      </c>
    </row>
    <row r="253" spans="1:10" x14ac:dyDescent="0.2">
      <c r="A253" s="2">
        <v>251</v>
      </c>
      <c r="B253" s="1" t="s">
        <v>20</v>
      </c>
      <c r="C253" s="1">
        <v>39001541683</v>
      </c>
      <c r="D253" s="1" t="s">
        <v>70</v>
      </c>
      <c r="E253" s="1" t="s">
        <v>71</v>
      </c>
      <c r="F253" s="1">
        <v>1</v>
      </c>
      <c r="G253" s="1" t="s">
        <v>101</v>
      </c>
      <c r="H253" s="1" t="str">
        <f t="shared" si="9"/>
        <v>KETCHUP</v>
      </c>
      <c r="I253" s="9">
        <f t="shared" si="10"/>
        <v>45688</v>
      </c>
      <c r="J253" s="1" t="str">
        <f t="shared" si="11"/>
        <v>2025-01</v>
      </c>
    </row>
    <row r="254" spans="1:10" x14ac:dyDescent="0.2">
      <c r="A254" s="2">
        <v>252</v>
      </c>
      <c r="B254" s="1" t="s">
        <v>42</v>
      </c>
      <c r="C254" s="1">
        <v>39000203320</v>
      </c>
      <c r="D254" s="1" t="s">
        <v>60</v>
      </c>
      <c r="E254" s="1" t="s">
        <v>61</v>
      </c>
      <c r="F254" s="1">
        <v>1</v>
      </c>
      <c r="G254" s="1" t="s">
        <v>102</v>
      </c>
      <c r="H254" s="1" t="str">
        <f t="shared" si="9"/>
        <v>SF KETCHUP</v>
      </c>
      <c r="I254" s="9">
        <f t="shared" si="10"/>
        <v>45673</v>
      </c>
      <c r="J254" s="1" t="str">
        <f t="shared" si="11"/>
        <v>2025-01</v>
      </c>
    </row>
    <row r="255" spans="1:10" x14ac:dyDescent="0.2">
      <c r="A255" s="2">
        <v>253</v>
      </c>
      <c r="B255" s="1" t="s">
        <v>37</v>
      </c>
      <c r="C255" s="1">
        <v>39000592709</v>
      </c>
      <c r="D255" s="1" t="s">
        <v>54</v>
      </c>
      <c r="E255" s="1" t="s">
        <v>55</v>
      </c>
      <c r="F255" s="1">
        <v>2</v>
      </c>
      <c r="G255" s="1" t="s">
        <v>87</v>
      </c>
      <c r="H255" s="1" t="str">
        <f t="shared" si="9"/>
        <v>DIET COOKIE</v>
      </c>
      <c r="I255" s="9">
        <f t="shared" si="10"/>
        <v>45723</v>
      </c>
      <c r="J255" s="1" t="str">
        <f t="shared" si="11"/>
        <v>2025-03</v>
      </c>
    </row>
    <row r="256" spans="1:10" x14ac:dyDescent="0.2">
      <c r="A256" s="2">
        <v>254</v>
      </c>
      <c r="B256" s="1" t="s">
        <v>27</v>
      </c>
      <c r="C256" s="1">
        <v>39000955617</v>
      </c>
      <c r="D256" s="1" t="s">
        <v>58</v>
      </c>
      <c r="E256" s="1" t="s">
        <v>59</v>
      </c>
      <c r="F256" s="1">
        <v>2</v>
      </c>
      <c r="G256" s="1" t="s">
        <v>88</v>
      </c>
      <c r="H256" s="1" t="str">
        <f t="shared" si="9"/>
        <v>SPICY MEATBALL</v>
      </c>
      <c r="I256" s="9">
        <f t="shared" si="10"/>
        <v>45709</v>
      </c>
      <c r="J256" s="1" t="str">
        <f t="shared" si="11"/>
        <v>2025-02</v>
      </c>
    </row>
    <row r="257" spans="1:10" x14ac:dyDescent="0.2">
      <c r="A257" s="2">
        <v>255</v>
      </c>
      <c r="B257" s="1" t="s">
        <v>36</v>
      </c>
      <c r="C257" s="1">
        <v>39000948207</v>
      </c>
      <c r="D257" s="1" t="s">
        <v>58</v>
      </c>
      <c r="E257" s="1" t="s">
        <v>59</v>
      </c>
      <c r="F257" s="1">
        <v>4</v>
      </c>
      <c r="G257" s="1" t="s">
        <v>88</v>
      </c>
      <c r="H257" s="1" t="str">
        <f t="shared" si="9"/>
        <v>SPICY MEATBALL</v>
      </c>
      <c r="I257" s="9">
        <f t="shared" si="10"/>
        <v>45680</v>
      </c>
      <c r="J257" s="1" t="str">
        <f t="shared" si="11"/>
        <v>2025-01</v>
      </c>
    </row>
    <row r="258" spans="1:10" x14ac:dyDescent="0.2">
      <c r="A258" s="2">
        <v>256</v>
      </c>
      <c r="B258" s="1" t="s">
        <v>7</v>
      </c>
      <c r="C258" s="1">
        <v>39001431677</v>
      </c>
      <c r="D258" s="1" t="s">
        <v>70</v>
      </c>
      <c r="E258" s="1" t="s">
        <v>71</v>
      </c>
      <c r="F258" s="1">
        <v>1</v>
      </c>
      <c r="G258" s="1" t="s">
        <v>126</v>
      </c>
      <c r="H258" s="1" t="str">
        <f t="shared" si="9"/>
        <v>PICKLE JUICE</v>
      </c>
      <c r="I258" s="9">
        <f t="shared" si="10"/>
        <v>45712</v>
      </c>
      <c r="J258" s="1" t="str">
        <f t="shared" si="11"/>
        <v>2025-02</v>
      </c>
    </row>
    <row r="259" spans="1:10" x14ac:dyDescent="0.2">
      <c r="A259" s="2">
        <v>257</v>
      </c>
      <c r="B259" s="1" t="s">
        <v>22</v>
      </c>
      <c r="C259" s="1">
        <v>39002225184</v>
      </c>
      <c r="D259" s="1" t="s">
        <v>56</v>
      </c>
      <c r="E259" s="1" t="s">
        <v>57</v>
      </c>
      <c r="F259" s="1">
        <v>-0.375</v>
      </c>
      <c r="G259" s="1" t="s">
        <v>82</v>
      </c>
      <c r="H259" s="1" t="str">
        <f t="shared" ref="H259:H322" si="12">_xlfn.TEXTBEFORE(G259," ",-2)</f>
        <v>BLUEBERRY SMOOTHIE</v>
      </c>
      <c r="I259" s="9">
        <f t="shared" ref="I259:I322" si="13">DATE(LEFT(B259,4), MID(B259,5,2), RIGHT(B259,2))</f>
        <v>45721</v>
      </c>
      <c r="J259" s="1" t="str">
        <f t="shared" ref="J259:J322" si="14">TEXT(I259,"YYYY-MM")</f>
        <v>2025-03</v>
      </c>
    </row>
    <row r="260" spans="1:10" x14ac:dyDescent="0.2">
      <c r="A260" s="2">
        <v>258</v>
      </c>
      <c r="B260" s="1" t="s">
        <v>24</v>
      </c>
      <c r="C260" s="1">
        <v>39001488682</v>
      </c>
      <c r="D260" s="1" t="s">
        <v>72</v>
      </c>
      <c r="E260" s="1" t="s">
        <v>73</v>
      </c>
      <c r="F260" s="1">
        <v>2</v>
      </c>
      <c r="G260" s="1" t="s">
        <v>124</v>
      </c>
      <c r="H260" s="1" t="str">
        <f t="shared" si="12"/>
        <v>SUSHI ROLL</v>
      </c>
      <c r="I260" s="9">
        <f t="shared" si="13"/>
        <v>45726</v>
      </c>
      <c r="J260" s="1" t="str">
        <f t="shared" si="14"/>
        <v>2025-03</v>
      </c>
    </row>
    <row r="261" spans="1:10" x14ac:dyDescent="0.2">
      <c r="A261" s="2">
        <v>259</v>
      </c>
      <c r="B261" s="1" t="s">
        <v>42</v>
      </c>
      <c r="C261" s="1">
        <v>39001489813</v>
      </c>
      <c r="D261" s="1" t="s">
        <v>72</v>
      </c>
      <c r="E261" s="1" t="s">
        <v>73</v>
      </c>
      <c r="F261" s="1">
        <v>1</v>
      </c>
      <c r="G261" s="1" t="s">
        <v>86</v>
      </c>
      <c r="H261" s="1" t="str">
        <f t="shared" si="12"/>
        <v>DIET COOKIE</v>
      </c>
      <c r="I261" s="9">
        <f t="shared" si="13"/>
        <v>45673</v>
      </c>
      <c r="J261" s="1" t="str">
        <f t="shared" si="14"/>
        <v>2025-01</v>
      </c>
    </row>
    <row r="262" spans="1:10" x14ac:dyDescent="0.2">
      <c r="A262" s="2">
        <v>260</v>
      </c>
      <c r="B262" s="1" t="s">
        <v>10</v>
      </c>
      <c r="C262" s="1">
        <v>39002333422</v>
      </c>
      <c r="D262" s="1" t="s">
        <v>60</v>
      </c>
      <c r="E262" s="1" t="s">
        <v>61</v>
      </c>
      <c r="F262" s="1">
        <v>1</v>
      </c>
      <c r="G262" s="1" t="s">
        <v>91</v>
      </c>
      <c r="H262" s="1" t="str">
        <f t="shared" si="12"/>
        <v>DIET</v>
      </c>
      <c r="I262" s="9">
        <f t="shared" si="13"/>
        <v>45679</v>
      </c>
      <c r="J262" s="1" t="str">
        <f t="shared" si="14"/>
        <v>2025-01</v>
      </c>
    </row>
    <row r="263" spans="1:10" x14ac:dyDescent="0.2">
      <c r="A263" s="2">
        <v>261</v>
      </c>
      <c r="B263" s="1" t="s">
        <v>31</v>
      </c>
      <c r="C263" s="1">
        <v>39000217360</v>
      </c>
      <c r="D263" s="1" t="s">
        <v>69</v>
      </c>
      <c r="E263" s="1" t="s">
        <v>61</v>
      </c>
      <c r="F263" s="1">
        <v>1</v>
      </c>
      <c r="G263" s="1" t="s">
        <v>130</v>
      </c>
      <c r="H263" s="1" t="str">
        <f t="shared" si="12"/>
        <v>SF LEMONADE</v>
      </c>
      <c r="I263" s="9">
        <f t="shared" si="13"/>
        <v>45714</v>
      </c>
      <c r="J263" s="1" t="str">
        <f t="shared" si="14"/>
        <v>2025-02</v>
      </c>
    </row>
    <row r="264" spans="1:10" x14ac:dyDescent="0.2">
      <c r="A264" s="2">
        <v>262</v>
      </c>
      <c r="B264" s="1" t="s">
        <v>20</v>
      </c>
      <c r="C264" s="1">
        <v>39000661037</v>
      </c>
      <c r="D264" s="1" t="s">
        <v>68</v>
      </c>
      <c r="E264" s="1" t="s">
        <v>68</v>
      </c>
      <c r="F264" s="1">
        <v>1</v>
      </c>
      <c r="G264" s="1" t="s">
        <v>143</v>
      </c>
      <c r="H264" s="1" t="str">
        <f t="shared" si="12"/>
        <v>WASABI BANANA PUDDING</v>
      </c>
      <c r="I264" s="9">
        <f t="shared" si="13"/>
        <v>45688</v>
      </c>
      <c r="J264" s="1" t="str">
        <f t="shared" si="14"/>
        <v>2025-01</v>
      </c>
    </row>
    <row r="265" spans="1:10" x14ac:dyDescent="0.2">
      <c r="A265" s="2">
        <v>263</v>
      </c>
      <c r="B265" s="1" t="s">
        <v>45</v>
      </c>
      <c r="C265" s="1">
        <v>39001393262</v>
      </c>
      <c r="D265" s="1" t="s">
        <v>70</v>
      </c>
      <c r="E265" s="1" t="s">
        <v>71</v>
      </c>
      <c r="F265" s="1">
        <v>1</v>
      </c>
      <c r="G265" s="1" t="s">
        <v>125</v>
      </c>
      <c r="H265" s="1" t="str">
        <f t="shared" si="12"/>
        <v>MAPLE SYRUP</v>
      </c>
      <c r="I265" s="9">
        <f t="shared" si="13"/>
        <v>45700</v>
      </c>
      <c r="J265" s="1" t="str">
        <f t="shared" si="14"/>
        <v>2025-02</v>
      </c>
    </row>
    <row r="266" spans="1:10" x14ac:dyDescent="0.2">
      <c r="A266" s="2">
        <v>264</v>
      </c>
      <c r="B266" s="1" t="s">
        <v>4</v>
      </c>
      <c r="C266" s="1">
        <v>39000592332</v>
      </c>
      <c r="D266" s="1" t="s">
        <v>54</v>
      </c>
      <c r="E266" s="1" t="s">
        <v>55</v>
      </c>
      <c r="F266" s="1">
        <v>1</v>
      </c>
      <c r="G266" s="1" t="s">
        <v>94</v>
      </c>
      <c r="H266" s="1" t="str">
        <f t="shared" si="12"/>
        <v>DIET COOKIE</v>
      </c>
      <c r="I266" s="9">
        <f t="shared" si="13"/>
        <v>45686</v>
      </c>
      <c r="J266" s="1" t="str">
        <f t="shared" si="14"/>
        <v>2025-01</v>
      </c>
    </row>
    <row r="267" spans="1:10" x14ac:dyDescent="0.2">
      <c r="A267" s="2">
        <v>265</v>
      </c>
      <c r="B267" s="1" t="s">
        <v>17</v>
      </c>
      <c r="C267" s="1">
        <v>39000663195</v>
      </c>
      <c r="D267" s="1" t="s">
        <v>68</v>
      </c>
      <c r="E267" s="1" t="s">
        <v>68</v>
      </c>
      <c r="F267" s="1">
        <v>2</v>
      </c>
      <c r="G267" s="1" t="s">
        <v>83</v>
      </c>
      <c r="H267" s="1" t="str">
        <f t="shared" si="12"/>
        <v>SPICY MEATBALL</v>
      </c>
      <c r="I267" s="9">
        <f t="shared" si="13"/>
        <v>45708</v>
      </c>
      <c r="J267" s="1" t="str">
        <f t="shared" si="14"/>
        <v>2025-02</v>
      </c>
    </row>
    <row r="268" spans="1:10" x14ac:dyDescent="0.2">
      <c r="A268" s="2">
        <v>266</v>
      </c>
      <c r="B268" s="1" t="s">
        <v>48</v>
      </c>
      <c r="C268" s="1">
        <v>39002287740</v>
      </c>
      <c r="D268" s="1" t="s">
        <v>56</v>
      </c>
      <c r="E268" s="1" t="s">
        <v>57</v>
      </c>
      <c r="F268" s="1">
        <v>1</v>
      </c>
      <c r="G268" s="1" t="s">
        <v>82</v>
      </c>
      <c r="H268" s="1" t="str">
        <f t="shared" si="12"/>
        <v>BLUEBERRY SMOOTHIE</v>
      </c>
      <c r="I268" s="9">
        <f t="shared" si="13"/>
        <v>45667</v>
      </c>
      <c r="J268" s="1" t="str">
        <f t="shared" si="14"/>
        <v>2025-01</v>
      </c>
    </row>
    <row r="269" spans="1:10" x14ac:dyDescent="0.2">
      <c r="A269" s="2">
        <v>267</v>
      </c>
      <c r="B269" s="1" t="s">
        <v>14</v>
      </c>
      <c r="C269" s="1">
        <v>39000201695</v>
      </c>
      <c r="D269" s="1" t="s">
        <v>69</v>
      </c>
      <c r="E269" s="1" t="s">
        <v>61</v>
      </c>
      <c r="F269" s="1">
        <v>1</v>
      </c>
      <c r="G269" s="1" t="s">
        <v>85</v>
      </c>
      <c r="H269" s="1" t="str">
        <f t="shared" si="12"/>
        <v>SF MAPLE SYRUP</v>
      </c>
      <c r="I269" s="9">
        <f t="shared" si="13"/>
        <v>45694</v>
      </c>
      <c r="J269" s="1" t="str">
        <f t="shared" si="14"/>
        <v>2025-02</v>
      </c>
    </row>
    <row r="270" spans="1:10" x14ac:dyDescent="0.2">
      <c r="A270" s="2">
        <v>268</v>
      </c>
      <c r="B270" s="1" t="s">
        <v>21</v>
      </c>
      <c r="C270" s="1">
        <v>39001387633</v>
      </c>
      <c r="D270" s="1" t="s">
        <v>72</v>
      </c>
      <c r="E270" s="1" t="s">
        <v>73</v>
      </c>
      <c r="F270" s="1">
        <v>1</v>
      </c>
      <c r="G270" s="1" t="s">
        <v>115</v>
      </c>
      <c r="H270" s="1" t="str">
        <f t="shared" si="12"/>
        <v>BLUEBERRY SMOOTHIE</v>
      </c>
      <c r="I270" s="9">
        <f t="shared" si="13"/>
        <v>45699</v>
      </c>
      <c r="J270" s="1" t="str">
        <f t="shared" si="14"/>
        <v>2025-02</v>
      </c>
    </row>
    <row r="271" spans="1:10" x14ac:dyDescent="0.2">
      <c r="A271" s="2">
        <v>269</v>
      </c>
      <c r="B271" s="1" t="s">
        <v>31</v>
      </c>
      <c r="C271" s="1">
        <v>39001482104</v>
      </c>
      <c r="D271" s="1" t="s">
        <v>70</v>
      </c>
      <c r="E271" s="1" t="s">
        <v>71</v>
      </c>
      <c r="F271" s="1">
        <v>2</v>
      </c>
      <c r="G271" s="1" t="s">
        <v>121</v>
      </c>
      <c r="H271" s="1" t="str">
        <f t="shared" si="12"/>
        <v>SF STRAWBERRY MILKSHAKE</v>
      </c>
      <c r="I271" s="9">
        <f t="shared" si="13"/>
        <v>45714</v>
      </c>
      <c r="J271" s="1" t="str">
        <f t="shared" si="14"/>
        <v>2025-02</v>
      </c>
    </row>
    <row r="272" spans="1:10" x14ac:dyDescent="0.2">
      <c r="A272" s="2">
        <v>270</v>
      </c>
      <c r="B272" s="1" t="s">
        <v>36</v>
      </c>
      <c r="C272" s="1">
        <v>39000217412</v>
      </c>
      <c r="D272" s="1" t="s">
        <v>60</v>
      </c>
      <c r="E272" s="1" t="s">
        <v>61</v>
      </c>
      <c r="F272" s="1">
        <v>1</v>
      </c>
      <c r="G272" s="1" t="s">
        <v>84</v>
      </c>
      <c r="H272" s="1" t="str">
        <f t="shared" si="12"/>
        <v>SF ICE CREAM</v>
      </c>
      <c r="I272" s="9">
        <f t="shared" si="13"/>
        <v>45680</v>
      </c>
      <c r="J272" s="1" t="str">
        <f t="shared" si="14"/>
        <v>2025-01</v>
      </c>
    </row>
    <row r="273" spans="1:10" x14ac:dyDescent="0.2">
      <c r="A273" s="2">
        <v>271</v>
      </c>
      <c r="B273" s="1" t="s">
        <v>47</v>
      </c>
      <c r="C273" s="1">
        <v>39002684474</v>
      </c>
      <c r="D273" s="1" t="s">
        <v>76</v>
      </c>
      <c r="E273" s="1" t="s">
        <v>77</v>
      </c>
      <c r="F273" s="1">
        <v>1</v>
      </c>
      <c r="G273" s="1" t="s">
        <v>99</v>
      </c>
      <c r="H273" s="1" t="str">
        <f t="shared" si="12"/>
        <v>KETCHUP</v>
      </c>
      <c r="I273" s="9">
        <f t="shared" si="13"/>
        <v>45691</v>
      </c>
      <c r="J273" s="1" t="str">
        <f t="shared" si="14"/>
        <v>2025-02</v>
      </c>
    </row>
    <row r="274" spans="1:10" x14ac:dyDescent="0.2">
      <c r="A274" s="2">
        <v>272</v>
      </c>
      <c r="B274" s="1" t="s">
        <v>16</v>
      </c>
      <c r="C274" s="1">
        <v>39000284921</v>
      </c>
      <c r="D274" s="1" t="s">
        <v>74</v>
      </c>
      <c r="E274" s="1" t="s">
        <v>63</v>
      </c>
      <c r="F274" s="1">
        <v>2</v>
      </c>
      <c r="G274" s="1" t="s">
        <v>117</v>
      </c>
      <c r="H274" s="1" t="str">
        <f t="shared" si="12"/>
        <v>STRAWBERRY MILKSHAKE</v>
      </c>
      <c r="I274" s="9">
        <f t="shared" si="13"/>
        <v>45663</v>
      </c>
      <c r="J274" s="1" t="str">
        <f t="shared" si="14"/>
        <v>2025-01</v>
      </c>
    </row>
    <row r="275" spans="1:10" x14ac:dyDescent="0.2">
      <c r="A275" s="2">
        <v>273</v>
      </c>
      <c r="B275" s="1" t="s">
        <v>22</v>
      </c>
      <c r="C275" s="1">
        <v>39000220454</v>
      </c>
      <c r="D275" s="1" t="s">
        <v>60</v>
      </c>
      <c r="E275" s="1" t="s">
        <v>61</v>
      </c>
      <c r="F275" s="1">
        <v>8</v>
      </c>
      <c r="G275" s="1" t="s">
        <v>107</v>
      </c>
      <c r="H275" s="1" t="str">
        <f t="shared" si="12"/>
        <v>LEMONADE</v>
      </c>
      <c r="I275" s="9">
        <f t="shared" si="13"/>
        <v>45721</v>
      </c>
      <c r="J275" s="1" t="str">
        <f t="shared" si="14"/>
        <v>2025-03</v>
      </c>
    </row>
    <row r="276" spans="1:10" x14ac:dyDescent="0.2">
      <c r="A276" s="2">
        <v>274</v>
      </c>
      <c r="B276" s="1" t="s">
        <v>18</v>
      </c>
      <c r="C276" s="1">
        <v>39000264043</v>
      </c>
      <c r="D276" s="1" t="s">
        <v>62</v>
      </c>
      <c r="E276" s="1" t="s">
        <v>63</v>
      </c>
      <c r="F276" s="1">
        <v>1</v>
      </c>
      <c r="G276" s="1" t="s">
        <v>78</v>
      </c>
      <c r="H276" s="1" t="str">
        <f t="shared" si="12"/>
        <v>PICKLE JUICE</v>
      </c>
      <c r="I276" s="9">
        <f t="shared" si="13"/>
        <v>45678</v>
      </c>
      <c r="J276" s="1" t="str">
        <f t="shared" si="14"/>
        <v>2025-01</v>
      </c>
    </row>
    <row r="277" spans="1:10" x14ac:dyDescent="0.2">
      <c r="A277" s="2">
        <v>275</v>
      </c>
      <c r="B277" s="1" t="s">
        <v>26</v>
      </c>
      <c r="C277" s="1">
        <v>39002698189</v>
      </c>
      <c r="D277" s="1" t="s">
        <v>66</v>
      </c>
      <c r="E277" s="1" t="s">
        <v>67</v>
      </c>
      <c r="F277" s="1">
        <v>1</v>
      </c>
      <c r="G277" s="1" t="s">
        <v>100</v>
      </c>
      <c r="H277" s="1" t="str">
        <f t="shared" si="12"/>
        <v>SPICY MEATBALL</v>
      </c>
      <c r="I277" s="9">
        <f t="shared" si="13"/>
        <v>45707</v>
      </c>
      <c r="J277" s="1" t="str">
        <f t="shared" si="14"/>
        <v>2025-02</v>
      </c>
    </row>
    <row r="278" spans="1:10" x14ac:dyDescent="0.2">
      <c r="A278" s="2">
        <v>276</v>
      </c>
      <c r="B278" s="1" t="s">
        <v>13</v>
      </c>
      <c r="C278" s="1">
        <v>39000217477</v>
      </c>
      <c r="D278" s="1" t="s">
        <v>60</v>
      </c>
      <c r="E278" s="1" t="s">
        <v>61</v>
      </c>
      <c r="F278" s="1">
        <v>1</v>
      </c>
      <c r="G278" s="1" t="s">
        <v>91</v>
      </c>
      <c r="H278" s="1" t="str">
        <f t="shared" si="12"/>
        <v>DIET</v>
      </c>
      <c r="I278" s="9">
        <f t="shared" si="13"/>
        <v>45664</v>
      </c>
      <c r="J278" s="1" t="str">
        <f t="shared" si="14"/>
        <v>2025-01</v>
      </c>
    </row>
    <row r="279" spans="1:10" x14ac:dyDescent="0.2">
      <c r="A279" s="2">
        <v>277</v>
      </c>
      <c r="B279" s="1" t="s">
        <v>50</v>
      </c>
      <c r="C279" s="1">
        <v>39002422394</v>
      </c>
      <c r="D279" s="1" t="s">
        <v>70</v>
      </c>
      <c r="E279" s="1" t="s">
        <v>71</v>
      </c>
      <c r="F279" s="1">
        <v>-1</v>
      </c>
      <c r="G279" s="1" t="s">
        <v>125</v>
      </c>
      <c r="H279" s="1" t="str">
        <f t="shared" si="12"/>
        <v>MAPLE SYRUP</v>
      </c>
      <c r="I279" s="9">
        <f t="shared" si="13"/>
        <v>45692</v>
      </c>
      <c r="J279" s="1" t="str">
        <f t="shared" si="14"/>
        <v>2025-02</v>
      </c>
    </row>
    <row r="280" spans="1:10" x14ac:dyDescent="0.2">
      <c r="A280" s="2">
        <v>278</v>
      </c>
      <c r="B280" s="1" t="s">
        <v>8</v>
      </c>
      <c r="C280" s="1">
        <v>39000278447</v>
      </c>
      <c r="D280" s="1" t="s">
        <v>74</v>
      </c>
      <c r="E280" s="1" t="s">
        <v>63</v>
      </c>
      <c r="F280" s="1">
        <v>1</v>
      </c>
      <c r="G280" s="1" t="s">
        <v>78</v>
      </c>
      <c r="H280" s="1" t="str">
        <f t="shared" si="12"/>
        <v>PICKLE JUICE</v>
      </c>
      <c r="I280" s="9">
        <f t="shared" si="13"/>
        <v>45706</v>
      </c>
      <c r="J280" s="1" t="str">
        <f t="shared" si="14"/>
        <v>2025-02</v>
      </c>
    </row>
    <row r="281" spans="1:10" x14ac:dyDescent="0.2">
      <c r="A281" s="2">
        <v>279</v>
      </c>
      <c r="B281" s="1" t="s">
        <v>42</v>
      </c>
      <c r="C281" s="1">
        <v>39001687660</v>
      </c>
      <c r="D281" s="1" t="s">
        <v>64</v>
      </c>
      <c r="E281" s="1" t="s">
        <v>65</v>
      </c>
      <c r="F281" s="1">
        <v>-0.25</v>
      </c>
      <c r="G281" s="1" t="s">
        <v>144</v>
      </c>
      <c r="H281" s="1" t="str">
        <f t="shared" si="12"/>
        <v>WASABI</v>
      </c>
      <c r="I281" s="9">
        <f t="shared" si="13"/>
        <v>45673</v>
      </c>
      <c r="J281" s="1" t="str">
        <f t="shared" si="14"/>
        <v>2025-01</v>
      </c>
    </row>
    <row r="282" spans="1:10" x14ac:dyDescent="0.2">
      <c r="A282" s="2">
        <v>280</v>
      </c>
      <c r="B282" s="1" t="s">
        <v>24</v>
      </c>
      <c r="C282" s="1">
        <v>39000212771</v>
      </c>
      <c r="D282" s="1" t="s">
        <v>60</v>
      </c>
      <c r="E282" s="1" t="s">
        <v>61</v>
      </c>
      <c r="F282" s="1">
        <v>2</v>
      </c>
      <c r="G282" s="1" t="s">
        <v>142</v>
      </c>
      <c r="H282" s="1" t="str">
        <f t="shared" si="12"/>
        <v>VP Mint</v>
      </c>
      <c r="I282" s="9">
        <f t="shared" si="13"/>
        <v>45726</v>
      </c>
      <c r="J282" s="1" t="str">
        <f t="shared" si="14"/>
        <v>2025-03</v>
      </c>
    </row>
    <row r="283" spans="1:10" x14ac:dyDescent="0.2">
      <c r="A283" s="2">
        <v>281</v>
      </c>
      <c r="B283" s="1" t="s">
        <v>39</v>
      </c>
      <c r="C283" s="1">
        <v>39000659711</v>
      </c>
      <c r="D283" s="1" t="s">
        <v>68</v>
      </c>
      <c r="E283" s="1" t="s">
        <v>68</v>
      </c>
      <c r="F283" s="1">
        <v>1</v>
      </c>
      <c r="G283" s="1" t="s">
        <v>86</v>
      </c>
      <c r="H283" s="1" t="str">
        <f t="shared" si="12"/>
        <v>DIET COOKIE</v>
      </c>
      <c r="I283" s="9">
        <f t="shared" si="13"/>
        <v>45684</v>
      </c>
      <c r="J283" s="1" t="str">
        <f t="shared" si="14"/>
        <v>2025-01</v>
      </c>
    </row>
    <row r="284" spans="1:10" x14ac:dyDescent="0.2">
      <c r="A284" s="2">
        <v>282</v>
      </c>
      <c r="B284" s="1" t="s">
        <v>39</v>
      </c>
      <c r="C284" s="1">
        <v>39000235820</v>
      </c>
      <c r="D284" s="1" t="s">
        <v>60</v>
      </c>
      <c r="E284" s="1" t="s">
        <v>61</v>
      </c>
      <c r="F284" s="1">
        <v>1</v>
      </c>
      <c r="G284" s="1" t="s">
        <v>113</v>
      </c>
      <c r="H284" s="1" t="str">
        <f t="shared" si="12"/>
        <v>DIET SODA</v>
      </c>
      <c r="I284" s="9">
        <f t="shared" si="13"/>
        <v>45684</v>
      </c>
      <c r="J284" s="1" t="str">
        <f t="shared" si="14"/>
        <v>2025-01</v>
      </c>
    </row>
    <row r="285" spans="1:10" x14ac:dyDescent="0.2">
      <c r="A285" s="2">
        <v>283</v>
      </c>
      <c r="B285" s="1" t="s">
        <v>39</v>
      </c>
      <c r="C285" s="1">
        <v>39001547416</v>
      </c>
      <c r="D285" s="1" t="s">
        <v>75</v>
      </c>
      <c r="E285" s="1" t="s">
        <v>71</v>
      </c>
      <c r="F285" s="1">
        <v>1</v>
      </c>
      <c r="G285" s="1" t="s">
        <v>124</v>
      </c>
      <c r="H285" s="1" t="str">
        <f t="shared" si="12"/>
        <v>SUSHI ROLL</v>
      </c>
      <c r="I285" s="9">
        <f t="shared" si="13"/>
        <v>45684</v>
      </c>
      <c r="J285" s="1" t="str">
        <f t="shared" si="14"/>
        <v>2025-01</v>
      </c>
    </row>
    <row r="286" spans="1:10" x14ac:dyDescent="0.2">
      <c r="A286" s="2">
        <v>284</v>
      </c>
      <c r="B286" s="1" t="s">
        <v>37</v>
      </c>
      <c r="C286" s="1">
        <v>39000962182</v>
      </c>
      <c r="D286" s="1" t="s">
        <v>58</v>
      </c>
      <c r="E286" s="1" t="s">
        <v>59</v>
      </c>
      <c r="F286" s="1">
        <v>2</v>
      </c>
      <c r="G286" s="1" t="s">
        <v>95</v>
      </c>
      <c r="H286" s="1" t="str">
        <f t="shared" si="12"/>
        <v>LEMONADE</v>
      </c>
      <c r="I286" s="9">
        <f t="shared" si="13"/>
        <v>45723</v>
      </c>
      <c r="J286" s="1" t="str">
        <f t="shared" si="14"/>
        <v>2025-03</v>
      </c>
    </row>
    <row r="287" spans="1:10" x14ac:dyDescent="0.2">
      <c r="A287" s="2">
        <v>285</v>
      </c>
      <c r="B287" s="1" t="s">
        <v>29</v>
      </c>
      <c r="C287" s="1">
        <v>39001520285</v>
      </c>
      <c r="D287" s="1" t="s">
        <v>70</v>
      </c>
      <c r="E287" s="1" t="s">
        <v>71</v>
      </c>
      <c r="F287" s="1">
        <v>1</v>
      </c>
      <c r="G287" s="1" t="s">
        <v>145</v>
      </c>
      <c r="H287" s="1" t="str">
        <f t="shared" si="12"/>
        <v>KETCHUP</v>
      </c>
      <c r="I287" s="9">
        <f t="shared" si="13"/>
        <v>45660</v>
      </c>
      <c r="J287" s="1" t="str">
        <f t="shared" si="14"/>
        <v>2025-01</v>
      </c>
    </row>
    <row r="288" spans="1:10" x14ac:dyDescent="0.2">
      <c r="A288" s="2">
        <v>286</v>
      </c>
      <c r="B288" s="1" t="s">
        <v>28</v>
      </c>
      <c r="C288" s="1">
        <v>39001549743</v>
      </c>
      <c r="D288" s="1" t="s">
        <v>70</v>
      </c>
      <c r="E288" s="1" t="s">
        <v>71</v>
      </c>
      <c r="F288" s="1">
        <v>1</v>
      </c>
      <c r="G288" s="1" t="s">
        <v>131</v>
      </c>
      <c r="H288" s="1" t="str">
        <f t="shared" si="12"/>
        <v>STRAWBERRY MILKSHAKE</v>
      </c>
      <c r="I288" s="9">
        <f t="shared" si="13"/>
        <v>45719</v>
      </c>
      <c r="J288" s="1" t="str">
        <f t="shared" si="14"/>
        <v>2025-03</v>
      </c>
    </row>
    <row r="289" spans="1:10" x14ac:dyDescent="0.2">
      <c r="A289" s="2">
        <v>287</v>
      </c>
      <c r="B289" s="1" t="s">
        <v>20</v>
      </c>
      <c r="C289" s="1">
        <v>39000220753</v>
      </c>
      <c r="D289" s="1" t="s">
        <v>60</v>
      </c>
      <c r="E289" s="1" t="s">
        <v>61</v>
      </c>
      <c r="F289" s="1">
        <v>1</v>
      </c>
      <c r="G289" s="1" t="s">
        <v>88</v>
      </c>
      <c r="H289" s="1" t="str">
        <f t="shared" si="12"/>
        <v>SPICY MEATBALL</v>
      </c>
      <c r="I289" s="9">
        <f t="shared" si="13"/>
        <v>45688</v>
      </c>
      <c r="J289" s="1" t="str">
        <f t="shared" si="14"/>
        <v>2025-01</v>
      </c>
    </row>
    <row r="290" spans="1:10" x14ac:dyDescent="0.2">
      <c r="A290" s="2">
        <v>288</v>
      </c>
      <c r="B290" s="1" t="s">
        <v>27</v>
      </c>
      <c r="C290" s="1">
        <v>39001537809</v>
      </c>
      <c r="D290" s="1" t="s">
        <v>70</v>
      </c>
      <c r="E290" s="1" t="s">
        <v>71</v>
      </c>
      <c r="F290" s="1">
        <v>1</v>
      </c>
      <c r="G290" s="1" t="s">
        <v>87</v>
      </c>
      <c r="H290" s="1" t="str">
        <f t="shared" si="12"/>
        <v>DIET COOKIE</v>
      </c>
      <c r="I290" s="9">
        <f t="shared" si="13"/>
        <v>45709</v>
      </c>
      <c r="J290" s="1" t="str">
        <f t="shared" si="14"/>
        <v>2025-02</v>
      </c>
    </row>
    <row r="291" spans="1:10" x14ac:dyDescent="0.2">
      <c r="A291" s="2">
        <v>289</v>
      </c>
      <c r="B291" s="1" t="s">
        <v>30</v>
      </c>
      <c r="C291" s="1">
        <v>39000964834</v>
      </c>
      <c r="D291" s="1" t="s">
        <v>58</v>
      </c>
      <c r="E291" s="1" t="s">
        <v>59</v>
      </c>
      <c r="F291" s="1">
        <v>1</v>
      </c>
      <c r="G291" s="1" t="s">
        <v>88</v>
      </c>
      <c r="H291" s="1" t="str">
        <f t="shared" si="12"/>
        <v>SPICY MEATBALL</v>
      </c>
      <c r="I291" s="9">
        <f t="shared" si="13"/>
        <v>45716</v>
      </c>
      <c r="J291" s="1" t="str">
        <f t="shared" si="14"/>
        <v>2025-02</v>
      </c>
    </row>
    <row r="292" spans="1:10" x14ac:dyDescent="0.2">
      <c r="A292" s="2">
        <v>290</v>
      </c>
      <c r="B292" s="1" t="s">
        <v>44</v>
      </c>
      <c r="C292" s="1">
        <v>39000590642</v>
      </c>
      <c r="D292" s="1" t="s">
        <v>54</v>
      </c>
      <c r="E292" s="1" t="s">
        <v>55</v>
      </c>
      <c r="F292" s="1">
        <v>2</v>
      </c>
      <c r="G292" s="1" t="s">
        <v>91</v>
      </c>
      <c r="H292" s="1" t="str">
        <f t="shared" si="12"/>
        <v>DIET</v>
      </c>
      <c r="I292" s="9">
        <f t="shared" si="13"/>
        <v>45666</v>
      </c>
      <c r="J292" s="1" t="str">
        <f t="shared" si="14"/>
        <v>2025-01</v>
      </c>
    </row>
    <row r="293" spans="1:10" x14ac:dyDescent="0.2">
      <c r="A293" s="2">
        <v>291</v>
      </c>
      <c r="B293" s="1" t="s">
        <v>44</v>
      </c>
      <c r="C293" s="1">
        <v>39000242281</v>
      </c>
      <c r="D293" s="1" t="s">
        <v>60</v>
      </c>
      <c r="E293" s="1" t="s">
        <v>61</v>
      </c>
      <c r="F293" s="1">
        <v>2</v>
      </c>
      <c r="G293" s="1" t="s">
        <v>115</v>
      </c>
      <c r="H293" s="1" t="str">
        <f t="shared" si="12"/>
        <v>BLUEBERRY SMOOTHIE</v>
      </c>
      <c r="I293" s="9">
        <f t="shared" si="13"/>
        <v>45666</v>
      </c>
      <c r="J293" s="1" t="str">
        <f t="shared" si="14"/>
        <v>2025-01</v>
      </c>
    </row>
    <row r="294" spans="1:10" x14ac:dyDescent="0.2">
      <c r="A294" s="2">
        <v>292</v>
      </c>
      <c r="B294" s="1" t="s">
        <v>17</v>
      </c>
      <c r="C294" s="1">
        <v>39001784666</v>
      </c>
      <c r="D294" s="1" t="s">
        <v>54</v>
      </c>
      <c r="E294" s="1" t="s">
        <v>55</v>
      </c>
      <c r="F294" s="1">
        <v>4</v>
      </c>
      <c r="G294" s="1" t="s">
        <v>124</v>
      </c>
      <c r="H294" s="1" t="str">
        <f t="shared" si="12"/>
        <v>SUSHI ROLL</v>
      </c>
      <c r="I294" s="9">
        <f t="shared" si="13"/>
        <v>45708</v>
      </c>
      <c r="J294" s="1" t="str">
        <f t="shared" si="14"/>
        <v>2025-02</v>
      </c>
    </row>
    <row r="295" spans="1:10" x14ac:dyDescent="0.2">
      <c r="A295" s="2">
        <v>293</v>
      </c>
      <c r="B295" s="1" t="s">
        <v>11</v>
      </c>
      <c r="C295" s="1">
        <v>39000667004</v>
      </c>
      <c r="D295" s="1" t="s">
        <v>68</v>
      </c>
      <c r="E295" s="1" t="s">
        <v>68</v>
      </c>
      <c r="F295" s="1">
        <v>1</v>
      </c>
      <c r="G295" s="1" t="s">
        <v>124</v>
      </c>
      <c r="H295" s="1" t="str">
        <f t="shared" si="12"/>
        <v>SUSHI ROLL</v>
      </c>
      <c r="I295" s="9">
        <f t="shared" si="13"/>
        <v>45705</v>
      </c>
      <c r="J295" s="1" t="str">
        <f t="shared" si="14"/>
        <v>2025-02</v>
      </c>
    </row>
    <row r="296" spans="1:10" x14ac:dyDescent="0.2">
      <c r="A296" s="2">
        <v>294</v>
      </c>
      <c r="B296" s="1" t="s">
        <v>16</v>
      </c>
      <c r="C296" s="1">
        <v>39000215241</v>
      </c>
      <c r="D296" s="1" t="s">
        <v>69</v>
      </c>
      <c r="E296" s="1" t="s">
        <v>61</v>
      </c>
      <c r="F296" s="1">
        <v>1</v>
      </c>
      <c r="G296" s="1" t="s">
        <v>109</v>
      </c>
      <c r="H296" s="1" t="str">
        <f t="shared" si="12"/>
        <v>PEACH COBBLER</v>
      </c>
      <c r="I296" s="9">
        <f t="shared" si="13"/>
        <v>45663</v>
      </c>
      <c r="J296" s="1" t="str">
        <f t="shared" si="14"/>
        <v>2025-01</v>
      </c>
    </row>
    <row r="297" spans="1:10" x14ac:dyDescent="0.2">
      <c r="A297" s="2">
        <v>295</v>
      </c>
      <c r="B297" s="1" t="s">
        <v>46</v>
      </c>
      <c r="C297" s="1">
        <v>39000221195</v>
      </c>
      <c r="D297" s="1" t="s">
        <v>69</v>
      </c>
      <c r="E297" s="1" t="s">
        <v>61</v>
      </c>
      <c r="F297" s="1">
        <v>1</v>
      </c>
      <c r="G297" s="1" t="s">
        <v>85</v>
      </c>
      <c r="H297" s="1" t="str">
        <f t="shared" si="12"/>
        <v>SF MAPLE SYRUP</v>
      </c>
      <c r="I297" s="9">
        <f t="shared" si="13"/>
        <v>45701</v>
      </c>
      <c r="J297" s="1" t="str">
        <f t="shared" si="14"/>
        <v>2025-02</v>
      </c>
    </row>
    <row r="298" spans="1:10" x14ac:dyDescent="0.2">
      <c r="A298" s="2">
        <v>296</v>
      </c>
      <c r="B298" s="1" t="s">
        <v>26</v>
      </c>
      <c r="C298" s="1">
        <v>39000228124</v>
      </c>
      <c r="D298" s="1" t="s">
        <v>60</v>
      </c>
      <c r="E298" s="1" t="s">
        <v>61</v>
      </c>
      <c r="F298" s="1">
        <v>1</v>
      </c>
      <c r="G298" s="1" t="s">
        <v>111</v>
      </c>
      <c r="H298" s="1" t="str">
        <f t="shared" si="12"/>
        <v>MAPLE SYRUP</v>
      </c>
      <c r="I298" s="9">
        <f t="shared" si="13"/>
        <v>45707</v>
      </c>
      <c r="J298" s="1" t="str">
        <f t="shared" si="14"/>
        <v>2025-02</v>
      </c>
    </row>
    <row r="299" spans="1:10" x14ac:dyDescent="0.2">
      <c r="A299" s="2">
        <v>297</v>
      </c>
      <c r="B299" s="1" t="s">
        <v>26</v>
      </c>
      <c r="C299" s="1">
        <v>39000203138</v>
      </c>
      <c r="D299" s="1" t="s">
        <v>69</v>
      </c>
      <c r="E299" s="1" t="s">
        <v>61</v>
      </c>
      <c r="F299" s="1">
        <v>1</v>
      </c>
      <c r="G299" s="1" t="s">
        <v>143</v>
      </c>
      <c r="H299" s="1" t="str">
        <f t="shared" si="12"/>
        <v>WASABI BANANA PUDDING</v>
      </c>
      <c r="I299" s="9">
        <f t="shared" si="13"/>
        <v>45707</v>
      </c>
      <c r="J299" s="1" t="str">
        <f t="shared" si="14"/>
        <v>2025-02</v>
      </c>
    </row>
    <row r="300" spans="1:10" x14ac:dyDescent="0.2">
      <c r="A300" s="2">
        <v>298</v>
      </c>
      <c r="B300" s="1" t="s">
        <v>37</v>
      </c>
      <c r="C300" s="1">
        <v>39000948740</v>
      </c>
      <c r="D300" s="1" t="s">
        <v>58</v>
      </c>
      <c r="E300" s="1" t="s">
        <v>59</v>
      </c>
      <c r="F300" s="1">
        <v>2</v>
      </c>
      <c r="G300" s="1" t="s">
        <v>95</v>
      </c>
      <c r="H300" s="1" t="str">
        <f t="shared" si="12"/>
        <v>LEMONADE</v>
      </c>
      <c r="I300" s="9">
        <f t="shared" si="13"/>
        <v>45723</v>
      </c>
      <c r="J300" s="1" t="str">
        <f t="shared" si="14"/>
        <v>2025-03</v>
      </c>
    </row>
    <row r="301" spans="1:10" x14ac:dyDescent="0.2">
      <c r="A301" s="2">
        <v>299</v>
      </c>
      <c r="B301" s="1" t="s">
        <v>43</v>
      </c>
      <c r="C301" s="1">
        <v>39000965029</v>
      </c>
      <c r="D301" s="1" t="s">
        <v>58</v>
      </c>
      <c r="E301" s="1" t="s">
        <v>59</v>
      </c>
      <c r="F301" s="1">
        <v>2</v>
      </c>
      <c r="G301" s="1" t="s">
        <v>78</v>
      </c>
      <c r="H301" s="1" t="str">
        <f t="shared" si="12"/>
        <v>PICKLE JUICE</v>
      </c>
      <c r="I301" s="9">
        <f t="shared" si="13"/>
        <v>45685</v>
      </c>
      <c r="J301" s="1" t="str">
        <f t="shared" si="14"/>
        <v>2025-01</v>
      </c>
    </row>
    <row r="302" spans="1:10" x14ac:dyDescent="0.2">
      <c r="A302" s="2">
        <v>300</v>
      </c>
      <c r="B302" s="1" t="s">
        <v>12</v>
      </c>
      <c r="C302" s="1">
        <v>39000220857</v>
      </c>
      <c r="D302" s="1" t="s">
        <v>60</v>
      </c>
      <c r="E302" s="1" t="s">
        <v>61</v>
      </c>
      <c r="F302" s="1">
        <v>1</v>
      </c>
      <c r="G302" s="1" t="s">
        <v>110</v>
      </c>
      <c r="H302" s="1" t="str">
        <f t="shared" si="12"/>
        <v>DIET COOKIE</v>
      </c>
      <c r="I302" s="9">
        <f t="shared" si="13"/>
        <v>45659</v>
      </c>
      <c r="J302" s="1" t="str">
        <f t="shared" si="14"/>
        <v>2025-01</v>
      </c>
    </row>
    <row r="303" spans="1:10" x14ac:dyDescent="0.2">
      <c r="A303" s="2">
        <v>301</v>
      </c>
      <c r="B303" s="1" t="s">
        <v>29</v>
      </c>
      <c r="C303" s="1">
        <v>39000213252</v>
      </c>
      <c r="D303" s="1" t="s">
        <v>60</v>
      </c>
      <c r="E303" s="1" t="s">
        <v>61</v>
      </c>
      <c r="F303" s="1">
        <v>1</v>
      </c>
      <c r="G303" s="1" t="s">
        <v>115</v>
      </c>
      <c r="H303" s="1" t="str">
        <f t="shared" si="12"/>
        <v>BLUEBERRY SMOOTHIE</v>
      </c>
      <c r="I303" s="9">
        <f t="shared" si="13"/>
        <v>45660</v>
      </c>
      <c r="J303" s="1" t="str">
        <f t="shared" si="14"/>
        <v>2025-01</v>
      </c>
    </row>
    <row r="304" spans="1:10" x14ac:dyDescent="0.2">
      <c r="A304" s="2">
        <v>302</v>
      </c>
      <c r="B304" s="1" t="s">
        <v>46</v>
      </c>
      <c r="C304" s="1">
        <v>39000213213</v>
      </c>
      <c r="D304" s="1" t="s">
        <v>69</v>
      </c>
      <c r="E304" s="1" t="s">
        <v>61</v>
      </c>
      <c r="F304" s="1">
        <v>-2</v>
      </c>
      <c r="G304" s="1" t="s">
        <v>91</v>
      </c>
      <c r="H304" s="1" t="str">
        <f t="shared" si="12"/>
        <v>DIET</v>
      </c>
      <c r="I304" s="9">
        <f t="shared" si="13"/>
        <v>45701</v>
      </c>
      <c r="J304" s="1" t="str">
        <f t="shared" si="14"/>
        <v>2025-02</v>
      </c>
    </row>
    <row r="305" spans="1:10" x14ac:dyDescent="0.2">
      <c r="A305" s="2">
        <v>303</v>
      </c>
      <c r="B305" s="1" t="s">
        <v>34</v>
      </c>
      <c r="C305" s="1">
        <v>39000592384</v>
      </c>
      <c r="D305" s="1" t="s">
        <v>54</v>
      </c>
      <c r="E305" s="1" t="s">
        <v>55</v>
      </c>
      <c r="F305" s="1">
        <v>1</v>
      </c>
      <c r="G305" s="1" t="s">
        <v>120</v>
      </c>
      <c r="H305" s="1" t="str">
        <f t="shared" si="12"/>
        <v>DIET COOKIE</v>
      </c>
      <c r="I305" s="9">
        <f t="shared" si="13"/>
        <v>45698</v>
      </c>
      <c r="J305" s="1" t="str">
        <f t="shared" si="14"/>
        <v>2025-02</v>
      </c>
    </row>
    <row r="306" spans="1:10" x14ac:dyDescent="0.2">
      <c r="A306" s="2">
        <v>304</v>
      </c>
      <c r="B306" s="1" t="s">
        <v>29</v>
      </c>
      <c r="C306" s="1">
        <v>39000215449</v>
      </c>
      <c r="D306" s="1" t="s">
        <v>60</v>
      </c>
      <c r="E306" s="1" t="s">
        <v>61</v>
      </c>
      <c r="F306" s="1">
        <v>1</v>
      </c>
      <c r="G306" s="1" t="s">
        <v>122</v>
      </c>
      <c r="H306" s="1" t="str">
        <f t="shared" si="12"/>
        <v>SF KETCHUP</v>
      </c>
      <c r="I306" s="9">
        <f t="shared" si="13"/>
        <v>45660</v>
      </c>
      <c r="J306" s="1" t="str">
        <f t="shared" si="14"/>
        <v>2025-01</v>
      </c>
    </row>
    <row r="307" spans="1:10" x14ac:dyDescent="0.2">
      <c r="A307" s="2">
        <v>305</v>
      </c>
      <c r="B307" s="1" t="s">
        <v>23</v>
      </c>
      <c r="C307" s="1">
        <v>39000232284</v>
      </c>
      <c r="D307" s="1" t="s">
        <v>69</v>
      </c>
      <c r="E307" s="1" t="s">
        <v>61</v>
      </c>
      <c r="F307" s="1">
        <v>1</v>
      </c>
      <c r="G307" s="1" t="s">
        <v>105</v>
      </c>
      <c r="H307" s="1" t="str">
        <f t="shared" si="12"/>
        <v>SF SUSHI ROLL</v>
      </c>
      <c r="I307" s="9">
        <f t="shared" si="13"/>
        <v>45715</v>
      </c>
      <c r="J307" s="1" t="str">
        <f t="shared" si="14"/>
        <v>2025-02</v>
      </c>
    </row>
    <row r="308" spans="1:10" x14ac:dyDescent="0.2">
      <c r="A308" s="2">
        <v>306</v>
      </c>
      <c r="B308" s="1" t="s">
        <v>39</v>
      </c>
      <c r="C308" s="1">
        <v>39000584766</v>
      </c>
      <c r="D308" s="1" t="s">
        <v>54</v>
      </c>
      <c r="E308" s="1" t="s">
        <v>55</v>
      </c>
      <c r="F308" s="1">
        <v>1</v>
      </c>
      <c r="G308" s="1" t="s">
        <v>94</v>
      </c>
      <c r="H308" s="1" t="str">
        <f t="shared" si="12"/>
        <v>DIET COOKIE</v>
      </c>
      <c r="I308" s="9">
        <f t="shared" si="13"/>
        <v>45684</v>
      </c>
      <c r="J308" s="1" t="str">
        <f t="shared" si="14"/>
        <v>2025-01</v>
      </c>
    </row>
    <row r="309" spans="1:10" x14ac:dyDescent="0.2">
      <c r="A309" s="2">
        <v>307</v>
      </c>
      <c r="B309" s="1" t="s">
        <v>50</v>
      </c>
      <c r="C309" s="1">
        <v>39001675934</v>
      </c>
      <c r="D309" s="1" t="s">
        <v>70</v>
      </c>
      <c r="E309" s="1" t="s">
        <v>71</v>
      </c>
      <c r="F309" s="1">
        <v>1</v>
      </c>
      <c r="G309" s="1" t="s">
        <v>92</v>
      </c>
      <c r="H309" s="1" t="str">
        <f t="shared" si="12"/>
        <v>DIET COOKIE</v>
      </c>
      <c r="I309" s="9">
        <f t="shared" si="13"/>
        <v>45692</v>
      </c>
      <c r="J309" s="1" t="str">
        <f t="shared" si="14"/>
        <v>2025-02</v>
      </c>
    </row>
    <row r="310" spans="1:10" x14ac:dyDescent="0.2">
      <c r="A310" s="2">
        <v>308</v>
      </c>
      <c r="B310" s="1" t="s">
        <v>47</v>
      </c>
      <c r="C310" s="1">
        <v>39000949832</v>
      </c>
      <c r="D310" s="1" t="s">
        <v>58</v>
      </c>
      <c r="E310" s="1" t="s">
        <v>59</v>
      </c>
      <c r="F310" s="1">
        <v>1</v>
      </c>
      <c r="G310" s="1" t="s">
        <v>103</v>
      </c>
      <c r="H310" s="1" t="str">
        <f t="shared" si="12"/>
        <v>COCONUT MILK</v>
      </c>
      <c r="I310" s="9">
        <f t="shared" si="13"/>
        <v>45691</v>
      </c>
      <c r="J310" s="1" t="str">
        <f t="shared" si="14"/>
        <v>2025-02</v>
      </c>
    </row>
    <row r="311" spans="1:10" x14ac:dyDescent="0.2">
      <c r="A311" s="2">
        <v>309</v>
      </c>
      <c r="B311" s="1" t="s">
        <v>27</v>
      </c>
      <c r="C311" s="1">
        <v>39000264199</v>
      </c>
      <c r="D311" s="1" t="s">
        <v>62</v>
      </c>
      <c r="E311" s="1" t="s">
        <v>63</v>
      </c>
      <c r="F311" s="1">
        <v>4</v>
      </c>
      <c r="G311" s="1" t="s">
        <v>88</v>
      </c>
      <c r="H311" s="1" t="str">
        <f t="shared" si="12"/>
        <v>SPICY MEATBALL</v>
      </c>
      <c r="I311" s="9">
        <f t="shared" si="13"/>
        <v>45709</v>
      </c>
      <c r="J311" s="1" t="str">
        <f t="shared" si="14"/>
        <v>2025-02</v>
      </c>
    </row>
    <row r="312" spans="1:10" x14ac:dyDescent="0.2">
      <c r="A312" s="2">
        <v>310</v>
      </c>
      <c r="B312" s="1" t="s">
        <v>49</v>
      </c>
      <c r="C312" s="1">
        <v>39000336232</v>
      </c>
      <c r="D312" s="1" t="s">
        <v>66</v>
      </c>
      <c r="E312" s="1" t="s">
        <v>67</v>
      </c>
      <c r="F312" s="1">
        <v>1</v>
      </c>
      <c r="G312" s="1" t="s">
        <v>89</v>
      </c>
      <c r="H312" s="1" t="str">
        <f t="shared" si="12"/>
        <v>WASABI BANANA PUDDING</v>
      </c>
      <c r="I312" s="9">
        <f t="shared" si="13"/>
        <v>45681</v>
      </c>
      <c r="J312" s="1" t="str">
        <f t="shared" si="14"/>
        <v>2025-01</v>
      </c>
    </row>
    <row r="313" spans="1:10" x14ac:dyDescent="0.2">
      <c r="A313" s="2">
        <v>311</v>
      </c>
      <c r="B313" s="1" t="s">
        <v>39</v>
      </c>
      <c r="C313" s="1">
        <v>39002406742</v>
      </c>
      <c r="D313" s="1" t="s">
        <v>54</v>
      </c>
      <c r="E313" s="1" t="s">
        <v>55</v>
      </c>
      <c r="F313" s="1">
        <v>1</v>
      </c>
      <c r="G313" s="1" t="s">
        <v>146</v>
      </c>
      <c r="H313" s="1" t="str">
        <f t="shared" si="12"/>
        <v>SF ICE CREAM</v>
      </c>
      <c r="I313" s="9">
        <f t="shared" si="13"/>
        <v>45684</v>
      </c>
      <c r="J313" s="1" t="str">
        <f t="shared" si="14"/>
        <v>2025-01</v>
      </c>
    </row>
    <row r="314" spans="1:10" x14ac:dyDescent="0.2">
      <c r="A314" s="2">
        <v>312</v>
      </c>
      <c r="B314" s="1" t="s">
        <v>6</v>
      </c>
      <c r="C314" s="1">
        <v>39000226681</v>
      </c>
      <c r="D314" s="1" t="s">
        <v>60</v>
      </c>
      <c r="E314" s="1" t="s">
        <v>61</v>
      </c>
      <c r="F314" s="1">
        <v>1</v>
      </c>
      <c r="G314" s="1" t="s">
        <v>121</v>
      </c>
      <c r="H314" s="1" t="str">
        <f t="shared" si="12"/>
        <v>SF STRAWBERRY MILKSHAKE</v>
      </c>
      <c r="I314" s="9">
        <f t="shared" si="13"/>
        <v>45720</v>
      </c>
      <c r="J314" s="1" t="str">
        <f t="shared" si="14"/>
        <v>2025-03</v>
      </c>
    </row>
    <row r="315" spans="1:10" x14ac:dyDescent="0.2">
      <c r="A315" s="2">
        <v>313</v>
      </c>
      <c r="B315" s="1" t="s">
        <v>14</v>
      </c>
      <c r="C315" s="1">
        <v>39002793232</v>
      </c>
      <c r="D315" s="1" t="s">
        <v>76</v>
      </c>
      <c r="E315" s="1" t="s">
        <v>77</v>
      </c>
      <c r="F315" s="1">
        <v>3</v>
      </c>
      <c r="G315" s="1" t="s">
        <v>88</v>
      </c>
      <c r="H315" s="1" t="str">
        <f t="shared" si="12"/>
        <v>SPICY MEATBALL</v>
      </c>
      <c r="I315" s="9">
        <f t="shared" si="13"/>
        <v>45694</v>
      </c>
      <c r="J315" s="1" t="str">
        <f t="shared" si="14"/>
        <v>2025-02</v>
      </c>
    </row>
    <row r="316" spans="1:10" x14ac:dyDescent="0.2">
      <c r="A316" s="2">
        <v>314</v>
      </c>
      <c r="B316" s="1" t="s">
        <v>31</v>
      </c>
      <c r="C316" s="1">
        <v>39002753322</v>
      </c>
      <c r="D316" s="1" t="s">
        <v>62</v>
      </c>
      <c r="E316" s="1" t="s">
        <v>63</v>
      </c>
      <c r="F316" s="1">
        <v>1</v>
      </c>
      <c r="G316" s="1" t="s">
        <v>100</v>
      </c>
      <c r="H316" s="1" t="str">
        <f t="shared" si="12"/>
        <v>SPICY MEATBALL</v>
      </c>
      <c r="I316" s="9">
        <f t="shared" si="13"/>
        <v>45714</v>
      </c>
      <c r="J316" s="1" t="str">
        <f t="shared" si="14"/>
        <v>2025-02</v>
      </c>
    </row>
    <row r="317" spans="1:10" x14ac:dyDescent="0.2">
      <c r="A317" s="2">
        <v>315</v>
      </c>
      <c r="B317" s="1" t="s">
        <v>6</v>
      </c>
      <c r="C317" s="1">
        <v>39000263848</v>
      </c>
      <c r="D317" s="1" t="s">
        <v>62</v>
      </c>
      <c r="E317" s="1" t="s">
        <v>63</v>
      </c>
      <c r="F317" s="1">
        <v>1</v>
      </c>
      <c r="G317" s="1" t="s">
        <v>90</v>
      </c>
      <c r="H317" s="1" t="str">
        <f t="shared" si="12"/>
        <v>SPICY MEATBALL</v>
      </c>
      <c r="I317" s="9">
        <f t="shared" si="13"/>
        <v>45720</v>
      </c>
      <c r="J317" s="1" t="str">
        <f t="shared" si="14"/>
        <v>2025-03</v>
      </c>
    </row>
    <row r="318" spans="1:10" x14ac:dyDescent="0.2">
      <c r="A318" s="2">
        <v>316</v>
      </c>
      <c r="B318" s="1" t="s">
        <v>4</v>
      </c>
      <c r="C318" s="1">
        <v>39000282438</v>
      </c>
      <c r="D318" s="1" t="s">
        <v>74</v>
      </c>
      <c r="E318" s="1" t="s">
        <v>63</v>
      </c>
      <c r="F318" s="1">
        <v>1</v>
      </c>
      <c r="G318" s="1" t="s">
        <v>109</v>
      </c>
      <c r="H318" s="1" t="str">
        <f t="shared" si="12"/>
        <v>PEACH COBBLER</v>
      </c>
      <c r="I318" s="9">
        <f t="shared" si="13"/>
        <v>45686</v>
      </c>
      <c r="J318" s="1" t="str">
        <f t="shared" si="14"/>
        <v>2025-01</v>
      </c>
    </row>
    <row r="319" spans="1:10" x14ac:dyDescent="0.2">
      <c r="A319" s="2">
        <v>317</v>
      </c>
      <c r="B319" s="1" t="s">
        <v>30</v>
      </c>
      <c r="C319" s="1">
        <v>39001719055</v>
      </c>
      <c r="D319" s="1" t="s">
        <v>64</v>
      </c>
      <c r="E319" s="1" t="s">
        <v>65</v>
      </c>
      <c r="F319" s="1">
        <v>1</v>
      </c>
      <c r="G319" s="1" t="s">
        <v>95</v>
      </c>
      <c r="H319" s="1" t="str">
        <f t="shared" si="12"/>
        <v>LEMONADE</v>
      </c>
      <c r="I319" s="9">
        <f t="shared" si="13"/>
        <v>45716</v>
      </c>
      <c r="J319" s="1" t="str">
        <f t="shared" si="14"/>
        <v>2025-02</v>
      </c>
    </row>
    <row r="320" spans="1:10" x14ac:dyDescent="0.2">
      <c r="A320" s="2">
        <v>318</v>
      </c>
      <c r="B320" s="1" t="s">
        <v>33</v>
      </c>
      <c r="C320" s="1">
        <v>39000208442</v>
      </c>
      <c r="D320" s="1" t="s">
        <v>60</v>
      </c>
      <c r="E320" s="1" t="s">
        <v>61</v>
      </c>
      <c r="F320" s="1">
        <v>2</v>
      </c>
      <c r="G320" s="1" t="s">
        <v>83</v>
      </c>
      <c r="H320" s="1" t="str">
        <f t="shared" si="12"/>
        <v>SPICY MEATBALL</v>
      </c>
      <c r="I320" s="9">
        <f t="shared" si="13"/>
        <v>45672</v>
      </c>
      <c r="J320" s="1" t="str">
        <f t="shared" si="14"/>
        <v>2025-01</v>
      </c>
    </row>
    <row r="321" spans="1:10" x14ac:dyDescent="0.2">
      <c r="A321" s="2">
        <v>319</v>
      </c>
      <c r="B321" s="1" t="s">
        <v>26</v>
      </c>
      <c r="C321" s="1">
        <v>39000220285</v>
      </c>
      <c r="D321" s="1" t="s">
        <v>69</v>
      </c>
      <c r="E321" s="1" t="s">
        <v>61</v>
      </c>
      <c r="F321" s="1">
        <v>2</v>
      </c>
      <c r="G321" s="1" t="s">
        <v>135</v>
      </c>
      <c r="H321" s="1" t="str">
        <f t="shared" si="12"/>
        <v>SPICY MEATBALL</v>
      </c>
      <c r="I321" s="9">
        <f t="shared" si="13"/>
        <v>45707</v>
      </c>
      <c r="J321" s="1" t="str">
        <f t="shared" si="14"/>
        <v>2025-02</v>
      </c>
    </row>
    <row r="322" spans="1:10" x14ac:dyDescent="0.2">
      <c r="A322" s="2">
        <v>320</v>
      </c>
      <c r="B322" s="1" t="s">
        <v>26</v>
      </c>
      <c r="C322" s="1">
        <v>39000957164</v>
      </c>
      <c r="D322" s="1" t="s">
        <v>58</v>
      </c>
      <c r="E322" s="1" t="s">
        <v>59</v>
      </c>
      <c r="F322" s="1">
        <v>1</v>
      </c>
      <c r="G322" s="1" t="s">
        <v>90</v>
      </c>
      <c r="H322" s="1" t="str">
        <f t="shared" si="12"/>
        <v>SPICY MEATBALL</v>
      </c>
      <c r="I322" s="9">
        <f t="shared" si="13"/>
        <v>45707</v>
      </c>
      <c r="J322" s="1" t="str">
        <f t="shared" si="14"/>
        <v>2025-02</v>
      </c>
    </row>
    <row r="323" spans="1:10" x14ac:dyDescent="0.2">
      <c r="A323" s="2">
        <v>321</v>
      </c>
      <c r="B323" s="1" t="s">
        <v>26</v>
      </c>
      <c r="C323" s="1">
        <v>39001586832</v>
      </c>
      <c r="D323" s="1" t="s">
        <v>70</v>
      </c>
      <c r="E323" s="1" t="s">
        <v>71</v>
      </c>
      <c r="F323" s="1">
        <v>2</v>
      </c>
      <c r="G323" s="1" t="s">
        <v>103</v>
      </c>
      <c r="H323" s="1" t="str">
        <f t="shared" ref="H323:H386" si="15">_xlfn.TEXTBEFORE(G323," ",-2)</f>
        <v>COCONUT MILK</v>
      </c>
      <c r="I323" s="9">
        <f t="shared" ref="I323:I386" si="16">DATE(LEFT(B323,4), MID(B323,5,2), RIGHT(B323,2))</f>
        <v>45707</v>
      </c>
      <c r="J323" s="1" t="str">
        <f t="shared" ref="J323:J386" si="17">TEXT(I323,"YYYY-MM")</f>
        <v>2025-02</v>
      </c>
    </row>
    <row r="324" spans="1:10" x14ac:dyDescent="0.2">
      <c r="A324" s="2">
        <v>322</v>
      </c>
      <c r="B324" s="1" t="s">
        <v>44</v>
      </c>
      <c r="C324" s="1">
        <v>39002320500</v>
      </c>
      <c r="D324" s="1" t="s">
        <v>56</v>
      </c>
      <c r="E324" s="1" t="s">
        <v>57</v>
      </c>
      <c r="F324" s="1">
        <v>1</v>
      </c>
      <c r="G324" s="1" t="s">
        <v>94</v>
      </c>
      <c r="H324" s="1" t="str">
        <f t="shared" si="15"/>
        <v>DIET COOKIE</v>
      </c>
      <c r="I324" s="9">
        <f t="shared" si="16"/>
        <v>45666</v>
      </c>
      <c r="J324" s="1" t="str">
        <f t="shared" si="17"/>
        <v>2025-01</v>
      </c>
    </row>
    <row r="325" spans="1:10" x14ac:dyDescent="0.2">
      <c r="A325" s="2">
        <v>323</v>
      </c>
      <c r="B325" s="1" t="s">
        <v>18</v>
      </c>
      <c r="C325" s="1">
        <v>39001955655</v>
      </c>
      <c r="D325" s="1" t="s">
        <v>69</v>
      </c>
      <c r="E325" s="1" t="s">
        <v>61</v>
      </c>
      <c r="F325" s="1">
        <v>1</v>
      </c>
      <c r="G325" s="1" t="s">
        <v>124</v>
      </c>
      <c r="H325" s="1" t="str">
        <f t="shared" si="15"/>
        <v>SUSHI ROLL</v>
      </c>
      <c r="I325" s="9">
        <f t="shared" si="16"/>
        <v>45678</v>
      </c>
      <c r="J325" s="1" t="str">
        <f t="shared" si="17"/>
        <v>2025-01</v>
      </c>
    </row>
    <row r="326" spans="1:10" x14ac:dyDescent="0.2">
      <c r="A326" s="2">
        <v>324</v>
      </c>
      <c r="B326" s="1" t="s">
        <v>19</v>
      </c>
      <c r="C326" s="1">
        <v>39001519583</v>
      </c>
      <c r="D326" s="1" t="s">
        <v>70</v>
      </c>
      <c r="E326" s="1" t="s">
        <v>71</v>
      </c>
      <c r="F326" s="1">
        <v>1</v>
      </c>
      <c r="G326" s="1" t="s">
        <v>120</v>
      </c>
      <c r="H326" s="1" t="str">
        <f t="shared" si="15"/>
        <v>DIET COOKIE</v>
      </c>
      <c r="I326" s="9">
        <f t="shared" si="16"/>
        <v>45722</v>
      </c>
      <c r="J326" s="1" t="str">
        <f t="shared" si="17"/>
        <v>2025-03</v>
      </c>
    </row>
    <row r="327" spans="1:10" x14ac:dyDescent="0.2">
      <c r="A327" s="2">
        <v>325</v>
      </c>
      <c r="B327" s="1" t="s">
        <v>36</v>
      </c>
      <c r="C327" s="1">
        <v>39000657267</v>
      </c>
      <c r="D327" s="1" t="s">
        <v>68</v>
      </c>
      <c r="E327" s="1" t="s">
        <v>68</v>
      </c>
      <c r="F327" s="1">
        <v>2</v>
      </c>
      <c r="G327" s="1" t="s">
        <v>98</v>
      </c>
      <c r="H327" s="1" t="str">
        <f t="shared" si="15"/>
        <v>COCONUT MILK</v>
      </c>
      <c r="I327" s="9">
        <f t="shared" si="16"/>
        <v>45680</v>
      </c>
      <c r="J327" s="1" t="str">
        <f t="shared" si="17"/>
        <v>2025-01</v>
      </c>
    </row>
    <row r="328" spans="1:10" x14ac:dyDescent="0.2">
      <c r="A328" s="2">
        <v>326</v>
      </c>
      <c r="B328" s="1" t="s">
        <v>43</v>
      </c>
      <c r="C328" s="1">
        <v>39000218257</v>
      </c>
      <c r="D328" s="1" t="s">
        <v>69</v>
      </c>
      <c r="E328" s="1" t="s">
        <v>61</v>
      </c>
      <c r="F328" s="1">
        <v>1</v>
      </c>
      <c r="G328" s="1" t="s">
        <v>125</v>
      </c>
      <c r="H328" s="1" t="str">
        <f t="shared" si="15"/>
        <v>MAPLE SYRUP</v>
      </c>
      <c r="I328" s="9">
        <f t="shared" si="16"/>
        <v>45685</v>
      </c>
      <c r="J328" s="1" t="str">
        <f t="shared" si="17"/>
        <v>2025-01</v>
      </c>
    </row>
    <row r="329" spans="1:10" x14ac:dyDescent="0.2">
      <c r="A329" s="2">
        <v>327</v>
      </c>
      <c r="B329" s="1" t="s">
        <v>6</v>
      </c>
      <c r="C329" s="1">
        <v>39000264381</v>
      </c>
      <c r="D329" s="1" t="s">
        <v>62</v>
      </c>
      <c r="E329" s="1" t="s">
        <v>63</v>
      </c>
      <c r="F329" s="1">
        <v>1</v>
      </c>
      <c r="G329" s="1" t="s">
        <v>92</v>
      </c>
      <c r="H329" s="1" t="str">
        <f t="shared" si="15"/>
        <v>DIET COOKIE</v>
      </c>
      <c r="I329" s="9">
        <f t="shared" si="16"/>
        <v>45720</v>
      </c>
      <c r="J329" s="1" t="str">
        <f t="shared" si="17"/>
        <v>2025-03</v>
      </c>
    </row>
    <row r="330" spans="1:10" x14ac:dyDescent="0.2">
      <c r="A330" s="2">
        <v>328</v>
      </c>
      <c r="B330" s="1" t="s">
        <v>14</v>
      </c>
      <c r="C330" s="1">
        <v>39000284765</v>
      </c>
      <c r="D330" s="1" t="s">
        <v>74</v>
      </c>
      <c r="E330" s="1" t="s">
        <v>63</v>
      </c>
      <c r="F330" s="1">
        <v>1</v>
      </c>
      <c r="G330" s="1" t="s">
        <v>116</v>
      </c>
      <c r="H330" s="1" t="str">
        <f t="shared" si="15"/>
        <v>SPICY MEATBALL</v>
      </c>
      <c r="I330" s="9">
        <f t="shared" si="16"/>
        <v>45694</v>
      </c>
      <c r="J330" s="1" t="str">
        <f t="shared" si="17"/>
        <v>2025-02</v>
      </c>
    </row>
    <row r="331" spans="1:10" x14ac:dyDescent="0.2">
      <c r="A331" s="2">
        <v>329</v>
      </c>
      <c r="B331" s="1" t="s">
        <v>28</v>
      </c>
      <c r="C331" s="1">
        <v>39000587405</v>
      </c>
      <c r="D331" s="1" t="s">
        <v>54</v>
      </c>
      <c r="E331" s="1" t="s">
        <v>55</v>
      </c>
      <c r="F331" s="1">
        <v>1</v>
      </c>
      <c r="G331" s="1" t="s">
        <v>118</v>
      </c>
      <c r="H331" s="1" t="str">
        <f t="shared" si="15"/>
        <v>SF STRAWBERRY MILKSHAKE</v>
      </c>
      <c r="I331" s="9">
        <f t="shared" si="16"/>
        <v>45719</v>
      </c>
      <c r="J331" s="1" t="str">
        <f t="shared" si="17"/>
        <v>2025-03</v>
      </c>
    </row>
    <row r="332" spans="1:10" x14ac:dyDescent="0.2">
      <c r="A332" s="2">
        <v>330</v>
      </c>
      <c r="B332" s="1" t="s">
        <v>13</v>
      </c>
      <c r="C332" s="1">
        <v>39002180204</v>
      </c>
      <c r="D332" s="1" t="s">
        <v>64</v>
      </c>
      <c r="E332" s="1" t="s">
        <v>65</v>
      </c>
      <c r="F332" s="1">
        <v>1</v>
      </c>
      <c r="G332" s="1" t="s">
        <v>85</v>
      </c>
      <c r="H332" s="1" t="str">
        <f t="shared" si="15"/>
        <v>SF MAPLE SYRUP</v>
      </c>
      <c r="I332" s="9">
        <f t="shared" si="16"/>
        <v>45664</v>
      </c>
      <c r="J332" s="1" t="str">
        <f t="shared" si="17"/>
        <v>2025-01</v>
      </c>
    </row>
    <row r="333" spans="1:10" x14ac:dyDescent="0.2">
      <c r="A333" s="2">
        <v>331</v>
      </c>
      <c r="B333" s="1" t="s">
        <v>4</v>
      </c>
      <c r="C333" s="1">
        <v>39000338676</v>
      </c>
      <c r="D333" s="1" t="s">
        <v>66</v>
      </c>
      <c r="E333" s="1" t="s">
        <v>67</v>
      </c>
      <c r="F333" s="1">
        <v>1</v>
      </c>
      <c r="G333" s="1" t="s">
        <v>99</v>
      </c>
      <c r="H333" s="1" t="str">
        <f t="shared" si="15"/>
        <v>KETCHUP</v>
      </c>
      <c r="I333" s="9">
        <f t="shared" si="16"/>
        <v>45686</v>
      </c>
      <c r="J333" s="1" t="str">
        <f t="shared" si="17"/>
        <v>2025-01</v>
      </c>
    </row>
    <row r="334" spans="1:10" x14ac:dyDescent="0.2">
      <c r="A334" s="2">
        <v>332</v>
      </c>
      <c r="B334" s="1" t="s">
        <v>48</v>
      </c>
      <c r="C334" s="1">
        <v>39002389387</v>
      </c>
      <c r="D334" s="1" t="s">
        <v>66</v>
      </c>
      <c r="E334" s="1" t="s">
        <v>67</v>
      </c>
      <c r="F334" s="1">
        <v>1</v>
      </c>
      <c r="G334" s="1" t="s">
        <v>85</v>
      </c>
      <c r="H334" s="1" t="str">
        <f t="shared" si="15"/>
        <v>SF MAPLE SYRUP</v>
      </c>
      <c r="I334" s="9">
        <f t="shared" si="16"/>
        <v>45667</v>
      </c>
      <c r="J334" s="1" t="str">
        <f t="shared" si="17"/>
        <v>2025-01</v>
      </c>
    </row>
    <row r="335" spans="1:10" x14ac:dyDescent="0.2">
      <c r="A335" s="2">
        <v>333</v>
      </c>
      <c r="B335" s="1" t="s">
        <v>22</v>
      </c>
      <c r="C335" s="1">
        <v>39001766349</v>
      </c>
      <c r="D335" s="1" t="s">
        <v>66</v>
      </c>
      <c r="E335" s="1" t="s">
        <v>67</v>
      </c>
      <c r="F335" s="1">
        <v>2</v>
      </c>
      <c r="G335" s="1" t="s">
        <v>115</v>
      </c>
      <c r="H335" s="1" t="str">
        <f t="shared" si="15"/>
        <v>BLUEBERRY SMOOTHIE</v>
      </c>
      <c r="I335" s="9">
        <f t="shared" si="16"/>
        <v>45721</v>
      </c>
      <c r="J335" s="1" t="str">
        <f t="shared" si="17"/>
        <v>2025-03</v>
      </c>
    </row>
    <row r="336" spans="1:10" x14ac:dyDescent="0.2">
      <c r="A336" s="2">
        <v>334</v>
      </c>
      <c r="B336" s="1" t="s">
        <v>44</v>
      </c>
      <c r="C336" s="1">
        <v>39001761019</v>
      </c>
      <c r="D336" s="1" t="s">
        <v>62</v>
      </c>
      <c r="E336" s="1" t="s">
        <v>63</v>
      </c>
      <c r="F336" s="1">
        <v>1</v>
      </c>
      <c r="G336" s="1" t="s">
        <v>115</v>
      </c>
      <c r="H336" s="1" t="str">
        <f t="shared" si="15"/>
        <v>BLUEBERRY SMOOTHIE</v>
      </c>
      <c r="I336" s="9">
        <f t="shared" si="16"/>
        <v>45666</v>
      </c>
      <c r="J336" s="1" t="str">
        <f t="shared" si="17"/>
        <v>2025-01</v>
      </c>
    </row>
    <row r="337" spans="1:10" x14ac:dyDescent="0.2">
      <c r="A337" s="2">
        <v>335</v>
      </c>
      <c r="B337" s="1" t="s">
        <v>44</v>
      </c>
      <c r="C337" s="1">
        <v>39000668213</v>
      </c>
      <c r="D337" s="1" t="s">
        <v>68</v>
      </c>
      <c r="E337" s="1" t="s">
        <v>68</v>
      </c>
      <c r="F337" s="1">
        <v>2</v>
      </c>
      <c r="G337" s="1" t="s">
        <v>79</v>
      </c>
      <c r="H337" s="1" t="str">
        <f t="shared" si="15"/>
        <v>DIET SODA</v>
      </c>
      <c r="I337" s="9">
        <f t="shared" si="16"/>
        <v>45666</v>
      </c>
      <c r="J337" s="1" t="str">
        <f t="shared" si="17"/>
        <v>2025-01</v>
      </c>
    </row>
    <row r="338" spans="1:10" x14ac:dyDescent="0.2">
      <c r="A338" s="2">
        <v>336</v>
      </c>
      <c r="B338" s="1" t="s">
        <v>36</v>
      </c>
      <c r="C338" s="1">
        <v>39000954824</v>
      </c>
      <c r="D338" s="1" t="s">
        <v>58</v>
      </c>
      <c r="E338" s="1" t="s">
        <v>59</v>
      </c>
      <c r="F338" s="1">
        <v>1</v>
      </c>
      <c r="G338" s="1" t="s">
        <v>99</v>
      </c>
      <c r="H338" s="1" t="str">
        <f t="shared" si="15"/>
        <v>KETCHUP</v>
      </c>
      <c r="I338" s="9">
        <f t="shared" si="16"/>
        <v>45680</v>
      </c>
      <c r="J338" s="1" t="str">
        <f t="shared" si="17"/>
        <v>2025-01</v>
      </c>
    </row>
    <row r="339" spans="1:10" x14ac:dyDescent="0.2">
      <c r="A339" s="2">
        <v>337</v>
      </c>
      <c r="B339" s="1" t="s">
        <v>45</v>
      </c>
      <c r="C339" s="1">
        <v>39002389283</v>
      </c>
      <c r="D339" s="1" t="s">
        <v>66</v>
      </c>
      <c r="E339" s="1" t="s">
        <v>67</v>
      </c>
      <c r="F339" s="1">
        <v>2</v>
      </c>
      <c r="G339" s="1" t="s">
        <v>99</v>
      </c>
      <c r="H339" s="1" t="str">
        <f t="shared" si="15"/>
        <v>KETCHUP</v>
      </c>
      <c r="I339" s="9">
        <f t="shared" si="16"/>
        <v>45700</v>
      </c>
      <c r="J339" s="1" t="str">
        <f t="shared" si="17"/>
        <v>2025-02</v>
      </c>
    </row>
    <row r="340" spans="1:10" x14ac:dyDescent="0.2">
      <c r="A340" s="2">
        <v>338</v>
      </c>
      <c r="B340" s="1" t="s">
        <v>15</v>
      </c>
      <c r="C340" s="1">
        <v>39000957294</v>
      </c>
      <c r="D340" s="1" t="s">
        <v>58</v>
      </c>
      <c r="E340" s="1" t="s">
        <v>59</v>
      </c>
      <c r="F340" s="1">
        <v>1</v>
      </c>
      <c r="G340" s="1" t="s">
        <v>122</v>
      </c>
      <c r="H340" s="1" t="str">
        <f t="shared" si="15"/>
        <v>SF KETCHUP</v>
      </c>
      <c r="I340" s="9">
        <f t="shared" si="16"/>
        <v>45713</v>
      </c>
      <c r="J340" s="1" t="str">
        <f t="shared" si="17"/>
        <v>2025-02</v>
      </c>
    </row>
    <row r="341" spans="1:10" x14ac:dyDescent="0.2">
      <c r="A341" s="2">
        <v>339</v>
      </c>
      <c r="B341" s="1" t="s">
        <v>42</v>
      </c>
      <c r="C341" s="1">
        <v>39001548274</v>
      </c>
      <c r="D341" s="1" t="s">
        <v>70</v>
      </c>
      <c r="E341" s="1" t="s">
        <v>71</v>
      </c>
      <c r="F341" s="1">
        <v>1</v>
      </c>
      <c r="G341" s="1" t="s">
        <v>118</v>
      </c>
      <c r="H341" s="1" t="str">
        <f t="shared" si="15"/>
        <v>SF STRAWBERRY MILKSHAKE</v>
      </c>
      <c r="I341" s="9">
        <f t="shared" si="16"/>
        <v>45673</v>
      </c>
      <c r="J341" s="1" t="str">
        <f t="shared" si="17"/>
        <v>2025-01</v>
      </c>
    </row>
    <row r="342" spans="1:10" x14ac:dyDescent="0.2">
      <c r="A342" s="2">
        <v>340</v>
      </c>
      <c r="B342" s="1" t="s">
        <v>6</v>
      </c>
      <c r="C342" s="1">
        <v>39002401633</v>
      </c>
      <c r="D342" s="1" t="s">
        <v>66</v>
      </c>
      <c r="E342" s="1" t="s">
        <v>67</v>
      </c>
      <c r="F342" s="1">
        <v>1</v>
      </c>
      <c r="G342" s="1" t="s">
        <v>124</v>
      </c>
      <c r="H342" s="1" t="str">
        <f t="shared" si="15"/>
        <v>SUSHI ROLL</v>
      </c>
      <c r="I342" s="9">
        <f t="shared" si="16"/>
        <v>45720</v>
      </c>
      <c r="J342" s="1" t="str">
        <f t="shared" si="17"/>
        <v>2025-03</v>
      </c>
    </row>
    <row r="343" spans="1:10" x14ac:dyDescent="0.2">
      <c r="A343" s="2">
        <v>341</v>
      </c>
      <c r="B343" s="1" t="s">
        <v>30</v>
      </c>
      <c r="C343" s="1">
        <v>39001967849</v>
      </c>
      <c r="D343" s="1" t="s">
        <v>62</v>
      </c>
      <c r="E343" s="1" t="s">
        <v>63</v>
      </c>
      <c r="F343" s="1">
        <v>2</v>
      </c>
      <c r="G343" s="1" t="s">
        <v>83</v>
      </c>
      <c r="H343" s="1" t="str">
        <f t="shared" si="15"/>
        <v>SPICY MEATBALL</v>
      </c>
      <c r="I343" s="9">
        <f t="shared" si="16"/>
        <v>45716</v>
      </c>
      <c r="J343" s="1" t="str">
        <f t="shared" si="17"/>
        <v>2025-02</v>
      </c>
    </row>
    <row r="344" spans="1:10" x14ac:dyDescent="0.2">
      <c r="A344" s="2">
        <v>342</v>
      </c>
      <c r="B344" s="1" t="s">
        <v>4</v>
      </c>
      <c r="C344" s="1">
        <v>39000979550</v>
      </c>
      <c r="D344" s="1" t="s">
        <v>58</v>
      </c>
      <c r="E344" s="1" t="s">
        <v>59</v>
      </c>
      <c r="F344" s="1">
        <v>1</v>
      </c>
      <c r="G344" s="1" t="s">
        <v>91</v>
      </c>
      <c r="H344" s="1" t="str">
        <f t="shared" si="15"/>
        <v>DIET</v>
      </c>
      <c r="I344" s="9">
        <f t="shared" si="16"/>
        <v>45686</v>
      </c>
      <c r="J344" s="1" t="str">
        <f t="shared" si="17"/>
        <v>2025-01</v>
      </c>
    </row>
    <row r="345" spans="1:10" x14ac:dyDescent="0.2">
      <c r="A345" s="2">
        <v>343</v>
      </c>
      <c r="B345" s="1" t="s">
        <v>40</v>
      </c>
      <c r="C345" s="1">
        <v>39000264576</v>
      </c>
      <c r="D345" s="1" t="s">
        <v>62</v>
      </c>
      <c r="E345" s="1" t="s">
        <v>63</v>
      </c>
      <c r="F345" s="1">
        <v>1</v>
      </c>
      <c r="G345" s="1" t="s">
        <v>147</v>
      </c>
      <c r="H345" s="1" t="str">
        <f t="shared" si="15"/>
        <v>MAPLE SYRUP</v>
      </c>
      <c r="I345" s="9">
        <f t="shared" si="16"/>
        <v>45670</v>
      </c>
      <c r="J345" s="1" t="str">
        <f t="shared" si="17"/>
        <v>2025-01</v>
      </c>
    </row>
    <row r="346" spans="1:10" x14ac:dyDescent="0.2">
      <c r="A346" s="2">
        <v>344</v>
      </c>
      <c r="B346" s="1" t="s">
        <v>21</v>
      </c>
      <c r="C346" s="1">
        <v>39001481792</v>
      </c>
      <c r="D346" s="1" t="s">
        <v>70</v>
      </c>
      <c r="E346" s="1" t="s">
        <v>71</v>
      </c>
      <c r="F346" s="1">
        <v>1</v>
      </c>
      <c r="G346" s="1" t="s">
        <v>124</v>
      </c>
      <c r="H346" s="1" t="str">
        <f t="shared" si="15"/>
        <v>SUSHI ROLL</v>
      </c>
      <c r="I346" s="9">
        <f t="shared" si="16"/>
        <v>45699</v>
      </c>
      <c r="J346" s="1" t="str">
        <f t="shared" si="17"/>
        <v>2025-02</v>
      </c>
    </row>
    <row r="347" spans="1:10" x14ac:dyDescent="0.2">
      <c r="A347" s="2">
        <v>345</v>
      </c>
      <c r="B347" s="1" t="s">
        <v>5</v>
      </c>
      <c r="C347" s="1">
        <v>39000340873</v>
      </c>
      <c r="D347" s="1" t="s">
        <v>66</v>
      </c>
      <c r="E347" s="1" t="s">
        <v>67</v>
      </c>
      <c r="F347" s="1">
        <v>5</v>
      </c>
      <c r="G347" s="1" t="s">
        <v>88</v>
      </c>
      <c r="H347" s="1" t="str">
        <f t="shared" si="15"/>
        <v>SPICY MEATBALL</v>
      </c>
      <c r="I347" s="9">
        <f t="shared" si="16"/>
        <v>45674</v>
      </c>
      <c r="J347" s="1" t="str">
        <f t="shared" si="17"/>
        <v>2025-01</v>
      </c>
    </row>
    <row r="348" spans="1:10" x14ac:dyDescent="0.2">
      <c r="A348" s="2">
        <v>346</v>
      </c>
      <c r="B348" s="1" t="s">
        <v>36</v>
      </c>
      <c r="C348" s="1">
        <v>39001535950</v>
      </c>
      <c r="D348" s="1" t="s">
        <v>75</v>
      </c>
      <c r="E348" s="1" t="s">
        <v>71</v>
      </c>
      <c r="F348" s="1">
        <v>1</v>
      </c>
      <c r="G348" s="1" t="s">
        <v>79</v>
      </c>
      <c r="H348" s="1" t="str">
        <f t="shared" si="15"/>
        <v>DIET SODA</v>
      </c>
      <c r="I348" s="9">
        <f t="shared" si="16"/>
        <v>45680</v>
      </c>
      <c r="J348" s="1" t="str">
        <f t="shared" si="17"/>
        <v>2025-01</v>
      </c>
    </row>
    <row r="349" spans="1:10" x14ac:dyDescent="0.2">
      <c r="A349" s="2">
        <v>347</v>
      </c>
      <c r="B349" s="1" t="s">
        <v>13</v>
      </c>
      <c r="C349" s="1">
        <v>39000240981</v>
      </c>
      <c r="D349" s="1" t="s">
        <v>60</v>
      </c>
      <c r="E349" s="1" t="s">
        <v>61</v>
      </c>
      <c r="F349" s="1">
        <v>2</v>
      </c>
      <c r="G349" s="1" t="s">
        <v>88</v>
      </c>
      <c r="H349" s="1" t="str">
        <f t="shared" si="15"/>
        <v>SPICY MEATBALL</v>
      </c>
      <c r="I349" s="9">
        <f t="shared" si="16"/>
        <v>45664</v>
      </c>
      <c r="J349" s="1" t="str">
        <f t="shared" si="17"/>
        <v>2025-01</v>
      </c>
    </row>
    <row r="350" spans="1:10" x14ac:dyDescent="0.2">
      <c r="A350" s="2">
        <v>348</v>
      </c>
      <c r="B350" s="1" t="s">
        <v>30</v>
      </c>
      <c r="C350" s="1">
        <v>39000333216</v>
      </c>
      <c r="D350" s="1" t="s">
        <v>66</v>
      </c>
      <c r="E350" s="1" t="s">
        <v>67</v>
      </c>
      <c r="F350" s="1">
        <v>1</v>
      </c>
      <c r="G350" s="1" t="s">
        <v>139</v>
      </c>
      <c r="H350" s="1" t="str">
        <f t="shared" si="15"/>
        <v>LEMONADE</v>
      </c>
      <c r="I350" s="9">
        <f t="shared" si="16"/>
        <v>45716</v>
      </c>
      <c r="J350" s="1" t="str">
        <f t="shared" si="17"/>
        <v>2025-02</v>
      </c>
    </row>
    <row r="351" spans="1:10" x14ac:dyDescent="0.2">
      <c r="A351" s="2">
        <v>349</v>
      </c>
      <c r="B351" s="1" t="s">
        <v>21</v>
      </c>
      <c r="C351" s="1">
        <v>39000666653</v>
      </c>
      <c r="D351" s="1" t="s">
        <v>68</v>
      </c>
      <c r="E351" s="1" t="s">
        <v>68</v>
      </c>
      <c r="F351" s="1">
        <v>1</v>
      </c>
      <c r="G351" s="1" t="s">
        <v>83</v>
      </c>
      <c r="H351" s="1" t="str">
        <f t="shared" si="15"/>
        <v>SPICY MEATBALL</v>
      </c>
      <c r="I351" s="9">
        <f t="shared" si="16"/>
        <v>45699</v>
      </c>
      <c r="J351" s="1" t="str">
        <f t="shared" si="17"/>
        <v>2025-02</v>
      </c>
    </row>
    <row r="352" spans="1:10" x14ac:dyDescent="0.2">
      <c r="A352" s="2">
        <v>350</v>
      </c>
      <c r="B352" s="1" t="s">
        <v>26</v>
      </c>
      <c r="C352" s="1">
        <v>39000240643</v>
      </c>
      <c r="D352" s="1" t="s">
        <v>60</v>
      </c>
      <c r="E352" s="1" t="s">
        <v>61</v>
      </c>
      <c r="F352" s="1">
        <v>1</v>
      </c>
      <c r="G352" s="1" t="s">
        <v>91</v>
      </c>
      <c r="H352" s="1" t="str">
        <f t="shared" si="15"/>
        <v>DIET</v>
      </c>
      <c r="I352" s="9">
        <f t="shared" si="16"/>
        <v>45707</v>
      </c>
      <c r="J352" s="1" t="str">
        <f t="shared" si="17"/>
        <v>2025-02</v>
      </c>
    </row>
    <row r="353" spans="1:10" x14ac:dyDescent="0.2">
      <c r="A353" s="2">
        <v>351</v>
      </c>
      <c r="B353" s="1" t="s">
        <v>26</v>
      </c>
      <c r="C353" s="1">
        <v>39000280306</v>
      </c>
      <c r="D353" s="1" t="s">
        <v>74</v>
      </c>
      <c r="E353" s="1" t="s">
        <v>63</v>
      </c>
      <c r="F353" s="1">
        <v>4</v>
      </c>
      <c r="G353" s="1" t="s">
        <v>88</v>
      </c>
      <c r="H353" s="1" t="str">
        <f t="shared" si="15"/>
        <v>SPICY MEATBALL</v>
      </c>
      <c r="I353" s="9">
        <f t="shared" si="16"/>
        <v>45707</v>
      </c>
      <c r="J353" s="1" t="str">
        <f t="shared" si="17"/>
        <v>2025-02</v>
      </c>
    </row>
    <row r="354" spans="1:10" x14ac:dyDescent="0.2">
      <c r="A354" s="2">
        <v>352</v>
      </c>
      <c r="B354" s="1" t="s">
        <v>33</v>
      </c>
      <c r="C354" s="1">
        <v>39000228917</v>
      </c>
      <c r="D354" s="1" t="s">
        <v>60</v>
      </c>
      <c r="E354" s="1" t="s">
        <v>61</v>
      </c>
      <c r="F354" s="1">
        <v>1</v>
      </c>
      <c r="G354" s="1" t="s">
        <v>82</v>
      </c>
      <c r="H354" s="1" t="str">
        <f t="shared" si="15"/>
        <v>BLUEBERRY SMOOTHIE</v>
      </c>
      <c r="I354" s="9">
        <f t="shared" si="16"/>
        <v>45672</v>
      </c>
      <c r="J354" s="1" t="str">
        <f t="shared" si="17"/>
        <v>2025-01</v>
      </c>
    </row>
    <row r="355" spans="1:10" x14ac:dyDescent="0.2">
      <c r="A355" s="2">
        <v>353</v>
      </c>
      <c r="B355" s="1" t="s">
        <v>23</v>
      </c>
      <c r="C355" s="1">
        <v>39001955590</v>
      </c>
      <c r="D355" s="1" t="s">
        <v>69</v>
      </c>
      <c r="E355" s="1" t="s">
        <v>61</v>
      </c>
      <c r="F355" s="1">
        <v>2</v>
      </c>
      <c r="G355" s="1" t="s">
        <v>100</v>
      </c>
      <c r="H355" s="1" t="str">
        <f t="shared" si="15"/>
        <v>SPICY MEATBALL</v>
      </c>
      <c r="I355" s="9">
        <f t="shared" si="16"/>
        <v>45715</v>
      </c>
      <c r="J355" s="1" t="str">
        <f t="shared" si="17"/>
        <v>2025-02</v>
      </c>
    </row>
    <row r="356" spans="1:10" x14ac:dyDescent="0.2">
      <c r="A356" s="2">
        <v>354</v>
      </c>
      <c r="B356" s="1" t="s">
        <v>9</v>
      </c>
      <c r="C356" s="1">
        <v>39000284869</v>
      </c>
      <c r="D356" s="1" t="s">
        <v>74</v>
      </c>
      <c r="E356" s="1" t="s">
        <v>63</v>
      </c>
      <c r="F356" s="1">
        <v>1</v>
      </c>
      <c r="G356" s="1" t="s">
        <v>127</v>
      </c>
      <c r="H356" s="1" t="str">
        <f t="shared" si="15"/>
        <v>SF KETCHUP</v>
      </c>
      <c r="I356" s="9">
        <f t="shared" si="16"/>
        <v>45687</v>
      </c>
      <c r="J356" s="1" t="str">
        <f t="shared" si="17"/>
        <v>2025-01</v>
      </c>
    </row>
    <row r="357" spans="1:10" x14ac:dyDescent="0.2">
      <c r="A357" s="2">
        <v>355</v>
      </c>
      <c r="B357" s="1" t="s">
        <v>15</v>
      </c>
      <c r="C357" s="1">
        <v>39000212849</v>
      </c>
      <c r="D357" s="1" t="s">
        <v>60</v>
      </c>
      <c r="E357" s="1" t="s">
        <v>61</v>
      </c>
      <c r="F357" s="1">
        <v>-0.125</v>
      </c>
      <c r="G357" s="1" t="s">
        <v>91</v>
      </c>
      <c r="H357" s="1" t="str">
        <f t="shared" si="15"/>
        <v>DIET</v>
      </c>
      <c r="I357" s="9">
        <f t="shared" si="16"/>
        <v>45713</v>
      </c>
      <c r="J357" s="1" t="str">
        <f t="shared" si="17"/>
        <v>2025-02</v>
      </c>
    </row>
    <row r="358" spans="1:10" x14ac:dyDescent="0.2">
      <c r="A358" s="2">
        <v>356</v>
      </c>
      <c r="B358" s="1" t="s">
        <v>30</v>
      </c>
      <c r="C358" s="1">
        <v>39000655525</v>
      </c>
      <c r="D358" s="1" t="s">
        <v>68</v>
      </c>
      <c r="E358" s="1" t="s">
        <v>68</v>
      </c>
      <c r="F358" s="1">
        <v>1</v>
      </c>
      <c r="G358" s="1" t="s">
        <v>118</v>
      </c>
      <c r="H358" s="1" t="str">
        <f t="shared" si="15"/>
        <v>SF STRAWBERRY MILKSHAKE</v>
      </c>
      <c r="I358" s="9">
        <f t="shared" si="16"/>
        <v>45716</v>
      </c>
      <c r="J358" s="1" t="str">
        <f t="shared" si="17"/>
        <v>2025-02</v>
      </c>
    </row>
    <row r="359" spans="1:10" x14ac:dyDescent="0.2">
      <c r="A359" s="2">
        <v>357</v>
      </c>
      <c r="B359" s="1" t="s">
        <v>37</v>
      </c>
      <c r="C359" s="1">
        <v>39001716754</v>
      </c>
      <c r="D359" s="1" t="s">
        <v>64</v>
      </c>
      <c r="E359" s="1" t="s">
        <v>65</v>
      </c>
      <c r="F359" s="1">
        <v>2</v>
      </c>
      <c r="G359" s="1" t="s">
        <v>89</v>
      </c>
      <c r="H359" s="1" t="str">
        <f t="shared" si="15"/>
        <v>WASABI BANANA PUDDING</v>
      </c>
      <c r="I359" s="9">
        <f t="shared" si="16"/>
        <v>45723</v>
      </c>
      <c r="J359" s="1" t="str">
        <f t="shared" si="17"/>
        <v>2025-03</v>
      </c>
    </row>
    <row r="360" spans="1:10" x14ac:dyDescent="0.2">
      <c r="A360" s="2">
        <v>358</v>
      </c>
      <c r="B360" s="1" t="s">
        <v>14</v>
      </c>
      <c r="C360" s="1">
        <v>39000590759</v>
      </c>
      <c r="D360" s="1" t="s">
        <v>54</v>
      </c>
      <c r="E360" s="1" t="s">
        <v>55</v>
      </c>
      <c r="F360" s="1">
        <v>1</v>
      </c>
      <c r="G360" s="1" t="s">
        <v>126</v>
      </c>
      <c r="H360" s="1" t="str">
        <f t="shared" si="15"/>
        <v>PICKLE JUICE</v>
      </c>
      <c r="I360" s="9">
        <f t="shared" si="16"/>
        <v>45694</v>
      </c>
      <c r="J360" s="1" t="str">
        <f t="shared" si="17"/>
        <v>2025-02</v>
      </c>
    </row>
    <row r="361" spans="1:10" x14ac:dyDescent="0.2">
      <c r="A361" s="2">
        <v>359</v>
      </c>
      <c r="B361" s="1" t="s">
        <v>19</v>
      </c>
      <c r="C361" s="1">
        <v>39000590642</v>
      </c>
      <c r="D361" s="1" t="s">
        <v>54</v>
      </c>
      <c r="E361" s="1" t="s">
        <v>55</v>
      </c>
      <c r="F361" s="1">
        <v>2</v>
      </c>
      <c r="G361" s="1" t="s">
        <v>130</v>
      </c>
      <c r="H361" s="1" t="str">
        <f t="shared" si="15"/>
        <v>SF LEMONADE</v>
      </c>
      <c r="I361" s="9">
        <f t="shared" si="16"/>
        <v>45722</v>
      </c>
      <c r="J361" s="1" t="str">
        <f t="shared" si="17"/>
        <v>2025-03</v>
      </c>
    </row>
    <row r="362" spans="1:10" x14ac:dyDescent="0.2">
      <c r="A362" s="2">
        <v>360</v>
      </c>
      <c r="B362" s="1" t="s">
        <v>40</v>
      </c>
      <c r="C362" s="1">
        <v>39000334191</v>
      </c>
      <c r="D362" s="1" t="s">
        <v>66</v>
      </c>
      <c r="E362" s="1" t="s">
        <v>67</v>
      </c>
      <c r="F362" s="1">
        <v>1</v>
      </c>
      <c r="G362" s="1" t="s">
        <v>91</v>
      </c>
      <c r="H362" s="1" t="str">
        <f t="shared" si="15"/>
        <v>DIET</v>
      </c>
      <c r="I362" s="9">
        <f t="shared" si="16"/>
        <v>45670</v>
      </c>
      <c r="J362" s="1" t="str">
        <f t="shared" si="17"/>
        <v>2025-01</v>
      </c>
    </row>
    <row r="363" spans="1:10" x14ac:dyDescent="0.2">
      <c r="A363" s="2">
        <v>361</v>
      </c>
      <c r="B363" s="1" t="s">
        <v>37</v>
      </c>
      <c r="C363" s="1">
        <v>39000338468</v>
      </c>
      <c r="D363" s="1" t="s">
        <v>66</v>
      </c>
      <c r="E363" s="1" t="s">
        <v>67</v>
      </c>
      <c r="F363" s="1">
        <v>1</v>
      </c>
      <c r="G363" s="1" t="s">
        <v>118</v>
      </c>
      <c r="H363" s="1" t="str">
        <f t="shared" si="15"/>
        <v>SF STRAWBERRY MILKSHAKE</v>
      </c>
      <c r="I363" s="9">
        <f t="shared" si="16"/>
        <v>45723</v>
      </c>
      <c r="J363" s="1" t="str">
        <f t="shared" si="17"/>
        <v>2025-03</v>
      </c>
    </row>
    <row r="364" spans="1:10" x14ac:dyDescent="0.2">
      <c r="A364" s="2">
        <v>362</v>
      </c>
      <c r="B364" s="1" t="s">
        <v>22</v>
      </c>
      <c r="C364" s="1">
        <v>39000234585</v>
      </c>
      <c r="D364" s="1" t="s">
        <v>60</v>
      </c>
      <c r="E364" s="1" t="s">
        <v>61</v>
      </c>
      <c r="F364" s="1">
        <v>-8.3000000000000004E-2</v>
      </c>
      <c r="G364" s="1" t="s">
        <v>89</v>
      </c>
      <c r="H364" s="1" t="str">
        <f t="shared" si="15"/>
        <v>WASABI BANANA PUDDING</v>
      </c>
      <c r="I364" s="9">
        <f t="shared" si="16"/>
        <v>45721</v>
      </c>
      <c r="J364" s="1" t="str">
        <f t="shared" si="17"/>
        <v>2025-03</v>
      </c>
    </row>
    <row r="365" spans="1:10" x14ac:dyDescent="0.2">
      <c r="A365" s="2">
        <v>363</v>
      </c>
      <c r="B365" s="1" t="s">
        <v>30</v>
      </c>
      <c r="C365" s="1">
        <v>39000592592</v>
      </c>
      <c r="D365" s="1" t="s">
        <v>54</v>
      </c>
      <c r="E365" s="1" t="s">
        <v>55</v>
      </c>
      <c r="F365" s="1">
        <v>1</v>
      </c>
      <c r="G365" s="1" t="s">
        <v>136</v>
      </c>
      <c r="H365" s="1" t="str">
        <f t="shared" si="15"/>
        <v>SF LEMONADE</v>
      </c>
      <c r="I365" s="9">
        <f t="shared" si="16"/>
        <v>45716</v>
      </c>
      <c r="J365" s="1" t="str">
        <f t="shared" si="17"/>
        <v>2025-02</v>
      </c>
    </row>
    <row r="366" spans="1:10" x14ac:dyDescent="0.2">
      <c r="A366" s="2">
        <v>364</v>
      </c>
      <c r="B366" s="1" t="s">
        <v>7</v>
      </c>
      <c r="C366" s="1">
        <v>39000282191</v>
      </c>
      <c r="D366" s="1" t="s">
        <v>74</v>
      </c>
      <c r="E366" s="1" t="s">
        <v>63</v>
      </c>
      <c r="F366" s="1">
        <v>1</v>
      </c>
      <c r="G366" s="1" t="s">
        <v>78</v>
      </c>
      <c r="H366" s="1" t="str">
        <f t="shared" si="15"/>
        <v>PICKLE JUICE</v>
      </c>
      <c r="I366" s="9">
        <f t="shared" si="16"/>
        <v>45712</v>
      </c>
      <c r="J366" s="1" t="str">
        <f t="shared" si="17"/>
        <v>2025-02</v>
      </c>
    </row>
    <row r="367" spans="1:10" x14ac:dyDescent="0.2">
      <c r="A367" s="2">
        <v>365</v>
      </c>
      <c r="B367" s="1" t="s">
        <v>30</v>
      </c>
      <c r="C367" s="1">
        <v>39000415987</v>
      </c>
      <c r="D367" s="1" t="s">
        <v>66</v>
      </c>
      <c r="E367" s="1" t="s">
        <v>67</v>
      </c>
      <c r="F367" s="1">
        <v>1</v>
      </c>
      <c r="G367" s="1" t="s">
        <v>121</v>
      </c>
      <c r="H367" s="1" t="str">
        <f t="shared" si="15"/>
        <v>SF STRAWBERRY MILKSHAKE</v>
      </c>
      <c r="I367" s="9">
        <f t="shared" si="16"/>
        <v>45716</v>
      </c>
      <c r="J367" s="1" t="str">
        <f t="shared" si="17"/>
        <v>2025-02</v>
      </c>
    </row>
    <row r="368" spans="1:10" x14ac:dyDescent="0.2">
      <c r="A368" s="2">
        <v>366</v>
      </c>
      <c r="B368" s="1" t="s">
        <v>13</v>
      </c>
      <c r="C368" s="1">
        <v>39000659282</v>
      </c>
      <c r="D368" s="1" t="s">
        <v>68</v>
      </c>
      <c r="E368" s="1" t="s">
        <v>68</v>
      </c>
      <c r="F368" s="1">
        <v>1</v>
      </c>
      <c r="G368" s="1" t="s">
        <v>85</v>
      </c>
      <c r="H368" s="1" t="str">
        <f t="shared" si="15"/>
        <v>SF MAPLE SYRUP</v>
      </c>
      <c r="I368" s="9">
        <f t="shared" si="16"/>
        <v>45664</v>
      </c>
      <c r="J368" s="1" t="str">
        <f t="shared" si="17"/>
        <v>2025-01</v>
      </c>
    </row>
    <row r="369" spans="1:10" x14ac:dyDescent="0.2">
      <c r="A369" s="2">
        <v>367</v>
      </c>
      <c r="B369" s="1" t="s">
        <v>48</v>
      </c>
      <c r="C369" s="1">
        <v>39001393002</v>
      </c>
      <c r="D369" s="1" t="s">
        <v>70</v>
      </c>
      <c r="E369" s="1" t="s">
        <v>71</v>
      </c>
      <c r="F369" s="1">
        <v>2</v>
      </c>
      <c r="G369" s="1" t="s">
        <v>113</v>
      </c>
      <c r="H369" s="1" t="str">
        <f t="shared" si="15"/>
        <v>DIET SODA</v>
      </c>
      <c r="I369" s="9">
        <f t="shared" si="16"/>
        <v>45667</v>
      </c>
      <c r="J369" s="1" t="str">
        <f t="shared" si="17"/>
        <v>2025-01</v>
      </c>
    </row>
    <row r="370" spans="1:10" x14ac:dyDescent="0.2">
      <c r="A370" s="2">
        <v>368</v>
      </c>
      <c r="B370" s="1" t="s">
        <v>25</v>
      </c>
      <c r="C370" s="1">
        <v>39000661817</v>
      </c>
      <c r="D370" s="1" t="s">
        <v>68</v>
      </c>
      <c r="E370" s="1" t="s">
        <v>68</v>
      </c>
      <c r="F370" s="1">
        <v>-1.167</v>
      </c>
      <c r="G370" s="1" t="s">
        <v>100</v>
      </c>
      <c r="H370" s="1" t="str">
        <f t="shared" si="15"/>
        <v>SPICY MEATBALL</v>
      </c>
      <c r="I370" s="9">
        <f t="shared" si="16"/>
        <v>45702</v>
      </c>
      <c r="J370" s="1" t="str">
        <f t="shared" si="17"/>
        <v>2025-02</v>
      </c>
    </row>
    <row r="371" spans="1:10" x14ac:dyDescent="0.2">
      <c r="A371" s="2">
        <v>369</v>
      </c>
      <c r="B371" s="1" t="s">
        <v>22</v>
      </c>
      <c r="C371" s="1">
        <v>39001782040</v>
      </c>
      <c r="D371" s="1" t="s">
        <v>64</v>
      </c>
      <c r="E371" s="1" t="s">
        <v>65</v>
      </c>
      <c r="F371" s="1">
        <v>-0.91700000000000004</v>
      </c>
      <c r="G371" s="1" t="s">
        <v>101</v>
      </c>
      <c r="H371" s="1" t="str">
        <f t="shared" si="15"/>
        <v>KETCHUP</v>
      </c>
      <c r="I371" s="9">
        <f t="shared" si="16"/>
        <v>45721</v>
      </c>
      <c r="J371" s="1" t="str">
        <f t="shared" si="17"/>
        <v>2025-03</v>
      </c>
    </row>
    <row r="372" spans="1:10" x14ac:dyDescent="0.2">
      <c r="A372" s="2">
        <v>370</v>
      </c>
      <c r="B372" s="1" t="s">
        <v>16</v>
      </c>
      <c r="C372" s="1">
        <v>39000271544</v>
      </c>
      <c r="D372" s="1" t="s">
        <v>62</v>
      </c>
      <c r="E372" s="1" t="s">
        <v>63</v>
      </c>
      <c r="F372" s="1">
        <v>1</v>
      </c>
      <c r="G372" s="1" t="s">
        <v>79</v>
      </c>
      <c r="H372" s="1" t="str">
        <f t="shared" si="15"/>
        <v>DIET SODA</v>
      </c>
      <c r="I372" s="9">
        <f t="shared" si="16"/>
        <v>45663</v>
      </c>
      <c r="J372" s="1" t="str">
        <f t="shared" si="17"/>
        <v>2025-01</v>
      </c>
    </row>
    <row r="373" spans="1:10" x14ac:dyDescent="0.2">
      <c r="A373" s="2">
        <v>371</v>
      </c>
      <c r="B373" s="1" t="s">
        <v>31</v>
      </c>
      <c r="C373" s="1">
        <v>39000661765</v>
      </c>
      <c r="D373" s="1" t="s">
        <v>68</v>
      </c>
      <c r="E373" s="1" t="s">
        <v>68</v>
      </c>
      <c r="F373" s="1">
        <v>1</v>
      </c>
      <c r="G373" s="1" t="s">
        <v>136</v>
      </c>
      <c r="H373" s="1" t="str">
        <f t="shared" si="15"/>
        <v>SF LEMONADE</v>
      </c>
      <c r="I373" s="9">
        <f t="shared" si="16"/>
        <v>45714</v>
      </c>
      <c r="J373" s="1" t="str">
        <f t="shared" si="17"/>
        <v>2025-02</v>
      </c>
    </row>
    <row r="374" spans="1:10" x14ac:dyDescent="0.2">
      <c r="A374" s="2">
        <v>372</v>
      </c>
      <c r="B374" s="1" t="s">
        <v>27</v>
      </c>
      <c r="C374" s="1">
        <v>39001488617</v>
      </c>
      <c r="D374" s="1" t="s">
        <v>70</v>
      </c>
      <c r="E374" s="1" t="s">
        <v>71</v>
      </c>
      <c r="F374" s="1">
        <v>1</v>
      </c>
      <c r="G374" s="1" t="s">
        <v>103</v>
      </c>
      <c r="H374" s="1" t="str">
        <f t="shared" si="15"/>
        <v>COCONUT MILK</v>
      </c>
      <c r="I374" s="9">
        <f t="shared" si="16"/>
        <v>45709</v>
      </c>
      <c r="J374" s="1" t="str">
        <f t="shared" si="17"/>
        <v>2025-02</v>
      </c>
    </row>
    <row r="375" spans="1:10" x14ac:dyDescent="0.2">
      <c r="A375" s="2">
        <v>373</v>
      </c>
      <c r="B375" s="1" t="s">
        <v>46</v>
      </c>
      <c r="C375" s="1">
        <v>39001520155</v>
      </c>
      <c r="D375" s="1" t="s">
        <v>70</v>
      </c>
      <c r="E375" s="1" t="s">
        <v>71</v>
      </c>
      <c r="F375" s="1">
        <v>1</v>
      </c>
      <c r="G375" s="1" t="s">
        <v>135</v>
      </c>
      <c r="H375" s="1" t="str">
        <f t="shared" si="15"/>
        <v>SPICY MEATBALL</v>
      </c>
      <c r="I375" s="9">
        <f t="shared" si="16"/>
        <v>45701</v>
      </c>
      <c r="J375" s="1" t="str">
        <f t="shared" si="17"/>
        <v>2025-02</v>
      </c>
    </row>
    <row r="376" spans="1:10" x14ac:dyDescent="0.2">
      <c r="A376" s="2">
        <v>374</v>
      </c>
      <c r="B376" s="1" t="s">
        <v>29</v>
      </c>
      <c r="C376" s="1">
        <v>39000238043</v>
      </c>
      <c r="D376" s="1" t="s">
        <v>60</v>
      </c>
      <c r="E376" s="1" t="s">
        <v>61</v>
      </c>
      <c r="F376" s="1">
        <v>1</v>
      </c>
      <c r="G376" s="1" t="s">
        <v>132</v>
      </c>
      <c r="H376" s="1" t="str">
        <f t="shared" si="15"/>
        <v>AVOCADO TOAST</v>
      </c>
      <c r="I376" s="9">
        <f t="shared" si="16"/>
        <v>45660</v>
      </c>
      <c r="J376" s="1" t="str">
        <f t="shared" si="17"/>
        <v>2025-01</v>
      </c>
    </row>
    <row r="377" spans="1:10" x14ac:dyDescent="0.2">
      <c r="A377" s="2">
        <v>375</v>
      </c>
      <c r="B377" s="1" t="s">
        <v>33</v>
      </c>
      <c r="C377" s="1">
        <v>39000203346</v>
      </c>
      <c r="D377" s="1" t="s">
        <v>60</v>
      </c>
      <c r="E377" s="1" t="s">
        <v>61</v>
      </c>
      <c r="F377" s="1">
        <v>1</v>
      </c>
      <c r="G377" s="1" t="s">
        <v>140</v>
      </c>
      <c r="H377" s="1" t="str">
        <f t="shared" si="15"/>
        <v>AVOCADO TOAST</v>
      </c>
      <c r="I377" s="9">
        <f t="shared" si="16"/>
        <v>45672</v>
      </c>
      <c r="J377" s="1" t="str">
        <f t="shared" si="17"/>
        <v>2025-01</v>
      </c>
    </row>
    <row r="378" spans="1:10" x14ac:dyDescent="0.2">
      <c r="A378" s="2">
        <v>376</v>
      </c>
      <c r="B378" s="1" t="s">
        <v>12</v>
      </c>
      <c r="C378" s="1">
        <v>39000412009</v>
      </c>
      <c r="D378" s="1" t="s">
        <v>66</v>
      </c>
      <c r="E378" s="1" t="s">
        <v>67</v>
      </c>
      <c r="F378" s="1">
        <v>1</v>
      </c>
      <c r="G378" s="1" t="s">
        <v>100</v>
      </c>
      <c r="H378" s="1" t="str">
        <f t="shared" si="15"/>
        <v>SPICY MEATBALL</v>
      </c>
      <c r="I378" s="9">
        <f t="shared" si="16"/>
        <v>45659</v>
      </c>
      <c r="J378" s="1" t="str">
        <f t="shared" si="17"/>
        <v>2025-01</v>
      </c>
    </row>
    <row r="379" spans="1:10" x14ac:dyDescent="0.2">
      <c r="A379" s="2">
        <v>377</v>
      </c>
      <c r="B379" s="1" t="s">
        <v>45</v>
      </c>
      <c r="C379" s="1">
        <v>39000341939</v>
      </c>
      <c r="D379" s="1" t="s">
        <v>66</v>
      </c>
      <c r="E379" s="1" t="s">
        <v>67</v>
      </c>
      <c r="F379" s="1">
        <v>1</v>
      </c>
      <c r="G379" s="1" t="s">
        <v>103</v>
      </c>
      <c r="H379" s="1" t="str">
        <f t="shared" si="15"/>
        <v>COCONUT MILK</v>
      </c>
      <c r="I379" s="9">
        <f t="shared" si="16"/>
        <v>45700</v>
      </c>
      <c r="J379" s="1" t="str">
        <f t="shared" si="17"/>
        <v>2025-02</v>
      </c>
    </row>
    <row r="380" spans="1:10" x14ac:dyDescent="0.2">
      <c r="A380" s="2">
        <v>378</v>
      </c>
      <c r="B380" s="1" t="s">
        <v>19</v>
      </c>
      <c r="C380" s="1">
        <v>39001690559</v>
      </c>
      <c r="D380" s="1" t="s">
        <v>64</v>
      </c>
      <c r="E380" s="1" t="s">
        <v>65</v>
      </c>
      <c r="F380" s="1">
        <v>2</v>
      </c>
      <c r="G380" s="1" t="s">
        <v>111</v>
      </c>
      <c r="H380" s="1" t="str">
        <f t="shared" si="15"/>
        <v>MAPLE SYRUP</v>
      </c>
      <c r="I380" s="9">
        <f t="shared" si="16"/>
        <v>45722</v>
      </c>
      <c r="J380" s="1" t="str">
        <f t="shared" si="17"/>
        <v>2025-03</v>
      </c>
    </row>
    <row r="381" spans="1:10" x14ac:dyDescent="0.2">
      <c r="A381" s="2">
        <v>379</v>
      </c>
      <c r="B381" s="1" t="s">
        <v>46</v>
      </c>
      <c r="C381" s="1">
        <v>39000206414</v>
      </c>
      <c r="D381" s="1" t="s">
        <v>60</v>
      </c>
      <c r="E381" s="1" t="s">
        <v>61</v>
      </c>
      <c r="F381" s="1">
        <v>3</v>
      </c>
      <c r="G381" s="1" t="s">
        <v>83</v>
      </c>
      <c r="H381" s="1" t="str">
        <f t="shared" si="15"/>
        <v>SPICY MEATBALL</v>
      </c>
      <c r="I381" s="9">
        <f t="shared" si="16"/>
        <v>45701</v>
      </c>
      <c r="J381" s="1" t="str">
        <f t="shared" si="17"/>
        <v>2025-02</v>
      </c>
    </row>
    <row r="382" spans="1:10" x14ac:dyDescent="0.2">
      <c r="A382" s="2">
        <v>380</v>
      </c>
      <c r="B382" s="1" t="s">
        <v>15</v>
      </c>
      <c r="C382" s="1">
        <v>39000667043</v>
      </c>
      <c r="D382" s="1" t="s">
        <v>68</v>
      </c>
      <c r="E382" s="1" t="s">
        <v>68</v>
      </c>
      <c r="F382" s="1">
        <v>2</v>
      </c>
      <c r="G382" s="1" t="s">
        <v>85</v>
      </c>
      <c r="H382" s="1" t="str">
        <f t="shared" si="15"/>
        <v>SF MAPLE SYRUP</v>
      </c>
      <c r="I382" s="9">
        <f t="shared" si="16"/>
        <v>45713</v>
      </c>
      <c r="J382" s="1" t="str">
        <f t="shared" si="17"/>
        <v>2025-02</v>
      </c>
    </row>
    <row r="383" spans="1:10" x14ac:dyDescent="0.2">
      <c r="A383" s="2">
        <v>381</v>
      </c>
      <c r="B383" s="1" t="s">
        <v>31</v>
      </c>
      <c r="C383" s="1">
        <v>39001674543</v>
      </c>
      <c r="D383" s="1" t="s">
        <v>68</v>
      </c>
      <c r="E383" s="1" t="s">
        <v>68</v>
      </c>
      <c r="F383" s="1">
        <v>2</v>
      </c>
      <c r="G383" s="1" t="s">
        <v>131</v>
      </c>
      <c r="H383" s="1" t="str">
        <f t="shared" si="15"/>
        <v>STRAWBERRY MILKSHAKE</v>
      </c>
      <c r="I383" s="9">
        <f t="shared" si="16"/>
        <v>45714</v>
      </c>
      <c r="J383" s="1" t="str">
        <f t="shared" si="17"/>
        <v>2025-02</v>
      </c>
    </row>
    <row r="384" spans="1:10" x14ac:dyDescent="0.2">
      <c r="A384" s="2">
        <v>382</v>
      </c>
      <c r="B384" s="1" t="s">
        <v>36</v>
      </c>
      <c r="C384" s="1">
        <v>39000957047</v>
      </c>
      <c r="D384" s="1" t="s">
        <v>58</v>
      </c>
      <c r="E384" s="1" t="s">
        <v>59</v>
      </c>
      <c r="F384" s="1">
        <v>1</v>
      </c>
      <c r="G384" s="1" t="s">
        <v>100</v>
      </c>
      <c r="H384" s="1" t="str">
        <f t="shared" si="15"/>
        <v>SPICY MEATBALL</v>
      </c>
      <c r="I384" s="9">
        <f t="shared" si="16"/>
        <v>45680</v>
      </c>
      <c r="J384" s="1" t="str">
        <f t="shared" si="17"/>
        <v>2025-01</v>
      </c>
    </row>
    <row r="385" spans="1:10" x14ac:dyDescent="0.2">
      <c r="A385" s="2">
        <v>383</v>
      </c>
      <c r="B385" s="1" t="s">
        <v>24</v>
      </c>
      <c r="C385" s="1">
        <v>39000657813</v>
      </c>
      <c r="D385" s="1" t="s">
        <v>68</v>
      </c>
      <c r="E385" s="1" t="s">
        <v>68</v>
      </c>
      <c r="F385" s="1">
        <v>1</v>
      </c>
      <c r="G385" s="1" t="s">
        <v>121</v>
      </c>
      <c r="H385" s="1" t="str">
        <f t="shared" si="15"/>
        <v>SF STRAWBERRY MILKSHAKE</v>
      </c>
      <c r="I385" s="9">
        <f t="shared" si="16"/>
        <v>45726</v>
      </c>
      <c r="J385" s="1" t="str">
        <f t="shared" si="17"/>
        <v>2025-03</v>
      </c>
    </row>
    <row r="386" spans="1:10" x14ac:dyDescent="0.2">
      <c r="A386" s="2">
        <v>384</v>
      </c>
      <c r="B386" s="1" t="s">
        <v>22</v>
      </c>
      <c r="C386" s="1">
        <v>39000197158</v>
      </c>
      <c r="D386" s="1" t="s">
        <v>60</v>
      </c>
      <c r="E386" s="1" t="s">
        <v>61</v>
      </c>
      <c r="F386" s="1">
        <v>2</v>
      </c>
      <c r="G386" s="1" t="s">
        <v>139</v>
      </c>
      <c r="H386" s="1" t="str">
        <f t="shared" si="15"/>
        <v>LEMONADE</v>
      </c>
      <c r="I386" s="9">
        <f t="shared" si="16"/>
        <v>45721</v>
      </c>
      <c r="J386" s="1" t="str">
        <f t="shared" si="17"/>
        <v>2025-03</v>
      </c>
    </row>
    <row r="387" spans="1:10" x14ac:dyDescent="0.2">
      <c r="A387" s="2">
        <v>385</v>
      </c>
      <c r="B387" s="1" t="s">
        <v>11</v>
      </c>
      <c r="C387" s="1">
        <v>39000662168</v>
      </c>
      <c r="D387" s="1" t="s">
        <v>68</v>
      </c>
      <c r="E387" s="1" t="s">
        <v>68</v>
      </c>
      <c r="F387" s="1">
        <v>1</v>
      </c>
      <c r="G387" s="1" t="s">
        <v>115</v>
      </c>
      <c r="H387" s="1" t="str">
        <f t="shared" ref="H387:H450" si="18">_xlfn.TEXTBEFORE(G387," ",-2)</f>
        <v>BLUEBERRY SMOOTHIE</v>
      </c>
      <c r="I387" s="9">
        <f t="shared" ref="I387:I450" si="19">DATE(LEFT(B387,4), MID(B387,5,2), RIGHT(B387,2))</f>
        <v>45705</v>
      </c>
      <c r="J387" s="1" t="str">
        <f t="shared" ref="J387:J450" si="20">TEXT(I387,"YYYY-MM")</f>
        <v>2025-02</v>
      </c>
    </row>
    <row r="388" spans="1:10" x14ac:dyDescent="0.2">
      <c r="A388" s="2">
        <v>386</v>
      </c>
      <c r="B388" s="1" t="s">
        <v>22</v>
      </c>
      <c r="C388" s="1">
        <v>39000951353</v>
      </c>
      <c r="D388" s="1" t="s">
        <v>58</v>
      </c>
      <c r="E388" s="1" t="s">
        <v>59</v>
      </c>
      <c r="F388" s="1">
        <v>1</v>
      </c>
      <c r="G388" s="1" t="s">
        <v>105</v>
      </c>
      <c r="H388" s="1" t="str">
        <f t="shared" si="18"/>
        <v>SF SUSHI ROLL</v>
      </c>
      <c r="I388" s="9">
        <f t="shared" si="19"/>
        <v>45721</v>
      </c>
      <c r="J388" s="1" t="str">
        <f t="shared" si="20"/>
        <v>2025-03</v>
      </c>
    </row>
    <row r="389" spans="1:10" x14ac:dyDescent="0.2">
      <c r="A389" s="2">
        <v>387</v>
      </c>
      <c r="B389" s="1" t="s">
        <v>34</v>
      </c>
      <c r="C389" s="1">
        <v>39001520233</v>
      </c>
      <c r="D389" s="1" t="s">
        <v>70</v>
      </c>
      <c r="E389" s="1" t="s">
        <v>71</v>
      </c>
      <c r="F389" s="1">
        <v>1</v>
      </c>
      <c r="G389" s="1" t="s">
        <v>116</v>
      </c>
      <c r="H389" s="1" t="str">
        <f t="shared" si="18"/>
        <v>SPICY MEATBALL</v>
      </c>
      <c r="I389" s="9">
        <f t="shared" si="19"/>
        <v>45698</v>
      </c>
      <c r="J389" s="1" t="str">
        <f t="shared" si="20"/>
        <v>2025-02</v>
      </c>
    </row>
    <row r="390" spans="1:10" x14ac:dyDescent="0.2">
      <c r="A390" s="2">
        <v>388</v>
      </c>
      <c r="B390" s="1" t="s">
        <v>26</v>
      </c>
      <c r="C390" s="1">
        <v>39000658554</v>
      </c>
      <c r="D390" s="1" t="s">
        <v>68</v>
      </c>
      <c r="E390" s="1" t="s">
        <v>68</v>
      </c>
      <c r="F390" s="1">
        <v>1</v>
      </c>
      <c r="G390" s="1" t="s">
        <v>111</v>
      </c>
      <c r="H390" s="1" t="str">
        <f t="shared" si="18"/>
        <v>MAPLE SYRUP</v>
      </c>
      <c r="I390" s="9">
        <f t="shared" si="19"/>
        <v>45707</v>
      </c>
      <c r="J390" s="1" t="str">
        <f t="shared" si="20"/>
        <v>2025-02</v>
      </c>
    </row>
    <row r="391" spans="1:10" x14ac:dyDescent="0.2">
      <c r="A391" s="2">
        <v>389</v>
      </c>
      <c r="B391" s="1" t="s">
        <v>37</v>
      </c>
      <c r="C391" s="1">
        <v>39000968721</v>
      </c>
      <c r="D391" s="1" t="s">
        <v>58</v>
      </c>
      <c r="E391" s="1" t="s">
        <v>59</v>
      </c>
      <c r="F391" s="1">
        <v>1</v>
      </c>
      <c r="G391" s="1" t="s">
        <v>131</v>
      </c>
      <c r="H391" s="1" t="str">
        <f t="shared" si="18"/>
        <v>STRAWBERRY MILKSHAKE</v>
      </c>
      <c r="I391" s="9">
        <f t="shared" si="19"/>
        <v>45723</v>
      </c>
      <c r="J391" s="1" t="str">
        <f t="shared" si="20"/>
        <v>2025-03</v>
      </c>
    </row>
    <row r="392" spans="1:10" x14ac:dyDescent="0.2">
      <c r="A392" s="2">
        <v>390</v>
      </c>
      <c r="B392" s="1" t="s">
        <v>45</v>
      </c>
      <c r="C392" s="1">
        <v>39000229970</v>
      </c>
      <c r="D392" s="1" t="s">
        <v>60</v>
      </c>
      <c r="E392" s="1" t="s">
        <v>61</v>
      </c>
      <c r="F392" s="1">
        <v>2</v>
      </c>
      <c r="G392" s="1" t="s">
        <v>92</v>
      </c>
      <c r="H392" s="1" t="str">
        <f t="shared" si="18"/>
        <v>DIET COOKIE</v>
      </c>
      <c r="I392" s="9">
        <f t="shared" si="19"/>
        <v>45700</v>
      </c>
      <c r="J392" s="1" t="str">
        <f t="shared" si="20"/>
        <v>2025-02</v>
      </c>
    </row>
    <row r="393" spans="1:10" x14ac:dyDescent="0.2">
      <c r="A393" s="2">
        <v>391</v>
      </c>
      <c r="B393" s="1" t="s">
        <v>18</v>
      </c>
      <c r="C393" s="1">
        <v>39001537796</v>
      </c>
      <c r="D393" s="1" t="s">
        <v>75</v>
      </c>
      <c r="E393" s="1" t="s">
        <v>71</v>
      </c>
      <c r="F393" s="1">
        <v>1</v>
      </c>
      <c r="G393" s="1" t="s">
        <v>100</v>
      </c>
      <c r="H393" s="1" t="str">
        <f t="shared" si="18"/>
        <v>SPICY MEATBALL</v>
      </c>
      <c r="I393" s="9">
        <f t="shared" si="19"/>
        <v>45678</v>
      </c>
      <c r="J393" s="1" t="str">
        <f t="shared" si="20"/>
        <v>2025-01</v>
      </c>
    </row>
    <row r="394" spans="1:10" x14ac:dyDescent="0.2">
      <c r="A394" s="2">
        <v>392</v>
      </c>
      <c r="B394" s="1" t="s">
        <v>46</v>
      </c>
      <c r="C394" s="1">
        <v>39000732069</v>
      </c>
      <c r="D394" s="1" t="s">
        <v>76</v>
      </c>
      <c r="E394" s="1" t="s">
        <v>77</v>
      </c>
      <c r="F394" s="1">
        <v>1</v>
      </c>
      <c r="G394" s="1" t="s">
        <v>85</v>
      </c>
      <c r="H394" s="1" t="str">
        <f t="shared" si="18"/>
        <v>SF MAPLE SYRUP</v>
      </c>
      <c r="I394" s="9">
        <f t="shared" si="19"/>
        <v>45701</v>
      </c>
      <c r="J394" s="1" t="str">
        <f t="shared" si="20"/>
        <v>2025-02</v>
      </c>
    </row>
    <row r="395" spans="1:10" x14ac:dyDescent="0.2">
      <c r="A395" s="2">
        <v>393</v>
      </c>
      <c r="B395" s="1" t="s">
        <v>35</v>
      </c>
      <c r="C395" s="1">
        <v>39000219817</v>
      </c>
      <c r="D395" s="1" t="s">
        <v>60</v>
      </c>
      <c r="E395" s="1" t="s">
        <v>61</v>
      </c>
      <c r="F395" s="1">
        <v>-4.2000000000000003E-2</v>
      </c>
      <c r="G395" s="1" t="s">
        <v>101</v>
      </c>
      <c r="H395" s="1" t="str">
        <f t="shared" si="18"/>
        <v>KETCHUP</v>
      </c>
      <c r="I395" s="9">
        <f t="shared" si="19"/>
        <v>45693</v>
      </c>
      <c r="J395" s="1" t="str">
        <f t="shared" si="20"/>
        <v>2025-02</v>
      </c>
    </row>
    <row r="396" spans="1:10" x14ac:dyDescent="0.2">
      <c r="A396" s="2">
        <v>394</v>
      </c>
      <c r="B396" s="1" t="s">
        <v>12</v>
      </c>
      <c r="C396" s="1">
        <v>39000232570</v>
      </c>
      <c r="D396" s="1" t="s">
        <v>60</v>
      </c>
      <c r="E396" s="1" t="s">
        <v>61</v>
      </c>
      <c r="F396" s="1">
        <v>1</v>
      </c>
      <c r="G396" s="1" t="s">
        <v>83</v>
      </c>
      <c r="H396" s="1" t="str">
        <f t="shared" si="18"/>
        <v>SPICY MEATBALL</v>
      </c>
      <c r="I396" s="9">
        <f t="shared" si="19"/>
        <v>45659</v>
      </c>
      <c r="J396" s="1" t="str">
        <f t="shared" si="20"/>
        <v>2025-01</v>
      </c>
    </row>
    <row r="397" spans="1:10" x14ac:dyDescent="0.2">
      <c r="A397" s="2">
        <v>395</v>
      </c>
      <c r="B397" s="1" t="s">
        <v>12</v>
      </c>
      <c r="C397" s="1">
        <v>39002314208</v>
      </c>
      <c r="D397" s="1" t="s">
        <v>56</v>
      </c>
      <c r="E397" s="1" t="s">
        <v>57</v>
      </c>
      <c r="F397" s="1">
        <v>-0.5</v>
      </c>
      <c r="G397" s="1" t="s">
        <v>147</v>
      </c>
      <c r="H397" s="1" t="str">
        <f t="shared" si="18"/>
        <v>MAPLE SYRUP</v>
      </c>
      <c r="I397" s="9">
        <f t="shared" si="19"/>
        <v>45659</v>
      </c>
      <c r="J397" s="1" t="str">
        <f t="shared" si="20"/>
        <v>2025-01</v>
      </c>
    </row>
    <row r="398" spans="1:10" x14ac:dyDescent="0.2">
      <c r="A398" s="2">
        <v>396</v>
      </c>
      <c r="B398" s="1" t="s">
        <v>16</v>
      </c>
      <c r="C398" s="1">
        <v>39000657020</v>
      </c>
      <c r="D398" s="1" t="s">
        <v>68</v>
      </c>
      <c r="E398" s="1" t="s">
        <v>68</v>
      </c>
      <c r="F398" s="1">
        <v>1</v>
      </c>
      <c r="G398" s="1" t="s">
        <v>148</v>
      </c>
      <c r="H398" s="1" t="str">
        <f t="shared" si="18"/>
        <v>SUSHI ROLL</v>
      </c>
      <c r="I398" s="9">
        <f t="shared" si="19"/>
        <v>45663</v>
      </c>
      <c r="J398" s="1" t="str">
        <f t="shared" si="20"/>
        <v>2025-01</v>
      </c>
    </row>
    <row r="399" spans="1:10" x14ac:dyDescent="0.2">
      <c r="A399" s="2">
        <v>397</v>
      </c>
      <c r="B399" s="1" t="s">
        <v>14</v>
      </c>
      <c r="C399" s="1">
        <v>39002398123</v>
      </c>
      <c r="D399" s="1" t="s">
        <v>54</v>
      </c>
      <c r="E399" s="1" t="s">
        <v>55</v>
      </c>
      <c r="F399" s="1">
        <v>2</v>
      </c>
      <c r="G399" s="1" t="s">
        <v>100</v>
      </c>
      <c r="H399" s="1" t="str">
        <f t="shared" si="18"/>
        <v>SPICY MEATBALL</v>
      </c>
      <c r="I399" s="9">
        <f t="shared" si="19"/>
        <v>45694</v>
      </c>
      <c r="J399" s="1" t="str">
        <f t="shared" si="20"/>
        <v>2025-02</v>
      </c>
    </row>
    <row r="400" spans="1:10" x14ac:dyDescent="0.2">
      <c r="A400" s="2">
        <v>398</v>
      </c>
      <c r="B400" s="1" t="s">
        <v>8</v>
      </c>
      <c r="C400" s="1">
        <v>39000342589</v>
      </c>
      <c r="D400" s="1" t="s">
        <v>66</v>
      </c>
      <c r="E400" s="1" t="s">
        <v>67</v>
      </c>
      <c r="F400" s="1">
        <v>1</v>
      </c>
      <c r="G400" s="1" t="s">
        <v>87</v>
      </c>
      <c r="H400" s="1" t="str">
        <f t="shared" si="18"/>
        <v>DIET COOKIE</v>
      </c>
      <c r="I400" s="9">
        <f t="shared" si="19"/>
        <v>45706</v>
      </c>
      <c r="J400" s="1" t="str">
        <f t="shared" si="20"/>
        <v>2025-02</v>
      </c>
    </row>
    <row r="401" spans="1:10" x14ac:dyDescent="0.2">
      <c r="A401" s="2">
        <v>399</v>
      </c>
      <c r="B401" s="1" t="s">
        <v>16</v>
      </c>
      <c r="C401" s="1">
        <v>39000958997</v>
      </c>
      <c r="D401" s="1" t="s">
        <v>58</v>
      </c>
      <c r="E401" s="1" t="s">
        <v>59</v>
      </c>
      <c r="F401" s="1">
        <v>1</v>
      </c>
      <c r="G401" s="1" t="s">
        <v>115</v>
      </c>
      <c r="H401" s="1" t="str">
        <f t="shared" si="18"/>
        <v>BLUEBERRY SMOOTHIE</v>
      </c>
      <c r="I401" s="9">
        <f t="shared" si="19"/>
        <v>45663</v>
      </c>
      <c r="J401" s="1" t="str">
        <f t="shared" si="20"/>
        <v>2025-01</v>
      </c>
    </row>
    <row r="402" spans="1:10" x14ac:dyDescent="0.2">
      <c r="A402" s="2">
        <v>400</v>
      </c>
      <c r="B402" s="1" t="s">
        <v>27</v>
      </c>
      <c r="C402" s="1">
        <v>39001519609</v>
      </c>
      <c r="D402" s="1" t="s">
        <v>70</v>
      </c>
      <c r="E402" s="1" t="s">
        <v>71</v>
      </c>
      <c r="F402" s="1">
        <v>2</v>
      </c>
      <c r="G402" s="1" t="s">
        <v>83</v>
      </c>
      <c r="H402" s="1" t="str">
        <f t="shared" si="18"/>
        <v>SPICY MEATBALL</v>
      </c>
      <c r="I402" s="9">
        <f t="shared" si="19"/>
        <v>45709</v>
      </c>
      <c r="J402" s="1" t="str">
        <f t="shared" si="20"/>
        <v>2025-02</v>
      </c>
    </row>
    <row r="403" spans="1:10" x14ac:dyDescent="0.2">
      <c r="A403" s="2">
        <v>401</v>
      </c>
      <c r="B403" s="1" t="s">
        <v>46</v>
      </c>
      <c r="C403" s="1">
        <v>39001120119</v>
      </c>
      <c r="D403" s="1" t="s">
        <v>76</v>
      </c>
      <c r="E403" s="1" t="s">
        <v>77</v>
      </c>
      <c r="F403" s="1">
        <v>1</v>
      </c>
      <c r="G403" s="1" t="s">
        <v>149</v>
      </c>
      <c r="H403" s="1" t="str">
        <f t="shared" si="18"/>
        <v>SF KETCHUP</v>
      </c>
      <c r="I403" s="9">
        <f t="shared" si="19"/>
        <v>45701</v>
      </c>
      <c r="J403" s="1" t="str">
        <f t="shared" si="20"/>
        <v>2025-02</v>
      </c>
    </row>
    <row r="404" spans="1:10" x14ac:dyDescent="0.2">
      <c r="A404" s="2">
        <v>402</v>
      </c>
      <c r="B404" s="1" t="s">
        <v>15</v>
      </c>
      <c r="C404" s="1">
        <v>39000221416</v>
      </c>
      <c r="D404" s="1" t="s">
        <v>60</v>
      </c>
      <c r="E404" s="1" t="s">
        <v>61</v>
      </c>
      <c r="F404" s="1">
        <v>2</v>
      </c>
      <c r="G404" s="1" t="s">
        <v>88</v>
      </c>
      <c r="H404" s="1" t="str">
        <f t="shared" si="18"/>
        <v>SPICY MEATBALL</v>
      </c>
      <c r="I404" s="9">
        <f t="shared" si="19"/>
        <v>45713</v>
      </c>
      <c r="J404" s="1" t="str">
        <f t="shared" si="20"/>
        <v>2025-02</v>
      </c>
    </row>
    <row r="405" spans="1:10" x14ac:dyDescent="0.2">
      <c r="A405" s="2">
        <v>403</v>
      </c>
      <c r="B405" s="1" t="s">
        <v>37</v>
      </c>
      <c r="C405" s="1">
        <v>39001550913</v>
      </c>
      <c r="D405" s="1" t="s">
        <v>72</v>
      </c>
      <c r="E405" s="1" t="s">
        <v>73</v>
      </c>
      <c r="F405" s="1">
        <v>1</v>
      </c>
      <c r="G405" s="1" t="s">
        <v>120</v>
      </c>
      <c r="H405" s="1" t="str">
        <f t="shared" si="18"/>
        <v>DIET COOKIE</v>
      </c>
      <c r="I405" s="9">
        <f t="shared" si="19"/>
        <v>45723</v>
      </c>
      <c r="J405" s="1" t="str">
        <f t="shared" si="20"/>
        <v>2025-03</v>
      </c>
    </row>
    <row r="406" spans="1:10" x14ac:dyDescent="0.2">
      <c r="A406" s="2">
        <v>404</v>
      </c>
      <c r="B406" s="1" t="s">
        <v>37</v>
      </c>
      <c r="C406" s="1">
        <v>39001726114</v>
      </c>
      <c r="D406" s="1" t="s">
        <v>70</v>
      </c>
      <c r="E406" s="1" t="s">
        <v>71</v>
      </c>
      <c r="F406" s="1">
        <v>1</v>
      </c>
      <c r="G406" s="1" t="s">
        <v>103</v>
      </c>
      <c r="H406" s="1" t="str">
        <f t="shared" si="18"/>
        <v>COCONUT MILK</v>
      </c>
      <c r="I406" s="9">
        <f t="shared" si="19"/>
        <v>45723</v>
      </c>
      <c r="J406" s="1" t="str">
        <f t="shared" si="20"/>
        <v>2025-03</v>
      </c>
    </row>
    <row r="407" spans="1:10" x14ac:dyDescent="0.2">
      <c r="A407" s="2">
        <v>405</v>
      </c>
      <c r="B407" s="1" t="s">
        <v>10</v>
      </c>
      <c r="C407" s="1">
        <v>39000221533</v>
      </c>
      <c r="D407" s="1" t="s">
        <v>60</v>
      </c>
      <c r="E407" s="1" t="s">
        <v>61</v>
      </c>
      <c r="F407" s="1">
        <v>1</v>
      </c>
      <c r="G407" s="1" t="s">
        <v>123</v>
      </c>
      <c r="H407" s="1" t="str">
        <f t="shared" si="18"/>
        <v>ICE CREAM</v>
      </c>
      <c r="I407" s="9">
        <f t="shared" si="19"/>
        <v>45679</v>
      </c>
      <c r="J407" s="1" t="str">
        <f t="shared" si="20"/>
        <v>2025-01</v>
      </c>
    </row>
    <row r="408" spans="1:10" x14ac:dyDescent="0.2">
      <c r="A408" s="2">
        <v>406</v>
      </c>
      <c r="B408" s="1" t="s">
        <v>34</v>
      </c>
      <c r="C408" s="1">
        <v>39000666848</v>
      </c>
      <c r="D408" s="1" t="s">
        <v>68</v>
      </c>
      <c r="E408" s="1" t="s">
        <v>68</v>
      </c>
      <c r="F408" s="1">
        <v>1</v>
      </c>
      <c r="G408" s="1" t="s">
        <v>116</v>
      </c>
      <c r="H408" s="1" t="str">
        <f t="shared" si="18"/>
        <v>SPICY MEATBALL</v>
      </c>
      <c r="I408" s="9">
        <f t="shared" si="19"/>
        <v>45698</v>
      </c>
      <c r="J408" s="1" t="str">
        <f t="shared" si="20"/>
        <v>2025-02</v>
      </c>
    </row>
    <row r="409" spans="1:10" x14ac:dyDescent="0.2">
      <c r="A409" s="2">
        <v>407</v>
      </c>
      <c r="B409" s="1" t="s">
        <v>34</v>
      </c>
      <c r="C409" s="1">
        <v>39001689285</v>
      </c>
      <c r="D409" s="1" t="s">
        <v>64</v>
      </c>
      <c r="E409" s="1" t="s">
        <v>65</v>
      </c>
      <c r="F409" s="1">
        <v>2</v>
      </c>
      <c r="G409" s="1" t="s">
        <v>90</v>
      </c>
      <c r="H409" s="1" t="str">
        <f t="shared" si="18"/>
        <v>SPICY MEATBALL</v>
      </c>
      <c r="I409" s="9">
        <f t="shared" si="19"/>
        <v>45698</v>
      </c>
      <c r="J409" s="1" t="str">
        <f t="shared" si="20"/>
        <v>2025-02</v>
      </c>
    </row>
    <row r="410" spans="1:10" x14ac:dyDescent="0.2">
      <c r="A410" s="2">
        <v>408</v>
      </c>
      <c r="B410" s="1" t="s">
        <v>12</v>
      </c>
      <c r="C410" s="1">
        <v>39000955435</v>
      </c>
      <c r="D410" s="1" t="s">
        <v>58</v>
      </c>
      <c r="E410" s="1" t="s">
        <v>59</v>
      </c>
      <c r="F410" s="1">
        <v>1</v>
      </c>
      <c r="G410" s="1" t="s">
        <v>83</v>
      </c>
      <c r="H410" s="1" t="str">
        <f t="shared" si="18"/>
        <v>SPICY MEATBALL</v>
      </c>
      <c r="I410" s="9">
        <f t="shared" si="19"/>
        <v>45659</v>
      </c>
      <c r="J410" s="1" t="str">
        <f t="shared" si="20"/>
        <v>2025-01</v>
      </c>
    </row>
    <row r="411" spans="1:10" x14ac:dyDescent="0.2">
      <c r="A411" s="2">
        <v>409</v>
      </c>
      <c r="B411" s="1" t="s">
        <v>19</v>
      </c>
      <c r="C411" s="1">
        <v>39000592774</v>
      </c>
      <c r="D411" s="1" t="s">
        <v>54</v>
      </c>
      <c r="E411" s="1" t="s">
        <v>55</v>
      </c>
      <c r="F411" s="1">
        <v>1</v>
      </c>
      <c r="G411" s="1" t="s">
        <v>100</v>
      </c>
      <c r="H411" s="1" t="str">
        <f t="shared" si="18"/>
        <v>SPICY MEATBALL</v>
      </c>
      <c r="I411" s="9">
        <f t="shared" si="19"/>
        <v>45722</v>
      </c>
      <c r="J411" s="1" t="str">
        <f t="shared" si="20"/>
        <v>2025-03</v>
      </c>
    </row>
    <row r="412" spans="1:10" x14ac:dyDescent="0.2">
      <c r="A412" s="2">
        <v>410</v>
      </c>
      <c r="B412" s="1" t="s">
        <v>14</v>
      </c>
      <c r="C412" s="1">
        <v>39000206089</v>
      </c>
      <c r="D412" s="1" t="s">
        <v>60</v>
      </c>
      <c r="E412" s="1" t="s">
        <v>61</v>
      </c>
      <c r="F412" s="1">
        <v>1</v>
      </c>
      <c r="G412" s="1" t="s">
        <v>89</v>
      </c>
      <c r="H412" s="1" t="str">
        <f t="shared" si="18"/>
        <v>WASABI BANANA PUDDING</v>
      </c>
      <c r="I412" s="9">
        <f t="shared" si="19"/>
        <v>45694</v>
      </c>
      <c r="J412" s="1" t="str">
        <f t="shared" si="20"/>
        <v>2025-02</v>
      </c>
    </row>
    <row r="413" spans="1:10" x14ac:dyDescent="0.2">
      <c r="A413" s="2">
        <v>411</v>
      </c>
      <c r="B413" s="1" t="s">
        <v>46</v>
      </c>
      <c r="C413" s="1">
        <v>39000587756</v>
      </c>
      <c r="D413" s="1" t="s">
        <v>54</v>
      </c>
      <c r="E413" s="1" t="s">
        <v>55</v>
      </c>
      <c r="F413" s="1">
        <v>2</v>
      </c>
      <c r="G413" s="1" t="s">
        <v>83</v>
      </c>
      <c r="H413" s="1" t="str">
        <f t="shared" si="18"/>
        <v>SPICY MEATBALL</v>
      </c>
      <c r="I413" s="9">
        <f t="shared" si="19"/>
        <v>45701</v>
      </c>
      <c r="J413" s="1" t="str">
        <f t="shared" si="20"/>
        <v>2025-02</v>
      </c>
    </row>
    <row r="414" spans="1:10" x14ac:dyDescent="0.2">
      <c r="A414" s="2">
        <v>412</v>
      </c>
      <c r="B414" s="1" t="s">
        <v>43</v>
      </c>
      <c r="C414" s="1">
        <v>39000338598</v>
      </c>
      <c r="D414" s="1" t="s">
        <v>66</v>
      </c>
      <c r="E414" s="1" t="s">
        <v>67</v>
      </c>
      <c r="F414" s="1">
        <v>2</v>
      </c>
      <c r="G414" s="1" t="s">
        <v>115</v>
      </c>
      <c r="H414" s="1" t="str">
        <f t="shared" si="18"/>
        <v>BLUEBERRY SMOOTHIE</v>
      </c>
      <c r="I414" s="9">
        <f t="shared" si="19"/>
        <v>45685</v>
      </c>
      <c r="J414" s="1" t="str">
        <f t="shared" si="20"/>
        <v>2025-01</v>
      </c>
    </row>
    <row r="415" spans="1:10" x14ac:dyDescent="0.2">
      <c r="A415" s="2">
        <v>413</v>
      </c>
      <c r="B415" s="1" t="s">
        <v>17</v>
      </c>
      <c r="C415" s="1">
        <v>39001712828</v>
      </c>
      <c r="D415" s="1" t="s">
        <v>64</v>
      </c>
      <c r="E415" s="1" t="s">
        <v>65</v>
      </c>
      <c r="F415" s="1">
        <v>1</v>
      </c>
      <c r="G415" s="1" t="s">
        <v>116</v>
      </c>
      <c r="H415" s="1" t="str">
        <f t="shared" si="18"/>
        <v>SPICY MEATBALL</v>
      </c>
      <c r="I415" s="9">
        <f t="shared" si="19"/>
        <v>45708</v>
      </c>
      <c r="J415" s="1" t="str">
        <f t="shared" si="20"/>
        <v>2025-02</v>
      </c>
    </row>
    <row r="416" spans="1:10" x14ac:dyDescent="0.2">
      <c r="A416" s="2">
        <v>414</v>
      </c>
      <c r="B416" s="1" t="s">
        <v>44</v>
      </c>
      <c r="C416" s="1">
        <v>39000284934</v>
      </c>
      <c r="D416" s="1" t="s">
        <v>74</v>
      </c>
      <c r="E416" s="1" t="s">
        <v>63</v>
      </c>
      <c r="F416" s="1">
        <v>1</v>
      </c>
      <c r="G416" s="1" t="s">
        <v>104</v>
      </c>
      <c r="H416" s="1" t="str">
        <f t="shared" si="18"/>
        <v>SF STRAWBERRY MILKSHAKE</v>
      </c>
      <c r="I416" s="9">
        <f t="shared" si="19"/>
        <v>45666</v>
      </c>
      <c r="J416" s="1" t="str">
        <f t="shared" si="20"/>
        <v>2025-01</v>
      </c>
    </row>
    <row r="417" spans="1:10" x14ac:dyDescent="0.2">
      <c r="A417" s="2">
        <v>415</v>
      </c>
      <c r="B417" s="1" t="s">
        <v>21</v>
      </c>
      <c r="C417" s="1">
        <v>39002660879</v>
      </c>
      <c r="D417" s="1" t="s">
        <v>64</v>
      </c>
      <c r="E417" s="1" t="s">
        <v>65</v>
      </c>
      <c r="F417" s="1">
        <v>1</v>
      </c>
      <c r="G417" s="1" t="s">
        <v>111</v>
      </c>
      <c r="H417" s="1" t="str">
        <f t="shared" si="18"/>
        <v>MAPLE SYRUP</v>
      </c>
      <c r="I417" s="9">
        <f t="shared" si="19"/>
        <v>45699</v>
      </c>
      <c r="J417" s="1" t="str">
        <f t="shared" si="20"/>
        <v>2025-02</v>
      </c>
    </row>
    <row r="418" spans="1:10" x14ac:dyDescent="0.2">
      <c r="A418" s="2">
        <v>416</v>
      </c>
      <c r="B418" s="1" t="s">
        <v>27</v>
      </c>
      <c r="C418" s="1">
        <v>39000340678</v>
      </c>
      <c r="D418" s="1" t="s">
        <v>66</v>
      </c>
      <c r="E418" s="1" t="s">
        <v>67</v>
      </c>
      <c r="F418" s="1">
        <v>1</v>
      </c>
      <c r="G418" s="1" t="s">
        <v>88</v>
      </c>
      <c r="H418" s="1" t="str">
        <f t="shared" si="18"/>
        <v>SPICY MEATBALL</v>
      </c>
      <c r="I418" s="9">
        <f t="shared" si="19"/>
        <v>45709</v>
      </c>
      <c r="J418" s="1" t="str">
        <f t="shared" si="20"/>
        <v>2025-02</v>
      </c>
    </row>
    <row r="419" spans="1:10" x14ac:dyDescent="0.2">
      <c r="A419" s="2">
        <v>417</v>
      </c>
      <c r="B419" s="1" t="s">
        <v>35</v>
      </c>
      <c r="C419" s="1">
        <v>39000659789</v>
      </c>
      <c r="D419" s="1" t="s">
        <v>68</v>
      </c>
      <c r="E419" s="1" t="s">
        <v>68</v>
      </c>
      <c r="F419" s="1">
        <v>2</v>
      </c>
      <c r="G419" s="1" t="s">
        <v>86</v>
      </c>
      <c r="H419" s="1" t="str">
        <f t="shared" si="18"/>
        <v>DIET COOKIE</v>
      </c>
      <c r="I419" s="9">
        <f t="shared" si="19"/>
        <v>45693</v>
      </c>
      <c r="J419" s="1" t="str">
        <f t="shared" si="20"/>
        <v>2025-02</v>
      </c>
    </row>
    <row r="420" spans="1:10" x14ac:dyDescent="0.2">
      <c r="A420" s="2">
        <v>418</v>
      </c>
      <c r="B420" s="1" t="s">
        <v>39</v>
      </c>
      <c r="C420" s="1">
        <v>39001700959</v>
      </c>
      <c r="D420" s="1" t="s">
        <v>64</v>
      </c>
      <c r="E420" s="1" t="s">
        <v>65</v>
      </c>
      <c r="F420" s="1">
        <v>1</v>
      </c>
      <c r="G420" s="1" t="s">
        <v>108</v>
      </c>
      <c r="H420" s="1" t="str">
        <f t="shared" si="18"/>
        <v>SUSHI ROLL</v>
      </c>
      <c r="I420" s="9">
        <f t="shared" si="19"/>
        <v>45684</v>
      </c>
      <c r="J420" s="1" t="str">
        <f t="shared" si="20"/>
        <v>2025-01</v>
      </c>
    </row>
    <row r="421" spans="1:10" x14ac:dyDescent="0.2">
      <c r="A421" s="2">
        <v>419</v>
      </c>
      <c r="B421" s="1" t="s">
        <v>9</v>
      </c>
      <c r="C421" s="1">
        <v>39000222352</v>
      </c>
      <c r="D421" s="1" t="s">
        <v>60</v>
      </c>
      <c r="E421" s="1" t="s">
        <v>61</v>
      </c>
      <c r="F421" s="1">
        <v>1</v>
      </c>
      <c r="G421" s="1" t="s">
        <v>87</v>
      </c>
      <c r="H421" s="1" t="str">
        <f t="shared" si="18"/>
        <v>DIET COOKIE</v>
      </c>
      <c r="I421" s="9">
        <f t="shared" si="19"/>
        <v>45687</v>
      </c>
      <c r="J421" s="1" t="str">
        <f t="shared" si="20"/>
        <v>2025-01</v>
      </c>
    </row>
    <row r="422" spans="1:10" x14ac:dyDescent="0.2">
      <c r="A422" s="2">
        <v>420</v>
      </c>
      <c r="B422" s="1" t="s">
        <v>5</v>
      </c>
      <c r="C422" s="1">
        <v>39000344942</v>
      </c>
      <c r="D422" s="1" t="s">
        <v>66</v>
      </c>
      <c r="E422" s="1" t="s">
        <v>67</v>
      </c>
      <c r="F422" s="1">
        <v>1</v>
      </c>
      <c r="G422" s="1" t="s">
        <v>111</v>
      </c>
      <c r="H422" s="1" t="str">
        <f t="shared" si="18"/>
        <v>MAPLE SYRUP</v>
      </c>
      <c r="I422" s="9">
        <f t="shared" si="19"/>
        <v>45674</v>
      </c>
      <c r="J422" s="1" t="str">
        <f t="shared" si="20"/>
        <v>2025-01</v>
      </c>
    </row>
    <row r="423" spans="1:10" x14ac:dyDescent="0.2">
      <c r="A423" s="2">
        <v>421</v>
      </c>
      <c r="B423" s="1" t="s">
        <v>49</v>
      </c>
      <c r="C423" s="1">
        <v>39001467791</v>
      </c>
      <c r="D423" s="1" t="s">
        <v>70</v>
      </c>
      <c r="E423" s="1" t="s">
        <v>71</v>
      </c>
      <c r="F423" s="1">
        <v>4</v>
      </c>
      <c r="G423" s="1" t="s">
        <v>88</v>
      </c>
      <c r="H423" s="1" t="str">
        <f t="shared" si="18"/>
        <v>SPICY MEATBALL</v>
      </c>
      <c r="I423" s="9">
        <f t="shared" si="19"/>
        <v>45681</v>
      </c>
      <c r="J423" s="1" t="str">
        <f t="shared" si="20"/>
        <v>2025-01</v>
      </c>
    </row>
    <row r="424" spans="1:10" x14ac:dyDescent="0.2">
      <c r="A424" s="2">
        <v>422</v>
      </c>
      <c r="B424" s="1" t="s">
        <v>6</v>
      </c>
      <c r="C424" s="1">
        <v>39000337155</v>
      </c>
      <c r="D424" s="1" t="s">
        <v>66</v>
      </c>
      <c r="E424" s="1" t="s">
        <v>67</v>
      </c>
      <c r="F424" s="1">
        <v>1</v>
      </c>
      <c r="G424" s="1" t="s">
        <v>117</v>
      </c>
      <c r="H424" s="1" t="str">
        <f t="shared" si="18"/>
        <v>STRAWBERRY MILKSHAKE</v>
      </c>
      <c r="I424" s="9">
        <f t="shared" si="19"/>
        <v>45720</v>
      </c>
      <c r="J424" s="1" t="str">
        <f t="shared" si="20"/>
        <v>2025-03</v>
      </c>
    </row>
    <row r="425" spans="1:10" x14ac:dyDescent="0.2">
      <c r="A425" s="2">
        <v>423</v>
      </c>
      <c r="B425" s="1" t="s">
        <v>31</v>
      </c>
      <c r="C425" s="1">
        <v>39000341328</v>
      </c>
      <c r="D425" s="1" t="s">
        <v>66</v>
      </c>
      <c r="E425" s="1" t="s">
        <v>67</v>
      </c>
      <c r="F425" s="1">
        <v>1</v>
      </c>
      <c r="G425" s="1" t="s">
        <v>125</v>
      </c>
      <c r="H425" s="1" t="str">
        <f t="shared" si="18"/>
        <v>MAPLE SYRUP</v>
      </c>
      <c r="I425" s="9">
        <f t="shared" si="19"/>
        <v>45714</v>
      </c>
      <c r="J425" s="1" t="str">
        <f t="shared" si="20"/>
        <v>2025-02</v>
      </c>
    </row>
    <row r="426" spans="1:10" x14ac:dyDescent="0.2">
      <c r="A426" s="2">
        <v>424</v>
      </c>
      <c r="B426" s="1" t="s">
        <v>36</v>
      </c>
      <c r="C426" s="1">
        <v>39001519661</v>
      </c>
      <c r="D426" s="1" t="s">
        <v>70</v>
      </c>
      <c r="E426" s="1" t="s">
        <v>71</v>
      </c>
      <c r="F426" s="1">
        <v>1</v>
      </c>
      <c r="G426" s="1" t="s">
        <v>115</v>
      </c>
      <c r="H426" s="1" t="str">
        <f t="shared" si="18"/>
        <v>BLUEBERRY SMOOTHIE</v>
      </c>
      <c r="I426" s="9">
        <f t="shared" si="19"/>
        <v>45680</v>
      </c>
      <c r="J426" s="1" t="str">
        <f t="shared" si="20"/>
        <v>2025-01</v>
      </c>
    </row>
    <row r="427" spans="1:10" x14ac:dyDescent="0.2">
      <c r="A427" s="2">
        <v>425</v>
      </c>
      <c r="B427" s="1" t="s">
        <v>4</v>
      </c>
      <c r="C427" s="1">
        <v>39000956072</v>
      </c>
      <c r="D427" s="1" t="s">
        <v>58</v>
      </c>
      <c r="E427" s="1" t="s">
        <v>59</v>
      </c>
      <c r="F427" s="1">
        <v>1</v>
      </c>
      <c r="G427" s="1" t="s">
        <v>86</v>
      </c>
      <c r="H427" s="1" t="str">
        <f t="shared" si="18"/>
        <v>DIET COOKIE</v>
      </c>
      <c r="I427" s="9">
        <f t="shared" si="19"/>
        <v>45686</v>
      </c>
      <c r="J427" s="1" t="str">
        <f t="shared" si="20"/>
        <v>2025-01</v>
      </c>
    </row>
    <row r="428" spans="1:10" x14ac:dyDescent="0.2">
      <c r="A428" s="2">
        <v>426</v>
      </c>
      <c r="B428" s="1" t="s">
        <v>15</v>
      </c>
      <c r="C428" s="1">
        <v>39001585168</v>
      </c>
      <c r="D428" s="1" t="s">
        <v>70</v>
      </c>
      <c r="E428" s="1" t="s">
        <v>71</v>
      </c>
      <c r="F428" s="1">
        <v>2</v>
      </c>
      <c r="G428" s="1" t="s">
        <v>83</v>
      </c>
      <c r="H428" s="1" t="str">
        <f t="shared" si="18"/>
        <v>SPICY MEATBALL</v>
      </c>
      <c r="I428" s="9">
        <f t="shared" si="19"/>
        <v>45713</v>
      </c>
      <c r="J428" s="1" t="str">
        <f t="shared" si="20"/>
        <v>2025-02</v>
      </c>
    </row>
    <row r="429" spans="1:10" x14ac:dyDescent="0.2">
      <c r="A429" s="2">
        <v>427</v>
      </c>
      <c r="B429" s="1" t="s">
        <v>31</v>
      </c>
      <c r="C429" s="1">
        <v>39000586001</v>
      </c>
      <c r="D429" s="1" t="s">
        <v>54</v>
      </c>
      <c r="E429" s="1" t="s">
        <v>55</v>
      </c>
      <c r="F429" s="1">
        <v>1</v>
      </c>
      <c r="G429" s="1" t="s">
        <v>92</v>
      </c>
      <c r="H429" s="1" t="str">
        <f t="shared" si="18"/>
        <v>DIET COOKIE</v>
      </c>
      <c r="I429" s="9">
        <f t="shared" si="19"/>
        <v>45714</v>
      </c>
      <c r="J429" s="1" t="str">
        <f t="shared" si="20"/>
        <v>2025-02</v>
      </c>
    </row>
    <row r="430" spans="1:10" x14ac:dyDescent="0.2">
      <c r="A430" s="2">
        <v>428</v>
      </c>
      <c r="B430" s="1" t="s">
        <v>22</v>
      </c>
      <c r="C430" s="1">
        <v>39001772030</v>
      </c>
      <c r="D430" s="1" t="s">
        <v>69</v>
      </c>
      <c r="E430" s="1" t="s">
        <v>61</v>
      </c>
      <c r="F430" s="1">
        <v>2</v>
      </c>
      <c r="G430" s="1" t="s">
        <v>139</v>
      </c>
      <c r="H430" s="1" t="str">
        <f t="shared" si="18"/>
        <v>LEMONADE</v>
      </c>
      <c r="I430" s="9">
        <f t="shared" si="19"/>
        <v>45721</v>
      </c>
      <c r="J430" s="1" t="str">
        <f t="shared" si="20"/>
        <v>2025-03</v>
      </c>
    </row>
    <row r="431" spans="1:10" x14ac:dyDescent="0.2">
      <c r="A431" s="2">
        <v>429</v>
      </c>
      <c r="B431" s="1" t="s">
        <v>8</v>
      </c>
      <c r="C431" s="1">
        <v>39000963742</v>
      </c>
      <c r="D431" s="1" t="s">
        <v>58</v>
      </c>
      <c r="E431" s="1" t="s">
        <v>59</v>
      </c>
      <c r="F431" s="1">
        <v>1</v>
      </c>
      <c r="G431" s="1" t="s">
        <v>79</v>
      </c>
      <c r="H431" s="1" t="str">
        <f t="shared" si="18"/>
        <v>DIET SODA</v>
      </c>
      <c r="I431" s="9">
        <f t="shared" si="19"/>
        <v>45706</v>
      </c>
      <c r="J431" s="1" t="str">
        <f t="shared" si="20"/>
        <v>2025-02</v>
      </c>
    </row>
    <row r="432" spans="1:10" x14ac:dyDescent="0.2">
      <c r="A432" s="2">
        <v>430</v>
      </c>
      <c r="B432" s="1" t="s">
        <v>45</v>
      </c>
      <c r="C432" s="1">
        <v>39002261480</v>
      </c>
      <c r="D432" s="1" t="s">
        <v>56</v>
      </c>
      <c r="E432" s="1" t="s">
        <v>57</v>
      </c>
      <c r="F432" s="1">
        <v>1</v>
      </c>
      <c r="G432" s="1" t="s">
        <v>116</v>
      </c>
      <c r="H432" s="1" t="str">
        <f t="shared" si="18"/>
        <v>SPICY MEATBALL</v>
      </c>
      <c r="I432" s="9">
        <f t="shared" si="19"/>
        <v>45700</v>
      </c>
      <c r="J432" s="1" t="str">
        <f t="shared" si="20"/>
        <v>2025-02</v>
      </c>
    </row>
    <row r="433" spans="1:10" x14ac:dyDescent="0.2">
      <c r="A433" s="2">
        <v>431</v>
      </c>
      <c r="B433" s="1" t="s">
        <v>34</v>
      </c>
      <c r="C433" s="1">
        <v>39000334698</v>
      </c>
      <c r="D433" s="1" t="s">
        <v>66</v>
      </c>
      <c r="E433" s="1" t="s">
        <v>67</v>
      </c>
      <c r="F433" s="1">
        <v>2</v>
      </c>
      <c r="G433" s="1" t="s">
        <v>83</v>
      </c>
      <c r="H433" s="1" t="str">
        <f t="shared" si="18"/>
        <v>SPICY MEATBALL</v>
      </c>
      <c r="I433" s="9">
        <f t="shared" si="19"/>
        <v>45698</v>
      </c>
      <c r="J433" s="1" t="str">
        <f t="shared" si="20"/>
        <v>2025-02</v>
      </c>
    </row>
    <row r="434" spans="1:10" x14ac:dyDescent="0.2">
      <c r="A434" s="2">
        <v>432</v>
      </c>
      <c r="B434" s="1" t="s">
        <v>21</v>
      </c>
      <c r="C434" s="1">
        <v>39000264589</v>
      </c>
      <c r="D434" s="1" t="s">
        <v>62</v>
      </c>
      <c r="E434" s="1" t="s">
        <v>63</v>
      </c>
      <c r="F434" s="1">
        <v>1</v>
      </c>
      <c r="G434" s="1" t="s">
        <v>51</v>
      </c>
      <c r="H434" s="1" t="str">
        <f t="shared" si="18"/>
        <v>SF VAR PK</v>
      </c>
      <c r="I434" s="9">
        <f t="shared" si="19"/>
        <v>45699</v>
      </c>
      <c r="J434" s="1" t="str">
        <f t="shared" si="20"/>
        <v>2025-02</v>
      </c>
    </row>
    <row r="435" spans="1:10" x14ac:dyDescent="0.2">
      <c r="A435" s="2">
        <v>433</v>
      </c>
      <c r="B435" s="1" t="s">
        <v>12</v>
      </c>
      <c r="C435" s="1">
        <v>39001520064</v>
      </c>
      <c r="D435" s="1" t="s">
        <v>70</v>
      </c>
      <c r="E435" s="1" t="s">
        <v>71</v>
      </c>
      <c r="F435" s="1">
        <v>1</v>
      </c>
      <c r="G435" s="1" t="s">
        <v>148</v>
      </c>
      <c r="H435" s="1" t="str">
        <f t="shared" si="18"/>
        <v>SUSHI ROLL</v>
      </c>
      <c r="I435" s="9">
        <f t="shared" si="19"/>
        <v>45659</v>
      </c>
      <c r="J435" s="1" t="str">
        <f t="shared" si="20"/>
        <v>2025-01</v>
      </c>
    </row>
    <row r="436" spans="1:10" x14ac:dyDescent="0.2">
      <c r="A436" s="2">
        <v>434</v>
      </c>
      <c r="B436" s="1" t="s">
        <v>21</v>
      </c>
      <c r="C436" s="1">
        <v>39000599690</v>
      </c>
      <c r="D436" s="1" t="s">
        <v>54</v>
      </c>
      <c r="E436" s="1" t="s">
        <v>55</v>
      </c>
      <c r="F436" s="1">
        <v>-8.3000000000000004E-2</v>
      </c>
      <c r="G436" s="1" t="s">
        <v>122</v>
      </c>
      <c r="H436" s="1" t="str">
        <f t="shared" si="18"/>
        <v>SF KETCHUP</v>
      </c>
      <c r="I436" s="9">
        <f t="shared" si="19"/>
        <v>45699</v>
      </c>
      <c r="J436" s="1" t="str">
        <f t="shared" si="20"/>
        <v>2025-02</v>
      </c>
    </row>
    <row r="437" spans="1:10" x14ac:dyDescent="0.2">
      <c r="A437" s="2">
        <v>435</v>
      </c>
      <c r="B437" s="1" t="s">
        <v>13</v>
      </c>
      <c r="C437" s="1">
        <v>39001488448</v>
      </c>
      <c r="D437" s="1" t="s">
        <v>72</v>
      </c>
      <c r="E437" s="1" t="s">
        <v>73</v>
      </c>
      <c r="F437" s="1">
        <v>2</v>
      </c>
      <c r="G437" s="1" t="s">
        <v>100</v>
      </c>
      <c r="H437" s="1" t="str">
        <f t="shared" si="18"/>
        <v>SPICY MEATBALL</v>
      </c>
      <c r="I437" s="9">
        <f t="shared" si="19"/>
        <v>45664</v>
      </c>
      <c r="J437" s="1" t="str">
        <f t="shared" si="20"/>
        <v>2025-01</v>
      </c>
    </row>
    <row r="438" spans="1:10" x14ac:dyDescent="0.2">
      <c r="A438" s="2">
        <v>436</v>
      </c>
      <c r="B438" s="1" t="s">
        <v>40</v>
      </c>
      <c r="C438" s="1">
        <v>39000341484</v>
      </c>
      <c r="D438" s="1" t="s">
        <v>66</v>
      </c>
      <c r="E438" s="1" t="s">
        <v>67</v>
      </c>
      <c r="F438" s="1">
        <v>1</v>
      </c>
      <c r="G438" s="1" t="s">
        <v>90</v>
      </c>
      <c r="H438" s="1" t="str">
        <f t="shared" si="18"/>
        <v>SPICY MEATBALL</v>
      </c>
      <c r="I438" s="9">
        <f t="shared" si="19"/>
        <v>45670</v>
      </c>
      <c r="J438" s="1" t="str">
        <f t="shared" si="20"/>
        <v>2025-01</v>
      </c>
    </row>
    <row r="439" spans="1:10" x14ac:dyDescent="0.2">
      <c r="A439" s="2">
        <v>437</v>
      </c>
      <c r="B439" s="1" t="s">
        <v>32</v>
      </c>
      <c r="C439" s="1">
        <v>39000269854</v>
      </c>
      <c r="D439" s="1" t="s">
        <v>62</v>
      </c>
      <c r="E439" s="1" t="s">
        <v>63</v>
      </c>
      <c r="F439" s="1">
        <v>1</v>
      </c>
      <c r="G439" s="1" t="s">
        <v>116</v>
      </c>
      <c r="H439" s="1" t="str">
        <f t="shared" si="18"/>
        <v>SPICY MEATBALL</v>
      </c>
      <c r="I439" s="9">
        <f t="shared" si="19"/>
        <v>45695</v>
      </c>
      <c r="J439" s="1" t="str">
        <f t="shared" si="20"/>
        <v>2025-02</v>
      </c>
    </row>
    <row r="440" spans="1:10" x14ac:dyDescent="0.2">
      <c r="A440" s="2">
        <v>438</v>
      </c>
      <c r="B440" s="1" t="s">
        <v>49</v>
      </c>
      <c r="C440" s="1">
        <v>39000201292</v>
      </c>
      <c r="D440" s="1" t="s">
        <v>60</v>
      </c>
      <c r="E440" s="1" t="s">
        <v>61</v>
      </c>
      <c r="F440" s="1">
        <v>1</v>
      </c>
      <c r="G440" s="1" t="s">
        <v>99</v>
      </c>
      <c r="H440" s="1" t="str">
        <f t="shared" si="18"/>
        <v>KETCHUP</v>
      </c>
      <c r="I440" s="9">
        <f t="shared" si="19"/>
        <v>45681</v>
      </c>
      <c r="J440" s="1" t="str">
        <f t="shared" si="20"/>
        <v>2025-01</v>
      </c>
    </row>
    <row r="441" spans="1:10" x14ac:dyDescent="0.2">
      <c r="A441" s="2">
        <v>439</v>
      </c>
      <c r="B441" s="1" t="s">
        <v>6</v>
      </c>
      <c r="C441" s="1">
        <v>39000340769</v>
      </c>
      <c r="D441" s="1" t="s">
        <v>66</v>
      </c>
      <c r="E441" s="1" t="s">
        <v>67</v>
      </c>
      <c r="F441" s="1">
        <v>1</v>
      </c>
      <c r="G441" s="1" t="s">
        <v>83</v>
      </c>
      <c r="H441" s="1" t="str">
        <f t="shared" si="18"/>
        <v>SPICY MEATBALL</v>
      </c>
      <c r="I441" s="9">
        <f t="shared" si="19"/>
        <v>45720</v>
      </c>
      <c r="J441" s="1" t="str">
        <f t="shared" si="20"/>
        <v>2025-03</v>
      </c>
    </row>
    <row r="442" spans="1:10" x14ac:dyDescent="0.2">
      <c r="A442" s="2">
        <v>440</v>
      </c>
      <c r="B442" s="1" t="s">
        <v>10</v>
      </c>
      <c r="C442" s="1">
        <v>39000241059</v>
      </c>
      <c r="D442" s="1" t="s">
        <v>60</v>
      </c>
      <c r="E442" s="1" t="s">
        <v>61</v>
      </c>
      <c r="F442" s="1">
        <v>1</v>
      </c>
      <c r="G442" s="1" t="s">
        <v>78</v>
      </c>
      <c r="H442" s="1" t="str">
        <f t="shared" si="18"/>
        <v>PICKLE JUICE</v>
      </c>
      <c r="I442" s="9">
        <f t="shared" si="19"/>
        <v>45679</v>
      </c>
      <c r="J442" s="1" t="str">
        <f t="shared" si="20"/>
        <v>2025-01</v>
      </c>
    </row>
    <row r="443" spans="1:10" x14ac:dyDescent="0.2">
      <c r="A443" s="2">
        <v>441</v>
      </c>
      <c r="B443" s="1" t="s">
        <v>33</v>
      </c>
      <c r="C443" s="1">
        <v>39000979550</v>
      </c>
      <c r="D443" s="1" t="s">
        <v>58</v>
      </c>
      <c r="E443" s="1" t="s">
        <v>59</v>
      </c>
      <c r="F443" s="1">
        <v>-0.83299999999999996</v>
      </c>
      <c r="G443" s="1" t="s">
        <v>141</v>
      </c>
      <c r="H443" s="1" t="str">
        <f t="shared" si="18"/>
        <v>FLAT SODA</v>
      </c>
      <c r="I443" s="9">
        <f t="shared" si="19"/>
        <v>45672</v>
      </c>
      <c r="J443" s="1" t="str">
        <f t="shared" si="20"/>
        <v>2025-01</v>
      </c>
    </row>
    <row r="444" spans="1:10" x14ac:dyDescent="0.2">
      <c r="A444" s="2">
        <v>442</v>
      </c>
      <c r="B444" s="1" t="s">
        <v>47</v>
      </c>
      <c r="C444" s="1">
        <v>39002768155</v>
      </c>
      <c r="D444" s="1" t="s">
        <v>56</v>
      </c>
      <c r="E444" s="1" t="s">
        <v>57</v>
      </c>
      <c r="F444" s="1">
        <v>2</v>
      </c>
      <c r="G444" s="1" t="s">
        <v>108</v>
      </c>
      <c r="H444" s="1" t="str">
        <f t="shared" si="18"/>
        <v>SUSHI ROLL</v>
      </c>
      <c r="I444" s="9">
        <f t="shared" si="19"/>
        <v>45691</v>
      </c>
      <c r="J444" s="1" t="str">
        <f t="shared" si="20"/>
        <v>2025-02</v>
      </c>
    </row>
    <row r="445" spans="1:10" x14ac:dyDescent="0.2">
      <c r="A445" s="2">
        <v>443</v>
      </c>
      <c r="B445" s="1" t="s">
        <v>20</v>
      </c>
      <c r="C445" s="1">
        <v>39001431612</v>
      </c>
      <c r="D445" s="1" t="s">
        <v>75</v>
      </c>
      <c r="E445" s="1" t="s">
        <v>71</v>
      </c>
      <c r="F445" s="1">
        <v>2</v>
      </c>
      <c r="G445" s="1" t="s">
        <v>116</v>
      </c>
      <c r="H445" s="1" t="str">
        <f t="shared" si="18"/>
        <v>SPICY MEATBALL</v>
      </c>
      <c r="I445" s="9">
        <f t="shared" si="19"/>
        <v>45688</v>
      </c>
      <c r="J445" s="1" t="str">
        <f t="shared" si="20"/>
        <v>2025-01</v>
      </c>
    </row>
    <row r="446" spans="1:10" x14ac:dyDescent="0.2">
      <c r="A446" s="2">
        <v>444</v>
      </c>
      <c r="B446" s="1" t="s">
        <v>6</v>
      </c>
      <c r="C446" s="1">
        <v>39001520116</v>
      </c>
      <c r="D446" s="1" t="s">
        <v>70</v>
      </c>
      <c r="E446" s="1" t="s">
        <v>71</v>
      </c>
      <c r="F446" s="1">
        <v>2</v>
      </c>
      <c r="G446" s="1" t="s">
        <v>117</v>
      </c>
      <c r="H446" s="1" t="str">
        <f t="shared" si="18"/>
        <v>STRAWBERRY MILKSHAKE</v>
      </c>
      <c r="I446" s="9">
        <f t="shared" si="19"/>
        <v>45720</v>
      </c>
      <c r="J446" s="1" t="str">
        <f t="shared" si="20"/>
        <v>2025-03</v>
      </c>
    </row>
    <row r="447" spans="1:10" x14ac:dyDescent="0.2">
      <c r="A447" s="2">
        <v>445</v>
      </c>
      <c r="B447" s="1" t="s">
        <v>33</v>
      </c>
      <c r="C447" s="1">
        <v>39000948818</v>
      </c>
      <c r="D447" s="1" t="s">
        <v>58</v>
      </c>
      <c r="E447" s="1" t="s">
        <v>59</v>
      </c>
      <c r="F447" s="1">
        <v>2</v>
      </c>
      <c r="G447" s="1" t="s">
        <v>115</v>
      </c>
      <c r="H447" s="1" t="str">
        <f t="shared" si="18"/>
        <v>BLUEBERRY SMOOTHIE</v>
      </c>
      <c r="I447" s="9">
        <f t="shared" si="19"/>
        <v>45672</v>
      </c>
      <c r="J447" s="1" t="str">
        <f t="shared" si="20"/>
        <v>2025-01</v>
      </c>
    </row>
    <row r="448" spans="1:10" x14ac:dyDescent="0.2">
      <c r="A448" s="2">
        <v>446</v>
      </c>
      <c r="B448" s="1" t="s">
        <v>38</v>
      </c>
      <c r="C448" s="1">
        <v>39001379001</v>
      </c>
      <c r="D448" s="1" t="s">
        <v>68</v>
      </c>
      <c r="E448" s="1" t="s">
        <v>68</v>
      </c>
      <c r="F448" s="1">
        <v>1</v>
      </c>
      <c r="G448" s="1" t="s">
        <v>78</v>
      </c>
      <c r="H448" s="1" t="str">
        <f t="shared" si="18"/>
        <v>PICKLE JUICE</v>
      </c>
      <c r="I448" s="9">
        <f t="shared" si="19"/>
        <v>45671</v>
      </c>
      <c r="J448" s="1" t="str">
        <f t="shared" si="20"/>
        <v>2025-01</v>
      </c>
    </row>
    <row r="449" spans="1:10" x14ac:dyDescent="0.2">
      <c r="A449" s="2">
        <v>447</v>
      </c>
      <c r="B449" s="1" t="s">
        <v>26</v>
      </c>
      <c r="C449" s="1">
        <v>39000197249</v>
      </c>
      <c r="D449" s="1" t="s">
        <v>60</v>
      </c>
      <c r="E449" s="1" t="s">
        <v>61</v>
      </c>
      <c r="F449" s="1">
        <v>1</v>
      </c>
      <c r="G449" s="1" t="s">
        <v>91</v>
      </c>
      <c r="H449" s="1" t="str">
        <f t="shared" si="18"/>
        <v>DIET</v>
      </c>
      <c r="I449" s="9">
        <f t="shared" si="19"/>
        <v>45707</v>
      </c>
      <c r="J449" s="1" t="str">
        <f t="shared" si="20"/>
        <v>2025-02</v>
      </c>
    </row>
    <row r="450" spans="1:10" x14ac:dyDescent="0.2">
      <c r="A450" s="2">
        <v>448</v>
      </c>
      <c r="B450" s="1" t="s">
        <v>47</v>
      </c>
      <c r="C450" s="1">
        <v>39000198094</v>
      </c>
      <c r="D450" s="1" t="s">
        <v>60</v>
      </c>
      <c r="E450" s="1" t="s">
        <v>61</v>
      </c>
      <c r="F450" s="1">
        <v>4</v>
      </c>
      <c r="G450" s="1" t="s">
        <v>83</v>
      </c>
      <c r="H450" s="1" t="str">
        <f t="shared" si="18"/>
        <v>SPICY MEATBALL</v>
      </c>
      <c r="I450" s="9">
        <f t="shared" si="19"/>
        <v>45691</v>
      </c>
      <c r="J450" s="1" t="str">
        <f t="shared" si="20"/>
        <v>2025-02</v>
      </c>
    </row>
    <row r="451" spans="1:10" x14ac:dyDescent="0.2">
      <c r="A451" s="2">
        <v>449</v>
      </c>
      <c r="B451" s="1" t="s">
        <v>31</v>
      </c>
      <c r="C451" s="1">
        <v>39000586183</v>
      </c>
      <c r="D451" s="1" t="s">
        <v>54</v>
      </c>
      <c r="E451" s="1" t="s">
        <v>55</v>
      </c>
      <c r="F451" s="1">
        <v>1</v>
      </c>
      <c r="G451" s="1" t="s">
        <v>94</v>
      </c>
      <c r="H451" s="1" t="str">
        <f t="shared" ref="H451:H501" si="21">_xlfn.TEXTBEFORE(G451," ",-2)</f>
        <v>DIET COOKIE</v>
      </c>
      <c r="I451" s="9">
        <f t="shared" ref="I451:I501" si="22">DATE(LEFT(B451,4), MID(B451,5,2), RIGHT(B451,2))</f>
        <v>45714</v>
      </c>
      <c r="J451" s="1" t="str">
        <f t="shared" ref="J451:J501" si="23">TEXT(I451,"YYYY-MM")</f>
        <v>2025-02</v>
      </c>
    </row>
    <row r="452" spans="1:10" x14ac:dyDescent="0.2">
      <c r="A452" s="2">
        <v>450</v>
      </c>
      <c r="B452" s="1" t="s">
        <v>7</v>
      </c>
      <c r="C452" s="1">
        <v>39000665067</v>
      </c>
      <c r="D452" s="1" t="s">
        <v>68</v>
      </c>
      <c r="E452" s="1" t="s">
        <v>68</v>
      </c>
      <c r="F452" s="1">
        <v>6</v>
      </c>
      <c r="G452" s="1" t="s">
        <v>118</v>
      </c>
      <c r="H452" s="1" t="str">
        <f t="shared" si="21"/>
        <v>SF STRAWBERRY MILKSHAKE</v>
      </c>
      <c r="I452" s="9">
        <f t="shared" si="22"/>
        <v>45712</v>
      </c>
      <c r="J452" s="1" t="str">
        <f t="shared" si="23"/>
        <v>2025-02</v>
      </c>
    </row>
    <row r="453" spans="1:10" x14ac:dyDescent="0.2">
      <c r="A453" s="2">
        <v>451</v>
      </c>
      <c r="B453" s="1" t="s">
        <v>10</v>
      </c>
      <c r="C453" s="1">
        <v>39000658606</v>
      </c>
      <c r="D453" s="1" t="s">
        <v>68</v>
      </c>
      <c r="E453" s="1" t="s">
        <v>68</v>
      </c>
      <c r="F453" s="1">
        <v>2</v>
      </c>
      <c r="G453" s="1" t="s">
        <v>88</v>
      </c>
      <c r="H453" s="1" t="str">
        <f t="shared" si="21"/>
        <v>SPICY MEATBALL</v>
      </c>
      <c r="I453" s="9">
        <f t="shared" si="22"/>
        <v>45679</v>
      </c>
      <c r="J453" s="1" t="str">
        <f t="shared" si="23"/>
        <v>2025-01</v>
      </c>
    </row>
    <row r="454" spans="1:10" x14ac:dyDescent="0.2">
      <c r="A454" s="2">
        <v>452</v>
      </c>
      <c r="B454" s="1" t="s">
        <v>34</v>
      </c>
      <c r="C454" s="1">
        <v>39000590629</v>
      </c>
      <c r="D454" s="1" t="s">
        <v>54</v>
      </c>
      <c r="E454" s="1" t="s">
        <v>55</v>
      </c>
      <c r="F454" s="1">
        <v>1</v>
      </c>
      <c r="G454" s="1" t="s">
        <v>115</v>
      </c>
      <c r="H454" s="1" t="str">
        <f t="shared" si="21"/>
        <v>BLUEBERRY SMOOTHIE</v>
      </c>
      <c r="I454" s="9">
        <f t="shared" si="22"/>
        <v>45698</v>
      </c>
      <c r="J454" s="1" t="str">
        <f t="shared" si="23"/>
        <v>2025-02</v>
      </c>
    </row>
    <row r="455" spans="1:10" x14ac:dyDescent="0.2">
      <c r="A455" s="2">
        <v>453</v>
      </c>
      <c r="B455" s="1" t="s">
        <v>16</v>
      </c>
      <c r="C455" s="1">
        <v>39000220194</v>
      </c>
      <c r="D455" s="1" t="s">
        <v>60</v>
      </c>
      <c r="E455" s="1" t="s">
        <v>61</v>
      </c>
      <c r="F455" s="1">
        <v>6</v>
      </c>
      <c r="G455" s="1" t="s">
        <v>96</v>
      </c>
      <c r="H455" s="1" t="str">
        <f t="shared" si="21"/>
        <v>SPICY MEATBALL</v>
      </c>
      <c r="I455" s="9">
        <f t="shared" si="22"/>
        <v>45663</v>
      </c>
      <c r="J455" s="1" t="str">
        <f t="shared" si="23"/>
        <v>2025-01</v>
      </c>
    </row>
    <row r="456" spans="1:10" x14ac:dyDescent="0.2">
      <c r="A456" s="2">
        <v>454</v>
      </c>
      <c r="B456" s="1" t="s">
        <v>32</v>
      </c>
      <c r="C456" s="1">
        <v>39001461187</v>
      </c>
      <c r="D456" s="1" t="s">
        <v>70</v>
      </c>
      <c r="E456" s="1" t="s">
        <v>71</v>
      </c>
      <c r="F456" s="1">
        <v>1</v>
      </c>
      <c r="G456" s="1" t="s">
        <v>82</v>
      </c>
      <c r="H456" s="1" t="str">
        <f t="shared" si="21"/>
        <v>BLUEBERRY SMOOTHIE</v>
      </c>
      <c r="I456" s="9">
        <f t="shared" si="22"/>
        <v>45695</v>
      </c>
      <c r="J456" s="1" t="str">
        <f t="shared" si="23"/>
        <v>2025-02</v>
      </c>
    </row>
    <row r="457" spans="1:10" x14ac:dyDescent="0.2">
      <c r="A457" s="2">
        <v>455</v>
      </c>
      <c r="B457" s="1" t="s">
        <v>22</v>
      </c>
      <c r="C457" s="1">
        <v>39000348413</v>
      </c>
      <c r="D457" s="1" t="s">
        <v>66</v>
      </c>
      <c r="E457" s="1" t="s">
        <v>67</v>
      </c>
      <c r="F457" s="1">
        <v>2</v>
      </c>
      <c r="G457" s="1" t="s">
        <v>131</v>
      </c>
      <c r="H457" s="1" t="str">
        <f t="shared" si="21"/>
        <v>STRAWBERRY MILKSHAKE</v>
      </c>
      <c r="I457" s="9">
        <f t="shared" si="22"/>
        <v>45721</v>
      </c>
      <c r="J457" s="1" t="str">
        <f t="shared" si="23"/>
        <v>2025-03</v>
      </c>
    </row>
    <row r="458" spans="1:10" x14ac:dyDescent="0.2">
      <c r="A458" s="2">
        <v>456</v>
      </c>
      <c r="B458" s="1" t="s">
        <v>5</v>
      </c>
      <c r="C458" s="1">
        <v>39000592085</v>
      </c>
      <c r="D458" s="1" t="s">
        <v>54</v>
      </c>
      <c r="E458" s="1" t="s">
        <v>55</v>
      </c>
      <c r="F458" s="1">
        <v>1</v>
      </c>
      <c r="G458" s="1" t="s">
        <v>103</v>
      </c>
      <c r="H458" s="1" t="str">
        <f t="shared" si="21"/>
        <v>COCONUT MILK</v>
      </c>
      <c r="I458" s="9">
        <f t="shared" si="22"/>
        <v>45674</v>
      </c>
      <c r="J458" s="1" t="str">
        <f t="shared" si="23"/>
        <v>2025-01</v>
      </c>
    </row>
    <row r="459" spans="1:10" x14ac:dyDescent="0.2">
      <c r="A459" s="2">
        <v>457</v>
      </c>
      <c r="B459" s="1" t="s">
        <v>28</v>
      </c>
      <c r="C459" s="1">
        <v>39002257359</v>
      </c>
      <c r="D459" s="1" t="s">
        <v>56</v>
      </c>
      <c r="E459" s="1" t="s">
        <v>57</v>
      </c>
      <c r="F459" s="1">
        <v>1</v>
      </c>
      <c r="G459" s="1" t="s">
        <v>88</v>
      </c>
      <c r="H459" s="1" t="str">
        <f t="shared" si="21"/>
        <v>SPICY MEATBALL</v>
      </c>
      <c r="I459" s="9">
        <f t="shared" si="22"/>
        <v>45719</v>
      </c>
      <c r="J459" s="1" t="str">
        <f t="shared" si="23"/>
        <v>2025-03</v>
      </c>
    </row>
    <row r="460" spans="1:10" x14ac:dyDescent="0.2">
      <c r="A460" s="2">
        <v>458</v>
      </c>
      <c r="B460" s="1" t="s">
        <v>11</v>
      </c>
      <c r="C460" s="1">
        <v>39000661219</v>
      </c>
      <c r="D460" s="1" t="s">
        <v>68</v>
      </c>
      <c r="E460" s="1" t="s">
        <v>68</v>
      </c>
      <c r="F460" s="1">
        <v>3</v>
      </c>
      <c r="G460" s="1" t="s">
        <v>100</v>
      </c>
      <c r="H460" s="1" t="str">
        <f t="shared" si="21"/>
        <v>SPICY MEATBALL</v>
      </c>
      <c r="I460" s="9">
        <f t="shared" si="22"/>
        <v>45705</v>
      </c>
      <c r="J460" s="1" t="str">
        <f t="shared" si="23"/>
        <v>2025-02</v>
      </c>
    </row>
    <row r="461" spans="1:10" x14ac:dyDescent="0.2">
      <c r="A461" s="2">
        <v>459</v>
      </c>
      <c r="B461" s="1" t="s">
        <v>8</v>
      </c>
      <c r="C461" s="1">
        <v>39000336648</v>
      </c>
      <c r="D461" s="1" t="s">
        <v>66</v>
      </c>
      <c r="E461" s="1" t="s">
        <v>67</v>
      </c>
      <c r="F461" s="1">
        <v>1</v>
      </c>
      <c r="G461" s="1" t="s">
        <v>150</v>
      </c>
      <c r="H461" s="1" t="str">
        <f t="shared" si="21"/>
        <v>WASABI BANANA PUDDING</v>
      </c>
      <c r="I461" s="9">
        <f t="shared" si="22"/>
        <v>45706</v>
      </c>
      <c r="J461" s="1" t="str">
        <f t="shared" si="23"/>
        <v>2025-02</v>
      </c>
    </row>
    <row r="462" spans="1:10" x14ac:dyDescent="0.2">
      <c r="A462" s="2">
        <v>460</v>
      </c>
      <c r="B462" s="1" t="s">
        <v>46</v>
      </c>
      <c r="C462" s="1">
        <v>39000586898</v>
      </c>
      <c r="D462" s="1" t="s">
        <v>54</v>
      </c>
      <c r="E462" s="1" t="s">
        <v>55</v>
      </c>
      <c r="F462" s="1">
        <v>1</v>
      </c>
      <c r="G462" s="1" t="s">
        <v>83</v>
      </c>
      <c r="H462" s="1" t="str">
        <f t="shared" si="21"/>
        <v>SPICY MEATBALL</v>
      </c>
      <c r="I462" s="9">
        <f t="shared" si="22"/>
        <v>45701</v>
      </c>
      <c r="J462" s="1" t="str">
        <f t="shared" si="23"/>
        <v>2025-02</v>
      </c>
    </row>
    <row r="463" spans="1:10" x14ac:dyDescent="0.2">
      <c r="A463" s="2">
        <v>461</v>
      </c>
      <c r="B463" s="1" t="s">
        <v>35</v>
      </c>
      <c r="C463" s="1">
        <v>39000423449</v>
      </c>
      <c r="D463" s="1" t="s">
        <v>66</v>
      </c>
      <c r="E463" s="1" t="s">
        <v>67</v>
      </c>
      <c r="F463" s="1">
        <v>2</v>
      </c>
      <c r="G463" s="1" t="s">
        <v>124</v>
      </c>
      <c r="H463" s="1" t="str">
        <f t="shared" si="21"/>
        <v>SUSHI ROLL</v>
      </c>
      <c r="I463" s="9">
        <f t="shared" si="22"/>
        <v>45693</v>
      </c>
      <c r="J463" s="1" t="str">
        <f t="shared" si="23"/>
        <v>2025-02</v>
      </c>
    </row>
    <row r="464" spans="1:10" x14ac:dyDescent="0.2">
      <c r="A464" s="2">
        <v>462</v>
      </c>
      <c r="B464" s="1" t="s">
        <v>31</v>
      </c>
      <c r="C464" s="1">
        <v>39001709643</v>
      </c>
      <c r="D464" s="1" t="s">
        <v>64</v>
      </c>
      <c r="E464" s="1" t="s">
        <v>65</v>
      </c>
      <c r="F464" s="1">
        <v>1</v>
      </c>
      <c r="G464" s="1" t="s">
        <v>115</v>
      </c>
      <c r="H464" s="1" t="str">
        <f t="shared" si="21"/>
        <v>BLUEBERRY SMOOTHIE</v>
      </c>
      <c r="I464" s="9">
        <f t="shared" si="22"/>
        <v>45714</v>
      </c>
      <c r="J464" s="1" t="str">
        <f t="shared" si="23"/>
        <v>2025-02</v>
      </c>
    </row>
    <row r="465" spans="1:10" x14ac:dyDescent="0.2">
      <c r="A465" s="2">
        <v>463</v>
      </c>
      <c r="B465" s="1" t="s">
        <v>27</v>
      </c>
      <c r="C465" s="1">
        <v>39000280280</v>
      </c>
      <c r="D465" s="1" t="s">
        <v>74</v>
      </c>
      <c r="E465" s="1" t="s">
        <v>63</v>
      </c>
      <c r="F465" s="1">
        <v>1</v>
      </c>
      <c r="G465" s="1" t="s">
        <v>91</v>
      </c>
      <c r="H465" s="1" t="str">
        <f t="shared" si="21"/>
        <v>DIET</v>
      </c>
      <c r="I465" s="9">
        <f t="shared" si="22"/>
        <v>45709</v>
      </c>
      <c r="J465" s="1" t="str">
        <f t="shared" si="23"/>
        <v>2025-02</v>
      </c>
    </row>
    <row r="466" spans="1:10" x14ac:dyDescent="0.2">
      <c r="A466" s="2">
        <v>464</v>
      </c>
      <c r="B466" s="1" t="s">
        <v>49</v>
      </c>
      <c r="C466" s="1">
        <v>39001431313</v>
      </c>
      <c r="D466" s="1" t="s">
        <v>70</v>
      </c>
      <c r="E466" s="1" t="s">
        <v>71</v>
      </c>
      <c r="F466" s="1">
        <v>1</v>
      </c>
      <c r="G466" s="1" t="s">
        <v>78</v>
      </c>
      <c r="H466" s="1" t="str">
        <f t="shared" si="21"/>
        <v>PICKLE JUICE</v>
      </c>
      <c r="I466" s="9">
        <f t="shared" si="22"/>
        <v>45681</v>
      </c>
      <c r="J466" s="1" t="str">
        <f t="shared" si="23"/>
        <v>2025-01</v>
      </c>
    </row>
    <row r="467" spans="1:10" x14ac:dyDescent="0.2">
      <c r="A467" s="2">
        <v>465</v>
      </c>
      <c r="B467" s="1" t="s">
        <v>23</v>
      </c>
      <c r="C467" s="1">
        <v>39000212979</v>
      </c>
      <c r="D467" s="1" t="s">
        <v>60</v>
      </c>
      <c r="E467" s="1" t="s">
        <v>61</v>
      </c>
      <c r="F467" s="1">
        <v>1</v>
      </c>
      <c r="G467" s="1" t="s">
        <v>79</v>
      </c>
      <c r="H467" s="1" t="str">
        <f t="shared" si="21"/>
        <v>DIET SODA</v>
      </c>
      <c r="I467" s="9">
        <f t="shared" si="22"/>
        <v>45715</v>
      </c>
      <c r="J467" s="1" t="str">
        <f t="shared" si="23"/>
        <v>2025-02</v>
      </c>
    </row>
    <row r="468" spans="1:10" x14ac:dyDescent="0.2">
      <c r="A468" s="2">
        <v>466</v>
      </c>
      <c r="B468" s="1" t="s">
        <v>29</v>
      </c>
      <c r="C468" s="1">
        <v>39000338663</v>
      </c>
      <c r="D468" s="1" t="s">
        <v>66</v>
      </c>
      <c r="E468" s="1" t="s">
        <v>67</v>
      </c>
      <c r="F468" s="1">
        <v>1</v>
      </c>
      <c r="G468" s="1" t="s">
        <v>140</v>
      </c>
      <c r="H468" s="1" t="str">
        <f t="shared" si="21"/>
        <v>AVOCADO TOAST</v>
      </c>
      <c r="I468" s="9">
        <f t="shared" si="22"/>
        <v>45660</v>
      </c>
      <c r="J468" s="1" t="str">
        <f t="shared" si="23"/>
        <v>2025-01</v>
      </c>
    </row>
    <row r="469" spans="1:10" x14ac:dyDescent="0.2">
      <c r="A469" s="2">
        <v>467</v>
      </c>
      <c r="B469" s="1" t="s">
        <v>18</v>
      </c>
      <c r="C469" s="1">
        <v>39002175732</v>
      </c>
      <c r="D469" s="1" t="s">
        <v>60</v>
      </c>
      <c r="E469" s="1" t="s">
        <v>61</v>
      </c>
      <c r="F469" s="1">
        <v>1</v>
      </c>
      <c r="G469" s="1" t="s">
        <v>133</v>
      </c>
      <c r="H469" s="1" t="str">
        <f t="shared" si="21"/>
        <v>PEACH COBBLER</v>
      </c>
      <c r="I469" s="9">
        <f t="shared" si="22"/>
        <v>45678</v>
      </c>
      <c r="J469" s="1" t="str">
        <f t="shared" si="23"/>
        <v>2025-01</v>
      </c>
    </row>
    <row r="470" spans="1:10" x14ac:dyDescent="0.2">
      <c r="A470" s="2">
        <v>468</v>
      </c>
      <c r="B470" s="1" t="s">
        <v>30</v>
      </c>
      <c r="C470" s="1">
        <v>39000964912</v>
      </c>
      <c r="D470" s="1" t="s">
        <v>58</v>
      </c>
      <c r="E470" s="1" t="s">
        <v>59</v>
      </c>
      <c r="F470" s="1">
        <v>1</v>
      </c>
      <c r="G470" s="1" t="s">
        <v>131</v>
      </c>
      <c r="H470" s="1" t="str">
        <f t="shared" si="21"/>
        <v>STRAWBERRY MILKSHAKE</v>
      </c>
      <c r="I470" s="9">
        <f t="shared" si="22"/>
        <v>45716</v>
      </c>
      <c r="J470" s="1" t="str">
        <f t="shared" si="23"/>
        <v>2025-02</v>
      </c>
    </row>
    <row r="471" spans="1:10" x14ac:dyDescent="0.2">
      <c r="A471" s="2">
        <v>469</v>
      </c>
      <c r="B471" s="1" t="s">
        <v>14</v>
      </c>
      <c r="C471" s="1">
        <v>39000657098</v>
      </c>
      <c r="D471" s="1" t="s">
        <v>68</v>
      </c>
      <c r="E471" s="1" t="s">
        <v>68</v>
      </c>
      <c r="F471" s="1">
        <v>1</v>
      </c>
      <c r="G471" s="1" t="s">
        <v>96</v>
      </c>
      <c r="H471" s="1" t="str">
        <f t="shared" si="21"/>
        <v>SPICY MEATBALL</v>
      </c>
      <c r="I471" s="9">
        <f t="shared" si="22"/>
        <v>45694</v>
      </c>
      <c r="J471" s="1" t="str">
        <f t="shared" si="23"/>
        <v>2025-02</v>
      </c>
    </row>
    <row r="472" spans="1:10" x14ac:dyDescent="0.2">
      <c r="A472" s="2">
        <v>470</v>
      </c>
      <c r="B472" s="1" t="s">
        <v>17</v>
      </c>
      <c r="C472" s="1">
        <v>39000658710</v>
      </c>
      <c r="D472" s="1" t="s">
        <v>68</v>
      </c>
      <c r="E472" s="1" t="s">
        <v>68</v>
      </c>
      <c r="F472" s="1">
        <v>1</v>
      </c>
      <c r="G472" s="1" t="s">
        <v>143</v>
      </c>
      <c r="H472" s="1" t="str">
        <f t="shared" si="21"/>
        <v>WASABI BANANA PUDDING</v>
      </c>
      <c r="I472" s="9">
        <f t="shared" si="22"/>
        <v>45708</v>
      </c>
      <c r="J472" s="1" t="str">
        <f t="shared" si="23"/>
        <v>2025-02</v>
      </c>
    </row>
    <row r="473" spans="1:10" x14ac:dyDescent="0.2">
      <c r="A473" s="2">
        <v>471</v>
      </c>
      <c r="B473" s="1" t="s">
        <v>21</v>
      </c>
      <c r="C473" s="1">
        <v>39000285168</v>
      </c>
      <c r="D473" s="1" t="s">
        <v>74</v>
      </c>
      <c r="E473" s="1" t="s">
        <v>63</v>
      </c>
      <c r="F473" s="1">
        <v>12</v>
      </c>
      <c r="G473" s="1" t="s">
        <v>96</v>
      </c>
      <c r="H473" s="1" t="str">
        <f t="shared" si="21"/>
        <v>SPICY MEATBALL</v>
      </c>
      <c r="I473" s="9">
        <f t="shared" si="22"/>
        <v>45699</v>
      </c>
      <c r="J473" s="1" t="str">
        <f t="shared" si="23"/>
        <v>2025-02</v>
      </c>
    </row>
    <row r="474" spans="1:10" x14ac:dyDescent="0.2">
      <c r="A474" s="2">
        <v>472</v>
      </c>
      <c r="B474" s="1" t="s">
        <v>23</v>
      </c>
      <c r="C474" s="1">
        <v>39000218114</v>
      </c>
      <c r="D474" s="1" t="s">
        <v>69</v>
      </c>
      <c r="E474" s="1" t="s">
        <v>61</v>
      </c>
      <c r="F474" s="1">
        <v>1</v>
      </c>
      <c r="G474" s="1" t="s">
        <v>100</v>
      </c>
      <c r="H474" s="1" t="str">
        <f t="shared" si="21"/>
        <v>SPICY MEATBALL</v>
      </c>
      <c r="I474" s="9">
        <f t="shared" si="22"/>
        <v>45715</v>
      </c>
      <c r="J474" s="1" t="str">
        <f t="shared" si="23"/>
        <v>2025-02</v>
      </c>
    </row>
    <row r="475" spans="1:10" x14ac:dyDescent="0.2">
      <c r="A475" s="2">
        <v>473</v>
      </c>
      <c r="B475" s="1" t="s">
        <v>29</v>
      </c>
      <c r="C475" s="1">
        <v>39000212407</v>
      </c>
      <c r="D475" s="1" t="s">
        <v>60</v>
      </c>
      <c r="E475" s="1" t="s">
        <v>61</v>
      </c>
      <c r="F475" s="1">
        <v>1</v>
      </c>
      <c r="G475" s="1" t="s">
        <v>111</v>
      </c>
      <c r="H475" s="1" t="str">
        <f t="shared" si="21"/>
        <v>MAPLE SYRUP</v>
      </c>
      <c r="I475" s="9">
        <f t="shared" si="22"/>
        <v>45660</v>
      </c>
      <c r="J475" s="1" t="str">
        <f t="shared" si="23"/>
        <v>2025-01</v>
      </c>
    </row>
    <row r="476" spans="1:10" x14ac:dyDescent="0.2">
      <c r="A476" s="2">
        <v>474</v>
      </c>
      <c r="B476" s="1" t="s">
        <v>7</v>
      </c>
      <c r="C476" s="1">
        <v>39000220766</v>
      </c>
      <c r="D476" s="1" t="s">
        <v>69</v>
      </c>
      <c r="E476" s="1" t="s">
        <v>61</v>
      </c>
      <c r="F476" s="1">
        <v>1</v>
      </c>
      <c r="G476" s="1" t="s">
        <v>111</v>
      </c>
      <c r="H476" s="1" t="str">
        <f t="shared" si="21"/>
        <v>MAPLE SYRUP</v>
      </c>
      <c r="I476" s="9">
        <f t="shared" si="22"/>
        <v>45712</v>
      </c>
      <c r="J476" s="1" t="str">
        <f t="shared" si="23"/>
        <v>2025-02</v>
      </c>
    </row>
    <row r="477" spans="1:10" x14ac:dyDescent="0.2">
      <c r="A477" s="2">
        <v>475</v>
      </c>
      <c r="B477" s="1" t="s">
        <v>8</v>
      </c>
      <c r="C477" s="1">
        <v>39000955760</v>
      </c>
      <c r="D477" s="1" t="s">
        <v>58</v>
      </c>
      <c r="E477" s="1" t="s">
        <v>59</v>
      </c>
      <c r="F477" s="1">
        <v>1</v>
      </c>
      <c r="G477" s="1" t="s">
        <v>115</v>
      </c>
      <c r="H477" s="1" t="str">
        <f t="shared" si="21"/>
        <v>BLUEBERRY SMOOTHIE</v>
      </c>
      <c r="I477" s="9">
        <f t="shared" si="22"/>
        <v>45706</v>
      </c>
      <c r="J477" s="1" t="str">
        <f t="shared" si="23"/>
        <v>2025-02</v>
      </c>
    </row>
    <row r="478" spans="1:10" x14ac:dyDescent="0.2">
      <c r="A478" s="2">
        <v>476</v>
      </c>
      <c r="B478" s="1" t="s">
        <v>7</v>
      </c>
      <c r="C478" s="1">
        <v>39000220337</v>
      </c>
      <c r="D478" s="1" t="s">
        <v>60</v>
      </c>
      <c r="E478" s="1" t="s">
        <v>61</v>
      </c>
      <c r="F478" s="1">
        <v>1</v>
      </c>
      <c r="G478" s="1" t="s">
        <v>100</v>
      </c>
      <c r="H478" s="1" t="str">
        <f t="shared" si="21"/>
        <v>SPICY MEATBALL</v>
      </c>
      <c r="I478" s="9">
        <f t="shared" si="22"/>
        <v>45712</v>
      </c>
      <c r="J478" s="1" t="str">
        <f t="shared" si="23"/>
        <v>2025-02</v>
      </c>
    </row>
    <row r="479" spans="1:10" x14ac:dyDescent="0.2">
      <c r="A479" s="2">
        <v>477</v>
      </c>
      <c r="B479" s="1" t="s">
        <v>27</v>
      </c>
      <c r="C479" s="1">
        <v>39000198003</v>
      </c>
      <c r="D479" s="1" t="s">
        <v>60</v>
      </c>
      <c r="E479" s="1" t="s">
        <v>61</v>
      </c>
      <c r="F479" s="1">
        <v>6</v>
      </c>
      <c r="G479" s="1" t="s">
        <v>88</v>
      </c>
      <c r="H479" s="1" t="str">
        <f t="shared" si="21"/>
        <v>SPICY MEATBALL</v>
      </c>
      <c r="I479" s="9">
        <f t="shared" si="22"/>
        <v>45709</v>
      </c>
      <c r="J479" s="1" t="str">
        <f t="shared" si="23"/>
        <v>2025-02</v>
      </c>
    </row>
    <row r="480" spans="1:10" x14ac:dyDescent="0.2">
      <c r="A480" s="2">
        <v>478</v>
      </c>
      <c r="B480" s="1" t="s">
        <v>30</v>
      </c>
      <c r="C480" s="1">
        <v>39000330031</v>
      </c>
      <c r="D480" s="1" t="s">
        <v>66</v>
      </c>
      <c r="E480" s="1" t="s">
        <v>67</v>
      </c>
      <c r="F480" s="1">
        <v>1</v>
      </c>
      <c r="G480" s="1" t="s">
        <v>121</v>
      </c>
      <c r="H480" s="1" t="str">
        <f t="shared" si="21"/>
        <v>SF STRAWBERRY MILKSHAKE</v>
      </c>
      <c r="I480" s="9">
        <f t="shared" si="22"/>
        <v>45716</v>
      </c>
      <c r="J480" s="1" t="str">
        <f t="shared" si="23"/>
        <v>2025-02</v>
      </c>
    </row>
    <row r="481" spans="1:10" x14ac:dyDescent="0.2">
      <c r="A481" s="2">
        <v>479</v>
      </c>
      <c r="B481" s="1" t="s">
        <v>39</v>
      </c>
      <c r="C481" s="1">
        <v>39000590057</v>
      </c>
      <c r="D481" s="1" t="s">
        <v>54</v>
      </c>
      <c r="E481" s="1" t="s">
        <v>55</v>
      </c>
      <c r="F481" s="1">
        <v>1</v>
      </c>
      <c r="G481" s="1" t="s">
        <v>79</v>
      </c>
      <c r="H481" s="1" t="str">
        <f t="shared" si="21"/>
        <v>DIET SODA</v>
      </c>
      <c r="I481" s="9">
        <f t="shared" si="22"/>
        <v>45684</v>
      </c>
      <c r="J481" s="1" t="str">
        <f t="shared" si="23"/>
        <v>2025-01</v>
      </c>
    </row>
    <row r="482" spans="1:10" x14ac:dyDescent="0.2">
      <c r="A482" s="2">
        <v>480</v>
      </c>
      <c r="B482" s="1" t="s">
        <v>21</v>
      </c>
      <c r="C482" s="1">
        <v>39001434628</v>
      </c>
      <c r="D482" s="1" t="s">
        <v>70</v>
      </c>
      <c r="E482" s="1" t="s">
        <v>71</v>
      </c>
      <c r="F482" s="1">
        <v>-1</v>
      </c>
      <c r="G482" s="1" t="s">
        <v>91</v>
      </c>
      <c r="H482" s="1" t="str">
        <f t="shared" si="21"/>
        <v>DIET</v>
      </c>
      <c r="I482" s="9">
        <f t="shared" si="22"/>
        <v>45699</v>
      </c>
      <c r="J482" s="1" t="str">
        <f t="shared" si="23"/>
        <v>2025-02</v>
      </c>
    </row>
    <row r="483" spans="1:10" x14ac:dyDescent="0.2">
      <c r="A483" s="2">
        <v>481</v>
      </c>
      <c r="B483" s="1" t="s">
        <v>19</v>
      </c>
      <c r="C483" s="1">
        <v>39000217061</v>
      </c>
      <c r="D483" s="1" t="s">
        <v>60</v>
      </c>
      <c r="E483" s="1" t="s">
        <v>61</v>
      </c>
      <c r="F483" s="1">
        <v>1</v>
      </c>
      <c r="G483" s="1" t="s">
        <v>103</v>
      </c>
      <c r="H483" s="1" t="str">
        <f t="shared" si="21"/>
        <v>COCONUT MILK</v>
      </c>
      <c r="I483" s="9">
        <f t="shared" si="22"/>
        <v>45722</v>
      </c>
      <c r="J483" s="1" t="str">
        <f t="shared" si="23"/>
        <v>2025-03</v>
      </c>
    </row>
    <row r="484" spans="1:10" x14ac:dyDescent="0.2">
      <c r="A484" s="2">
        <v>482</v>
      </c>
      <c r="B484" s="1" t="s">
        <v>5</v>
      </c>
      <c r="C484" s="1">
        <v>39001392196</v>
      </c>
      <c r="D484" s="1" t="s">
        <v>70</v>
      </c>
      <c r="E484" s="1" t="s">
        <v>71</v>
      </c>
      <c r="F484" s="1">
        <v>1</v>
      </c>
      <c r="G484" s="1" t="s">
        <v>126</v>
      </c>
      <c r="H484" s="1" t="str">
        <f t="shared" si="21"/>
        <v>PICKLE JUICE</v>
      </c>
      <c r="I484" s="9">
        <f t="shared" si="22"/>
        <v>45674</v>
      </c>
      <c r="J484" s="1" t="str">
        <f t="shared" si="23"/>
        <v>2025-01</v>
      </c>
    </row>
    <row r="485" spans="1:10" x14ac:dyDescent="0.2">
      <c r="A485" s="2">
        <v>483</v>
      </c>
      <c r="B485" s="1" t="s">
        <v>47</v>
      </c>
      <c r="C485" s="1">
        <v>39001718886</v>
      </c>
      <c r="D485" s="1" t="s">
        <v>64</v>
      </c>
      <c r="E485" s="1" t="s">
        <v>65</v>
      </c>
      <c r="F485" s="1">
        <v>1</v>
      </c>
      <c r="G485" s="1" t="s">
        <v>116</v>
      </c>
      <c r="H485" s="1" t="str">
        <f t="shared" si="21"/>
        <v>SPICY MEATBALL</v>
      </c>
      <c r="I485" s="9">
        <f t="shared" si="22"/>
        <v>45691</v>
      </c>
      <c r="J485" s="1" t="str">
        <f t="shared" si="23"/>
        <v>2025-02</v>
      </c>
    </row>
    <row r="486" spans="1:10" x14ac:dyDescent="0.2">
      <c r="A486" s="2">
        <v>484</v>
      </c>
      <c r="B486" s="1" t="s">
        <v>18</v>
      </c>
      <c r="C486" s="1">
        <v>39000263770</v>
      </c>
      <c r="D486" s="1" t="s">
        <v>62</v>
      </c>
      <c r="E486" s="1" t="s">
        <v>63</v>
      </c>
      <c r="F486" s="1">
        <v>1</v>
      </c>
      <c r="G486" s="1" t="s">
        <v>94</v>
      </c>
      <c r="H486" s="1" t="str">
        <f t="shared" si="21"/>
        <v>DIET COOKIE</v>
      </c>
      <c r="I486" s="9">
        <f t="shared" si="22"/>
        <v>45678</v>
      </c>
      <c r="J486" s="1" t="str">
        <f t="shared" si="23"/>
        <v>2025-01</v>
      </c>
    </row>
    <row r="487" spans="1:10" x14ac:dyDescent="0.2">
      <c r="A487" s="2">
        <v>485</v>
      </c>
      <c r="B487" s="1" t="s">
        <v>20</v>
      </c>
      <c r="C487" s="1">
        <v>39001516281</v>
      </c>
      <c r="D487" s="1" t="s">
        <v>70</v>
      </c>
      <c r="E487" s="1" t="s">
        <v>71</v>
      </c>
      <c r="F487" s="1">
        <v>4</v>
      </c>
      <c r="G487" s="1" t="s">
        <v>100</v>
      </c>
      <c r="H487" s="1" t="str">
        <f t="shared" si="21"/>
        <v>SPICY MEATBALL</v>
      </c>
      <c r="I487" s="9">
        <f t="shared" si="22"/>
        <v>45688</v>
      </c>
      <c r="J487" s="1" t="str">
        <f t="shared" si="23"/>
        <v>2025-01</v>
      </c>
    </row>
    <row r="488" spans="1:10" x14ac:dyDescent="0.2">
      <c r="A488" s="2">
        <v>486</v>
      </c>
      <c r="B488" s="1" t="s">
        <v>41</v>
      </c>
      <c r="C488" s="1">
        <v>39000964652</v>
      </c>
      <c r="D488" s="1" t="s">
        <v>58</v>
      </c>
      <c r="E488" s="1" t="s">
        <v>59</v>
      </c>
      <c r="F488" s="1">
        <v>1</v>
      </c>
      <c r="G488" s="1" t="s">
        <v>79</v>
      </c>
      <c r="H488" s="1" t="str">
        <f t="shared" si="21"/>
        <v>DIET SODA</v>
      </c>
      <c r="I488" s="9">
        <f t="shared" si="22"/>
        <v>45665</v>
      </c>
      <c r="J488" s="1" t="str">
        <f t="shared" si="23"/>
        <v>2025-01</v>
      </c>
    </row>
    <row r="489" spans="1:10" x14ac:dyDescent="0.2">
      <c r="A489" s="2">
        <v>487</v>
      </c>
      <c r="B489" s="1" t="s">
        <v>12</v>
      </c>
      <c r="C489" s="1">
        <v>39001457560</v>
      </c>
      <c r="D489" s="1" t="s">
        <v>70</v>
      </c>
      <c r="E489" s="1" t="s">
        <v>71</v>
      </c>
      <c r="F489" s="1">
        <v>1</v>
      </c>
      <c r="G489" s="1" t="s">
        <v>111</v>
      </c>
      <c r="H489" s="1" t="str">
        <f t="shared" si="21"/>
        <v>MAPLE SYRUP</v>
      </c>
      <c r="I489" s="9">
        <f t="shared" si="22"/>
        <v>45659</v>
      </c>
      <c r="J489" s="1" t="str">
        <f t="shared" si="23"/>
        <v>2025-01</v>
      </c>
    </row>
    <row r="490" spans="1:10" x14ac:dyDescent="0.2">
      <c r="A490" s="2">
        <v>488</v>
      </c>
      <c r="B490" s="1" t="s">
        <v>6</v>
      </c>
      <c r="C490" s="1">
        <v>39000223054</v>
      </c>
      <c r="D490" s="1" t="s">
        <v>69</v>
      </c>
      <c r="E490" s="1" t="s">
        <v>61</v>
      </c>
      <c r="F490" s="1">
        <v>1</v>
      </c>
      <c r="G490" s="1" t="s">
        <v>105</v>
      </c>
      <c r="H490" s="1" t="str">
        <f t="shared" si="21"/>
        <v>SF SUSHI ROLL</v>
      </c>
      <c r="I490" s="9">
        <f t="shared" si="22"/>
        <v>45720</v>
      </c>
      <c r="J490" s="1" t="str">
        <f t="shared" si="23"/>
        <v>2025-03</v>
      </c>
    </row>
    <row r="491" spans="1:10" x14ac:dyDescent="0.2">
      <c r="A491" s="2">
        <v>489</v>
      </c>
      <c r="B491" s="1" t="s">
        <v>10</v>
      </c>
      <c r="C491" s="1">
        <v>39001417949</v>
      </c>
      <c r="D491" s="1" t="s">
        <v>70</v>
      </c>
      <c r="E491" s="1" t="s">
        <v>71</v>
      </c>
      <c r="F491" s="1">
        <v>1</v>
      </c>
      <c r="G491" s="1" t="s">
        <v>90</v>
      </c>
      <c r="H491" s="1" t="str">
        <f t="shared" si="21"/>
        <v>SPICY MEATBALL</v>
      </c>
      <c r="I491" s="9">
        <f t="shared" si="22"/>
        <v>45679</v>
      </c>
      <c r="J491" s="1" t="str">
        <f t="shared" si="23"/>
        <v>2025-01</v>
      </c>
    </row>
    <row r="492" spans="1:10" x14ac:dyDescent="0.2">
      <c r="A492" s="2">
        <v>490</v>
      </c>
      <c r="B492" s="1" t="s">
        <v>6</v>
      </c>
      <c r="C492" s="1">
        <v>39000952458</v>
      </c>
      <c r="D492" s="1" t="s">
        <v>58</v>
      </c>
      <c r="E492" s="1" t="s">
        <v>59</v>
      </c>
      <c r="F492" s="1">
        <v>1</v>
      </c>
      <c r="G492" s="1" t="s">
        <v>131</v>
      </c>
      <c r="H492" s="1" t="str">
        <f t="shared" si="21"/>
        <v>STRAWBERRY MILKSHAKE</v>
      </c>
      <c r="I492" s="9">
        <f t="shared" si="22"/>
        <v>45720</v>
      </c>
      <c r="J492" s="1" t="str">
        <f t="shared" si="23"/>
        <v>2025-03</v>
      </c>
    </row>
    <row r="493" spans="1:10" x14ac:dyDescent="0.2">
      <c r="A493" s="2">
        <v>491</v>
      </c>
      <c r="B493" s="1" t="s">
        <v>27</v>
      </c>
      <c r="C493" s="1">
        <v>39000199563</v>
      </c>
      <c r="D493" s="1" t="s">
        <v>69</v>
      </c>
      <c r="E493" s="1" t="s">
        <v>61</v>
      </c>
      <c r="F493" s="1">
        <v>-0.16700000000000001</v>
      </c>
      <c r="G493" s="1" t="s">
        <v>100</v>
      </c>
      <c r="H493" s="1" t="str">
        <f t="shared" si="21"/>
        <v>SPICY MEATBALL</v>
      </c>
      <c r="I493" s="9">
        <f t="shared" si="22"/>
        <v>45709</v>
      </c>
      <c r="J493" s="1" t="str">
        <f t="shared" si="23"/>
        <v>2025-02</v>
      </c>
    </row>
    <row r="494" spans="1:10" x14ac:dyDescent="0.2">
      <c r="A494" s="2">
        <v>492</v>
      </c>
      <c r="B494" s="1" t="s">
        <v>22</v>
      </c>
      <c r="C494" s="1">
        <v>39000662519</v>
      </c>
      <c r="D494" s="1" t="s">
        <v>68</v>
      </c>
      <c r="E494" s="1" t="s">
        <v>68</v>
      </c>
      <c r="F494" s="1">
        <v>3</v>
      </c>
      <c r="G494" s="1" t="s">
        <v>111</v>
      </c>
      <c r="H494" s="1" t="str">
        <f t="shared" si="21"/>
        <v>MAPLE SYRUP</v>
      </c>
      <c r="I494" s="9">
        <f t="shared" si="22"/>
        <v>45721</v>
      </c>
      <c r="J494" s="1" t="str">
        <f t="shared" si="23"/>
        <v>2025-03</v>
      </c>
    </row>
    <row r="495" spans="1:10" x14ac:dyDescent="0.2">
      <c r="A495" s="2">
        <v>493</v>
      </c>
      <c r="B495" s="1" t="s">
        <v>49</v>
      </c>
      <c r="C495" s="1">
        <v>39001435096</v>
      </c>
      <c r="D495" s="1" t="s">
        <v>70</v>
      </c>
      <c r="E495" s="1" t="s">
        <v>71</v>
      </c>
      <c r="F495" s="1">
        <v>1</v>
      </c>
      <c r="G495" s="1" t="s">
        <v>111</v>
      </c>
      <c r="H495" s="1" t="str">
        <f t="shared" si="21"/>
        <v>MAPLE SYRUP</v>
      </c>
      <c r="I495" s="9">
        <f t="shared" si="22"/>
        <v>45681</v>
      </c>
      <c r="J495" s="1" t="str">
        <f t="shared" si="23"/>
        <v>2025-01</v>
      </c>
    </row>
    <row r="496" spans="1:10" x14ac:dyDescent="0.2">
      <c r="A496" s="2">
        <v>494</v>
      </c>
      <c r="B496" s="1" t="s">
        <v>14</v>
      </c>
      <c r="C496" s="1">
        <v>39000280761</v>
      </c>
      <c r="D496" s="1" t="s">
        <v>74</v>
      </c>
      <c r="E496" s="1" t="s">
        <v>63</v>
      </c>
      <c r="F496" s="1">
        <v>-0.125</v>
      </c>
      <c r="G496" s="1" t="s">
        <v>100</v>
      </c>
      <c r="H496" s="1" t="str">
        <f t="shared" si="21"/>
        <v>SPICY MEATBALL</v>
      </c>
      <c r="I496" s="9">
        <f t="shared" si="22"/>
        <v>45694</v>
      </c>
      <c r="J496" s="1" t="str">
        <f t="shared" si="23"/>
        <v>2025-02</v>
      </c>
    </row>
    <row r="497" spans="1:10" x14ac:dyDescent="0.2">
      <c r="A497" s="2">
        <v>495</v>
      </c>
      <c r="B497" s="1" t="s">
        <v>4</v>
      </c>
      <c r="C497" s="1">
        <v>39002666001</v>
      </c>
      <c r="D497" s="1" t="s">
        <v>68</v>
      </c>
      <c r="E497" s="1" t="s">
        <v>68</v>
      </c>
      <c r="F497" s="1">
        <v>1</v>
      </c>
      <c r="G497" s="1" t="s">
        <v>99</v>
      </c>
      <c r="H497" s="1" t="str">
        <f t="shared" si="21"/>
        <v>KETCHUP</v>
      </c>
      <c r="I497" s="9">
        <f t="shared" si="22"/>
        <v>45686</v>
      </c>
      <c r="J497" s="1" t="str">
        <f t="shared" si="23"/>
        <v>2025-01</v>
      </c>
    </row>
    <row r="498" spans="1:10" x14ac:dyDescent="0.2">
      <c r="A498" s="2">
        <v>496</v>
      </c>
      <c r="B498" s="1" t="s">
        <v>15</v>
      </c>
      <c r="C498" s="1">
        <v>39000213005</v>
      </c>
      <c r="D498" s="1" t="s">
        <v>60</v>
      </c>
      <c r="E498" s="1" t="s">
        <v>61</v>
      </c>
      <c r="F498" s="1">
        <v>1</v>
      </c>
      <c r="G498" s="1" t="s">
        <v>87</v>
      </c>
      <c r="H498" s="1" t="str">
        <f t="shared" si="21"/>
        <v>DIET COOKIE</v>
      </c>
      <c r="I498" s="9">
        <f t="shared" si="22"/>
        <v>45713</v>
      </c>
      <c r="J498" s="1" t="str">
        <f t="shared" si="23"/>
        <v>2025-02</v>
      </c>
    </row>
    <row r="499" spans="1:10" x14ac:dyDescent="0.2">
      <c r="A499" s="2">
        <v>497</v>
      </c>
      <c r="B499" s="1" t="s">
        <v>33</v>
      </c>
      <c r="C499" s="1">
        <v>39000201708</v>
      </c>
      <c r="D499" s="1" t="s">
        <v>60</v>
      </c>
      <c r="E499" s="1" t="s">
        <v>61</v>
      </c>
      <c r="F499" s="1">
        <v>2</v>
      </c>
      <c r="G499" s="1" t="s">
        <v>100</v>
      </c>
      <c r="H499" s="1" t="str">
        <f t="shared" si="21"/>
        <v>SPICY MEATBALL</v>
      </c>
      <c r="I499" s="9">
        <f t="shared" si="22"/>
        <v>45672</v>
      </c>
      <c r="J499" s="1" t="str">
        <f t="shared" si="23"/>
        <v>2025-01</v>
      </c>
    </row>
    <row r="500" spans="1:10" x14ac:dyDescent="0.2">
      <c r="A500" s="2">
        <v>498</v>
      </c>
      <c r="B500" s="1" t="s">
        <v>48</v>
      </c>
      <c r="C500" s="1">
        <v>39000336531</v>
      </c>
      <c r="D500" s="1" t="s">
        <v>66</v>
      </c>
      <c r="E500" s="1" t="s">
        <v>67</v>
      </c>
      <c r="F500" s="1">
        <v>1</v>
      </c>
      <c r="G500" s="1" t="s">
        <v>78</v>
      </c>
      <c r="H500" s="1" t="str">
        <f t="shared" si="21"/>
        <v>PICKLE JUICE</v>
      </c>
      <c r="I500" s="9">
        <f t="shared" si="22"/>
        <v>45667</v>
      </c>
      <c r="J500" s="1" t="str">
        <f t="shared" si="23"/>
        <v>2025-01</v>
      </c>
    </row>
    <row r="501" spans="1:10" x14ac:dyDescent="0.2">
      <c r="A501" s="2">
        <v>499</v>
      </c>
      <c r="B501" s="1" t="s">
        <v>49</v>
      </c>
      <c r="C501" s="1">
        <v>39000237523</v>
      </c>
      <c r="D501" s="1" t="s">
        <v>60</v>
      </c>
      <c r="E501" s="1" t="s">
        <v>61</v>
      </c>
      <c r="F501" s="1">
        <v>1</v>
      </c>
      <c r="G501" s="1" t="s">
        <v>126</v>
      </c>
      <c r="H501" s="1" t="str">
        <f t="shared" si="21"/>
        <v>PICKLE JUICE</v>
      </c>
      <c r="I501" s="9">
        <f t="shared" si="22"/>
        <v>45681</v>
      </c>
      <c r="J501" s="1" t="str">
        <f t="shared" si="23"/>
        <v>2025-01</v>
      </c>
    </row>
  </sheetData>
  <pageMargins left="0.75" right="0.75" top="1" bottom="1" header="0.5" footer="0.5"/>
  <customProperties>
    <customPr name="_pios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41619-069B-7243-B8BF-C36559B8C89D}">
  <dimension ref="A1:K503"/>
  <sheetViews>
    <sheetView workbookViewId="0">
      <selection activeCell="G2" sqref="A2:K503"/>
    </sheetView>
  </sheetViews>
  <sheetFormatPr baseColWidth="10" defaultRowHeight="15" x14ac:dyDescent="0.2"/>
  <cols>
    <col min="1" max="1" width="9" bestFit="1" customWidth="1"/>
    <col min="2" max="2" width="13.6640625" bestFit="1" customWidth="1"/>
    <col min="3" max="3" width="12.1640625" bestFit="1" customWidth="1"/>
    <col min="4" max="4" width="19.83203125" bestFit="1" customWidth="1"/>
    <col min="5" max="5" width="27.1640625" bestFit="1" customWidth="1"/>
    <col min="6" max="6" width="6.6640625" bestFit="1" customWidth="1"/>
    <col min="7" max="7" width="30.33203125" bestFit="1" customWidth="1"/>
    <col min="8" max="8" width="22" bestFit="1" customWidth="1"/>
    <col min="9" max="9" width="12.33203125" bestFit="1" customWidth="1"/>
    <col min="10" max="10" width="13.1640625" bestFit="1" customWidth="1"/>
  </cols>
  <sheetData>
    <row r="1" spans="1:11" x14ac:dyDescent="0.2">
      <c r="A1" t="s">
        <v>151</v>
      </c>
      <c r="B1" t="s">
        <v>52</v>
      </c>
      <c r="C1" t="s">
        <v>53</v>
      </c>
      <c r="D1" t="s">
        <v>0</v>
      </c>
      <c r="E1" t="s">
        <v>1</v>
      </c>
      <c r="F1" t="s">
        <v>2</v>
      </c>
      <c r="G1" t="s">
        <v>3</v>
      </c>
      <c r="H1" t="s">
        <v>152</v>
      </c>
      <c r="I1" t="s">
        <v>153</v>
      </c>
      <c r="J1" t="s">
        <v>154</v>
      </c>
      <c r="K1" t="s">
        <v>439</v>
      </c>
    </row>
    <row r="2" spans="1:11" hidden="1" x14ac:dyDescent="0.2">
      <c r="A2">
        <v>5</v>
      </c>
      <c r="B2">
        <v>20250304</v>
      </c>
      <c r="C2">
        <v>39000200135</v>
      </c>
      <c r="D2" t="s">
        <v>60</v>
      </c>
      <c r="E2" t="s">
        <v>61</v>
      </c>
      <c r="F2">
        <v>2</v>
      </c>
      <c r="G2" t="s">
        <v>83</v>
      </c>
      <c r="H2" t="s">
        <v>60</v>
      </c>
      <c r="I2" t="s">
        <v>159</v>
      </c>
      <c r="J2" t="s">
        <v>227</v>
      </c>
      <c r="K2" t="str">
        <f>IF(I2="Charger","Has Charger","No Charger")</f>
        <v>No Charger</v>
      </c>
    </row>
    <row r="3" spans="1:11" hidden="1" x14ac:dyDescent="0.2">
      <c r="A3">
        <v>7</v>
      </c>
      <c r="B3">
        <v>20250224</v>
      </c>
      <c r="C3">
        <v>39000086008</v>
      </c>
      <c r="D3" t="s">
        <v>64</v>
      </c>
      <c r="E3" t="s">
        <v>65</v>
      </c>
      <c r="F3">
        <v>1</v>
      </c>
      <c r="G3" t="s">
        <v>85</v>
      </c>
      <c r="H3" t="s">
        <v>64</v>
      </c>
      <c r="I3" t="s">
        <v>155</v>
      </c>
      <c r="J3" t="s">
        <v>156</v>
      </c>
      <c r="K3" t="str">
        <f t="shared" ref="K3:K65" si="0">IF(I3="Charger","Has Charger","No Charger")</f>
        <v>No Charger</v>
      </c>
    </row>
    <row r="4" spans="1:11" hidden="1" x14ac:dyDescent="0.2">
      <c r="A4">
        <v>199</v>
      </c>
      <c r="B4">
        <v>20250310</v>
      </c>
      <c r="C4">
        <v>39000589394</v>
      </c>
      <c r="D4" t="s">
        <v>54</v>
      </c>
      <c r="E4" t="s">
        <v>55</v>
      </c>
      <c r="F4">
        <v>1</v>
      </c>
      <c r="G4" t="s">
        <v>139</v>
      </c>
      <c r="H4" t="s">
        <v>54</v>
      </c>
      <c r="I4" t="s">
        <v>159</v>
      </c>
      <c r="J4" t="s">
        <v>191</v>
      </c>
      <c r="K4" t="str">
        <f t="shared" si="0"/>
        <v>No Charger</v>
      </c>
    </row>
    <row r="5" spans="1:11" hidden="1" x14ac:dyDescent="0.2">
      <c r="A5">
        <v>35</v>
      </c>
      <c r="B5">
        <v>20250103</v>
      </c>
      <c r="C5">
        <v>39001417039</v>
      </c>
      <c r="D5" t="s">
        <v>70</v>
      </c>
      <c r="E5" t="s">
        <v>71</v>
      </c>
      <c r="F5">
        <v>1</v>
      </c>
      <c r="G5" t="s">
        <v>103</v>
      </c>
      <c r="H5" t="s">
        <v>70</v>
      </c>
      <c r="I5" t="s">
        <v>159</v>
      </c>
      <c r="J5" t="s">
        <v>192</v>
      </c>
      <c r="K5" t="str">
        <f t="shared" si="0"/>
        <v>No Charger</v>
      </c>
    </row>
    <row r="6" spans="1:11" hidden="1" x14ac:dyDescent="0.2">
      <c r="A6">
        <v>51</v>
      </c>
      <c r="B6">
        <v>20250221</v>
      </c>
      <c r="C6">
        <v>39000592072</v>
      </c>
      <c r="D6" t="s">
        <v>54</v>
      </c>
      <c r="E6" t="s">
        <v>55</v>
      </c>
      <c r="F6">
        <v>1</v>
      </c>
      <c r="G6" t="s">
        <v>99</v>
      </c>
      <c r="H6" t="s">
        <v>54</v>
      </c>
      <c r="I6" t="s">
        <v>159</v>
      </c>
      <c r="J6" t="s">
        <v>346</v>
      </c>
      <c r="K6" t="str">
        <f t="shared" si="0"/>
        <v>No Charger</v>
      </c>
    </row>
    <row r="7" spans="1:11" hidden="1" x14ac:dyDescent="0.2">
      <c r="A7">
        <v>80</v>
      </c>
      <c r="B7">
        <v>20250121</v>
      </c>
      <c r="C7">
        <v>39000223054</v>
      </c>
      <c r="D7" t="s">
        <v>69</v>
      </c>
      <c r="E7" t="s">
        <v>61</v>
      </c>
      <c r="F7">
        <v>1</v>
      </c>
      <c r="G7" t="s">
        <v>101</v>
      </c>
      <c r="H7" t="s">
        <v>69</v>
      </c>
      <c r="I7" t="s">
        <v>155</v>
      </c>
      <c r="J7" t="s">
        <v>216</v>
      </c>
      <c r="K7" t="str">
        <f t="shared" si="0"/>
        <v>No Charger</v>
      </c>
    </row>
    <row r="8" spans="1:11" hidden="1" x14ac:dyDescent="0.2">
      <c r="A8">
        <v>488</v>
      </c>
      <c r="B8">
        <v>20250304</v>
      </c>
      <c r="C8">
        <v>39000223054</v>
      </c>
      <c r="D8" t="s">
        <v>69</v>
      </c>
      <c r="E8" t="s">
        <v>61</v>
      </c>
      <c r="F8">
        <v>1</v>
      </c>
      <c r="G8" t="s">
        <v>105</v>
      </c>
      <c r="H8" t="s">
        <v>69</v>
      </c>
      <c r="I8" t="s">
        <v>155</v>
      </c>
      <c r="J8" t="s">
        <v>216</v>
      </c>
      <c r="K8" t="str">
        <f t="shared" si="0"/>
        <v>No Charger</v>
      </c>
    </row>
    <row r="9" spans="1:11" hidden="1" x14ac:dyDescent="0.2">
      <c r="A9">
        <v>451</v>
      </c>
      <c r="B9">
        <v>20250122</v>
      </c>
      <c r="C9">
        <v>39000658606</v>
      </c>
      <c r="D9" t="s">
        <v>68</v>
      </c>
      <c r="E9" t="s">
        <v>68</v>
      </c>
      <c r="F9">
        <v>2</v>
      </c>
      <c r="G9" t="s">
        <v>88</v>
      </c>
      <c r="H9" t="s">
        <v>68</v>
      </c>
      <c r="I9" t="s">
        <v>159</v>
      </c>
      <c r="J9" t="s">
        <v>231</v>
      </c>
      <c r="K9" t="str">
        <f t="shared" si="0"/>
        <v>No Charger</v>
      </c>
    </row>
    <row r="10" spans="1:11" hidden="1" x14ac:dyDescent="0.2">
      <c r="A10">
        <v>83</v>
      </c>
      <c r="B10">
        <v>20250210</v>
      </c>
      <c r="C10">
        <v>39000591344</v>
      </c>
      <c r="D10" t="s">
        <v>54</v>
      </c>
      <c r="E10" t="s">
        <v>55</v>
      </c>
      <c r="F10">
        <v>1</v>
      </c>
      <c r="G10" t="s">
        <v>110</v>
      </c>
      <c r="H10" t="s">
        <v>54</v>
      </c>
      <c r="I10" t="s">
        <v>159</v>
      </c>
      <c r="J10" t="s">
        <v>254</v>
      </c>
      <c r="K10" t="str">
        <f t="shared" si="0"/>
        <v>No Charger</v>
      </c>
    </row>
    <row r="11" spans="1:11" hidden="1" x14ac:dyDescent="0.2">
      <c r="A11">
        <v>83</v>
      </c>
      <c r="B11">
        <v>20250210</v>
      </c>
      <c r="C11">
        <v>39000591344</v>
      </c>
      <c r="D11" t="s">
        <v>54</v>
      </c>
      <c r="E11" t="s">
        <v>55</v>
      </c>
      <c r="F11">
        <v>1</v>
      </c>
      <c r="G11" t="s">
        <v>110</v>
      </c>
      <c r="H11" t="s">
        <v>54</v>
      </c>
      <c r="I11" t="s">
        <v>159</v>
      </c>
      <c r="J11" t="s">
        <v>254</v>
      </c>
      <c r="K11" t="str">
        <f t="shared" si="0"/>
        <v>No Charger</v>
      </c>
    </row>
    <row r="12" spans="1:11" x14ac:dyDescent="0.2">
      <c r="A12">
        <v>105</v>
      </c>
      <c r="B12">
        <v>20250114</v>
      </c>
      <c r="C12">
        <v>39000665080</v>
      </c>
      <c r="D12" t="s">
        <v>68</v>
      </c>
      <c r="E12" t="s">
        <v>68</v>
      </c>
      <c r="F12">
        <v>1</v>
      </c>
      <c r="G12" t="s">
        <v>78</v>
      </c>
      <c r="H12" t="s">
        <v>68</v>
      </c>
      <c r="I12" t="s">
        <v>159</v>
      </c>
      <c r="J12" t="s">
        <v>223</v>
      </c>
      <c r="K12" t="str">
        <f t="shared" si="0"/>
        <v>No Charger</v>
      </c>
    </row>
    <row r="13" spans="1:11" hidden="1" x14ac:dyDescent="0.2">
      <c r="A13">
        <v>106</v>
      </c>
      <c r="B13">
        <v>20250205</v>
      </c>
      <c r="C13">
        <v>39000588588</v>
      </c>
      <c r="D13" t="s">
        <v>54</v>
      </c>
      <c r="E13" t="s">
        <v>55</v>
      </c>
      <c r="F13">
        <v>1</v>
      </c>
      <c r="G13" t="s">
        <v>116</v>
      </c>
      <c r="H13" t="s">
        <v>54</v>
      </c>
      <c r="I13" t="s">
        <v>157</v>
      </c>
      <c r="J13" t="s">
        <v>321</v>
      </c>
      <c r="K13" t="str">
        <f t="shared" si="0"/>
        <v>No Charger</v>
      </c>
    </row>
    <row r="14" spans="1:11" hidden="1" x14ac:dyDescent="0.2">
      <c r="A14">
        <v>347</v>
      </c>
      <c r="B14">
        <v>20250107</v>
      </c>
      <c r="C14">
        <v>39000240981</v>
      </c>
      <c r="D14" t="s">
        <v>60</v>
      </c>
      <c r="E14" t="s">
        <v>61</v>
      </c>
      <c r="F14">
        <v>2</v>
      </c>
      <c r="G14" t="s">
        <v>88</v>
      </c>
      <c r="H14" t="s">
        <v>60</v>
      </c>
      <c r="I14" t="s">
        <v>159</v>
      </c>
      <c r="J14" t="s">
        <v>248</v>
      </c>
      <c r="K14" t="str">
        <f t="shared" si="0"/>
        <v>No Charger</v>
      </c>
    </row>
    <row r="15" spans="1:11" hidden="1" x14ac:dyDescent="0.2">
      <c r="A15">
        <v>132</v>
      </c>
      <c r="B15">
        <v>20250226</v>
      </c>
      <c r="C15">
        <v>39000592683</v>
      </c>
      <c r="D15" t="s">
        <v>54</v>
      </c>
      <c r="E15" t="s">
        <v>55</v>
      </c>
      <c r="F15">
        <v>1</v>
      </c>
      <c r="G15" t="s">
        <v>124</v>
      </c>
      <c r="H15" t="s">
        <v>54</v>
      </c>
      <c r="I15" t="s">
        <v>157</v>
      </c>
      <c r="J15" t="s">
        <v>276</v>
      </c>
      <c r="K15" t="str">
        <f t="shared" si="0"/>
        <v>No Charger</v>
      </c>
    </row>
    <row r="16" spans="1:11" x14ac:dyDescent="0.2">
      <c r="A16">
        <v>212</v>
      </c>
      <c r="B16">
        <v>20250219</v>
      </c>
      <c r="C16">
        <v>39000203086</v>
      </c>
      <c r="D16" t="s">
        <v>60</v>
      </c>
      <c r="E16" t="s">
        <v>61</v>
      </c>
      <c r="F16">
        <v>1</v>
      </c>
      <c r="G16" t="s">
        <v>126</v>
      </c>
      <c r="H16" t="s">
        <v>60</v>
      </c>
      <c r="I16" t="s">
        <v>159</v>
      </c>
      <c r="J16" t="s">
        <v>378</v>
      </c>
      <c r="K16" t="str">
        <f t="shared" si="0"/>
        <v>No Charger</v>
      </c>
    </row>
    <row r="17" spans="1:11" hidden="1" x14ac:dyDescent="0.2">
      <c r="A17">
        <v>242</v>
      </c>
      <c r="B17">
        <v>20250117</v>
      </c>
      <c r="C17">
        <v>39000591409</v>
      </c>
      <c r="D17" t="s">
        <v>54</v>
      </c>
      <c r="E17" t="s">
        <v>55</v>
      </c>
      <c r="F17">
        <v>1</v>
      </c>
      <c r="G17" t="s">
        <v>96</v>
      </c>
      <c r="H17" t="s">
        <v>54</v>
      </c>
      <c r="I17" t="s">
        <v>157</v>
      </c>
      <c r="J17" t="s">
        <v>387</v>
      </c>
      <c r="K17" t="str">
        <f t="shared" si="0"/>
        <v>No Charger</v>
      </c>
    </row>
    <row r="18" spans="1:11" x14ac:dyDescent="0.2">
      <c r="A18">
        <v>299</v>
      </c>
      <c r="B18">
        <v>20250128</v>
      </c>
      <c r="C18">
        <v>39000965029</v>
      </c>
      <c r="D18" t="s">
        <v>58</v>
      </c>
      <c r="E18" t="s">
        <v>59</v>
      </c>
      <c r="F18">
        <v>2</v>
      </c>
      <c r="G18" t="s">
        <v>78</v>
      </c>
      <c r="H18" t="s">
        <v>58</v>
      </c>
      <c r="I18" t="s">
        <v>157</v>
      </c>
      <c r="J18" t="s">
        <v>202</v>
      </c>
      <c r="K18" t="str">
        <f t="shared" si="0"/>
        <v>No Charger</v>
      </c>
    </row>
    <row r="19" spans="1:11" hidden="1" x14ac:dyDescent="0.2">
      <c r="A19">
        <v>403</v>
      </c>
      <c r="B19">
        <v>20250307</v>
      </c>
      <c r="C19">
        <v>39001550913</v>
      </c>
      <c r="D19" t="s">
        <v>72</v>
      </c>
      <c r="E19" t="s">
        <v>73</v>
      </c>
      <c r="F19">
        <v>1</v>
      </c>
      <c r="G19" t="s">
        <v>120</v>
      </c>
      <c r="H19" t="s">
        <v>72</v>
      </c>
      <c r="I19" t="s">
        <v>157</v>
      </c>
      <c r="J19" t="s">
        <v>345</v>
      </c>
      <c r="K19" t="str">
        <f t="shared" si="0"/>
        <v>No Charger</v>
      </c>
    </row>
    <row r="20" spans="1:11" hidden="1" x14ac:dyDescent="0.2">
      <c r="A20">
        <v>423</v>
      </c>
      <c r="B20">
        <v>20250226</v>
      </c>
      <c r="C20">
        <v>39000341328</v>
      </c>
      <c r="D20" t="s">
        <v>66</v>
      </c>
      <c r="E20" t="s">
        <v>67</v>
      </c>
      <c r="F20">
        <v>1</v>
      </c>
      <c r="G20" t="s">
        <v>125</v>
      </c>
      <c r="H20" t="s">
        <v>66</v>
      </c>
      <c r="I20" t="s">
        <v>159</v>
      </c>
      <c r="J20" t="s">
        <v>240</v>
      </c>
      <c r="K20" t="str">
        <f t="shared" si="0"/>
        <v>No Charger</v>
      </c>
    </row>
    <row r="21" spans="1:11" hidden="1" x14ac:dyDescent="0.2">
      <c r="A21">
        <v>471</v>
      </c>
      <c r="B21">
        <v>20250211</v>
      </c>
      <c r="C21">
        <v>39000285168</v>
      </c>
      <c r="D21" t="s">
        <v>74</v>
      </c>
      <c r="E21" t="s">
        <v>63</v>
      </c>
      <c r="F21">
        <v>12</v>
      </c>
      <c r="G21" t="s">
        <v>96</v>
      </c>
      <c r="H21" t="s">
        <v>74</v>
      </c>
      <c r="I21" t="s">
        <v>157</v>
      </c>
      <c r="J21" t="s">
        <v>358</v>
      </c>
      <c r="K21" t="str">
        <f t="shared" si="0"/>
        <v>No Charger</v>
      </c>
    </row>
    <row r="22" spans="1:11" hidden="1" x14ac:dyDescent="0.2">
      <c r="A22">
        <v>492</v>
      </c>
      <c r="B22">
        <v>20250305</v>
      </c>
      <c r="C22">
        <v>39000662519</v>
      </c>
      <c r="D22" t="s">
        <v>68</v>
      </c>
      <c r="E22" t="s">
        <v>68</v>
      </c>
      <c r="F22">
        <v>3</v>
      </c>
      <c r="G22" t="s">
        <v>111</v>
      </c>
      <c r="H22" t="s">
        <v>68</v>
      </c>
      <c r="I22" t="s">
        <v>159</v>
      </c>
      <c r="J22" t="s">
        <v>372</v>
      </c>
      <c r="K22" t="str">
        <f t="shared" si="0"/>
        <v>No Charger</v>
      </c>
    </row>
    <row r="23" spans="1:11" hidden="1" x14ac:dyDescent="0.2">
      <c r="A23">
        <v>426</v>
      </c>
      <c r="B23">
        <v>20250225</v>
      </c>
      <c r="C23">
        <v>39001585168</v>
      </c>
      <c r="D23" t="s">
        <v>70</v>
      </c>
      <c r="E23" t="s">
        <v>71</v>
      </c>
      <c r="F23">
        <v>2</v>
      </c>
      <c r="G23" t="s">
        <v>83</v>
      </c>
      <c r="H23" t="s">
        <v>70</v>
      </c>
      <c r="I23" t="s">
        <v>159</v>
      </c>
      <c r="J23" t="s">
        <v>270</v>
      </c>
      <c r="K23" t="str">
        <f t="shared" si="0"/>
        <v>No Charger</v>
      </c>
    </row>
    <row r="24" spans="1:11" hidden="1" x14ac:dyDescent="0.2">
      <c r="A24">
        <v>422</v>
      </c>
      <c r="B24">
        <v>20250304</v>
      </c>
      <c r="C24">
        <v>39000337155</v>
      </c>
      <c r="D24" t="s">
        <v>66</v>
      </c>
      <c r="E24" t="s">
        <v>67</v>
      </c>
      <c r="F24">
        <v>1</v>
      </c>
      <c r="G24" t="s">
        <v>117</v>
      </c>
      <c r="H24" t="s">
        <v>66</v>
      </c>
      <c r="I24" t="s">
        <v>157</v>
      </c>
      <c r="J24" t="s">
        <v>360</v>
      </c>
      <c r="K24" t="str">
        <f t="shared" si="0"/>
        <v>No Charger</v>
      </c>
    </row>
    <row r="25" spans="1:11" x14ac:dyDescent="0.2">
      <c r="A25">
        <v>0</v>
      </c>
      <c r="B25">
        <v>20250129</v>
      </c>
      <c r="C25">
        <v>39000590031</v>
      </c>
      <c r="D25" t="s">
        <v>54</v>
      </c>
      <c r="E25" t="s">
        <v>55</v>
      </c>
      <c r="F25">
        <v>1</v>
      </c>
      <c r="G25" t="s">
        <v>78</v>
      </c>
      <c r="K25" t="str">
        <f t="shared" si="0"/>
        <v>No Charger</v>
      </c>
    </row>
    <row r="26" spans="1:11" hidden="1" x14ac:dyDescent="0.2">
      <c r="A26">
        <v>1</v>
      </c>
      <c r="B26">
        <v>20250117</v>
      </c>
      <c r="C26">
        <v>39000592644</v>
      </c>
      <c r="D26" t="s">
        <v>54</v>
      </c>
      <c r="E26" t="s">
        <v>55</v>
      </c>
      <c r="F26">
        <v>1</v>
      </c>
      <c r="G26" t="s">
        <v>79</v>
      </c>
      <c r="K26" t="str">
        <f t="shared" si="0"/>
        <v>No Charger</v>
      </c>
    </row>
    <row r="27" spans="1:11" hidden="1" x14ac:dyDescent="0.2">
      <c r="A27">
        <v>2</v>
      </c>
      <c r="B27">
        <v>20250304</v>
      </c>
      <c r="C27">
        <v>39002246465</v>
      </c>
      <c r="D27" t="s">
        <v>56</v>
      </c>
      <c r="E27" t="s">
        <v>57</v>
      </c>
      <c r="F27">
        <v>1</v>
      </c>
      <c r="G27" t="s">
        <v>80</v>
      </c>
      <c r="K27" t="str">
        <f t="shared" si="0"/>
        <v>No Charger</v>
      </c>
    </row>
    <row r="28" spans="1:11" hidden="1" x14ac:dyDescent="0.2">
      <c r="A28">
        <v>3</v>
      </c>
      <c r="B28">
        <v>20250224</v>
      </c>
      <c r="C28">
        <v>39000592761</v>
      </c>
      <c r="D28" t="s">
        <v>54</v>
      </c>
      <c r="E28" t="s">
        <v>55</v>
      </c>
      <c r="F28">
        <v>-0.83299999999999996</v>
      </c>
      <c r="G28" t="s">
        <v>81</v>
      </c>
      <c r="K28" t="str">
        <f t="shared" si="0"/>
        <v>No Charger</v>
      </c>
    </row>
    <row r="29" spans="1:11" hidden="1" x14ac:dyDescent="0.2">
      <c r="A29">
        <v>4</v>
      </c>
      <c r="B29">
        <v>20250218</v>
      </c>
      <c r="C29">
        <v>39000965848</v>
      </c>
      <c r="D29" t="s">
        <v>58</v>
      </c>
      <c r="E29" t="s">
        <v>59</v>
      </c>
      <c r="F29">
        <v>1</v>
      </c>
      <c r="G29" t="s">
        <v>82</v>
      </c>
      <c r="K29" t="str">
        <f t="shared" si="0"/>
        <v>No Charger</v>
      </c>
    </row>
    <row r="30" spans="1:11" hidden="1" x14ac:dyDescent="0.2">
      <c r="A30">
        <v>6</v>
      </c>
      <c r="B30">
        <v>20250130</v>
      </c>
      <c r="C30">
        <v>39000270530</v>
      </c>
      <c r="D30" t="s">
        <v>62</v>
      </c>
      <c r="E30" t="s">
        <v>63</v>
      </c>
      <c r="F30">
        <v>1</v>
      </c>
      <c r="G30" t="s">
        <v>84</v>
      </c>
      <c r="K30" t="str">
        <f t="shared" si="0"/>
        <v>No Charger</v>
      </c>
    </row>
    <row r="31" spans="1:11" hidden="1" x14ac:dyDescent="0.2">
      <c r="A31">
        <v>8</v>
      </c>
      <c r="B31">
        <v>20250122</v>
      </c>
      <c r="C31">
        <v>39000338741</v>
      </c>
      <c r="D31" t="s">
        <v>66</v>
      </c>
      <c r="E31" t="s">
        <v>67</v>
      </c>
      <c r="F31">
        <v>1</v>
      </c>
      <c r="G31" t="s">
        <v>86</v>
      </c>
      <c r="K31" t="str">
        <f t="shared" si="0"/>
        <v>No Charger</v>
      </c>
    </row>
    <row r="32" spans="1:11" hidden="1" x14ac:dyDescent="0.2">
      <c r="A32">
        <v>9</v>
      </c>
      <c r="B32">
        <v>20250217</v>
      </c>
      <c r="C32">
        <v>39000338247</v>
      </c>
      <c r="D32" t="s">
        <v>66</v>
      </c>
      <c r="E32" t="s">
        <v>67</v>
      </c>
      <c r="F32">
        <v>2</v>
      </c>
      <c r="G32" t="s">
        <v>87</v>
      </c>
      <c r="K32" t="str">
        <f t="shared" si="0"/>
        <v>No Charger</v>
      </c>
    </row>
    <row r="33" spans="1:11" x14ac:dyDescent="0.2">
      <c r="A33">
        <v>10</v>
      </c>
      <c r="B33">
        <v>20250102</v>
      </c>
      <c r="C33">
        <v>39001721837</v>
      </c>
      <c r="D33" t="s">
        <v>64</v>
      </c>
      <c r="E33" t="s">
        <v>65</v>
      </c>
      <c r="F33">
        <v>1</v>
      </c>
      <c r="G33" t="s">
        <v>78</v>
      </c>
      <c r="K33" t="str">
        <f t="shared" si="0"/>
        <v>No Charger</v>
      </c>
    </row>
    <row r="34" spans="1:11" hidden="1" x14ac:dyDescent="0.2">
      <c r="A34">
        <v>11</v>
      </c>
      <c r="B34">
        <v>20250107</v>
      </c>
      <c r="C34">
        <v>39000593008</v>
      </c>
      <c r="D34" t="s">
        <v>54</v>
      </c>
      <c r="E34" t="s">
        <v>55</v>
      </c>
      <c r="F34">
        <v>1</v>
      </c>
      <c r="G34" t="s">
        <v>79</v>
      </c>
      <c r="K34" t="str">
        <f t="shared" si="0"/>
        <v>No Charger</v>
      </c>
    </row>
    <row r="35" spans="1:11" hidden="1" x14ac:dyDescent="0.2">
      <c r="A35">
        <v>12</v>
      </c>
      <c r="B35">
        <v>20250206</v>
      </c>
      <c r="C35">
        <v>39000661479</v>
      </c>
      <c r="D35" t="s">
        <v>68</v>
      </c>
      <c r="E35" t="s">
        <v>68</v>
      </c>
      <c r="F35">
        <v>3</v>
      </c>
      <c r="G35" t="s">
        <v>88</v>
      </c>
      <c r="K35" t="str">
        <f t="shared" si="0"/>
        <v>No Charger</v>
      </c>
    </row>
    <row r="36" spans="1:11" hidden="1" x14ac:dyDescent="0.2">
      <c r="A36">
        <v>13</v>
      </c>
      <c r="B36">
        <v>20250225</v>
      </c>
      <c r="C36">
        <v>39000588380</v>
      </c>
      <c r="D36" t="s">
        <v>54</v>
      </c>
      <c r="E36" t="s">
        <v>55</v>
      </c>
      <c r="F36">
        <v>1</v>
      </c>
      <c r="G36" t="s">
        <v>89</v>
      </c>
      <c r="K36" t="str">
        <f t="shared" si="0"/>
        <v>No Charger</v>
      </c>
    </row>
    <row r="37" spans="1:11" hidden="1" x14ac:dyDescent="0.2">
      <c r="A37">
        <v>14</v>
      </c>
      <c r="B37">
        <v>20250106</v>
      </c>
      <c r="C37">
        <v>39000589030</v>
      </c>
      <c r="D37" t="s">
        <v>54</v>
      </c>
      <c r="E37" t="s">
        <v>55</v>
      </c>
      <c r="F37">
        <v>1</v>
      </c>
      <c r="G37" t="s">
        <v>90</v>
      </c>
      <c r="K37" t="str">
        <f t="shared" si="0"/>
        <v>No Charger</v>
      </c>
    </row>
    <row r="38" spans="1:11" hidden="1" x14ac:dyDescent="0.2">
      <c r="A38">
        <v>15</v>
      </c>
      <c r="B38">
        <v>20250117</v>
      </c>
      <c r="C38">
        <v>39000227929</v>
      </c>
      <c r="D38" t="s">
        <v>60</v>
      </c>
      <c r="E38" t="s">
        <v>61</v>
      </c>
      <c r="F38">
        <v>1</v>
      </c>
      <c r="G38" t="s">
        <v>86</v>
      </c>
      <c r="K38" t="str">
        <f t="shared" si="0"/>
        <v>No Charger</v>
      </c>
    </row>
    <row r="39" spans="1:11" hidden="1" x14ac:dyDescent="0.2">
      <c r="A39">
        <v>16</v>
      </c>
      <c r="B39">
        <v>20250102</v>
      </c>
      <c r="C39">
        <v>39000214487</v>
      </c>
      <c r="D39" t="s">
        <v>69</v>
      </c>
      <c r="E39" t="s">
        <v>61</v>
      </c>
      <c r="F39">
        <v>2</v>
      </c>
      <c r="G39" t="s">
        <v>91</v>
      </c>
      <c r="K39" t="str">
        <f t="shared" si="0"/>
        <v>No Charger</v>
      </c>
    </row>
    <row r="40" spans="1:11" hidden="1" x14ac:dyDescent="0.2">
      <c r="A40">
        <v>17</v>
      </c>
      <c r="B40">
        <v>20250220</v>
      </c>
      <c r="C40">
        <v>39000233038</v>
      </c>
      <c r="D40" t="s">
        <v>60</v>
      </c>
      <c r="E40" t="s">
        <v>61</v>
      </c>
      <c r="F40">
        <v>1</v>
      </c>
      <c r="G40" t="s">
        <v>92</v>
      </c>
      <c r="K40" t="str">
        <f t="shared" si="0"/>
        <v>No Charger</v>
      </c>
    </row>
    <row r="41" spans="1:11" hidden="1" x14ac:dyDescent="0.2">
      <c r="A41">
        <v>18</v>
      </c>
      <c r="B41">
        <v>20250121</v>
      </c>
      <c r="C41">
        <v>39000659945</v>
      </c>
      <c r="D41" t="s">
        <v>68</v>
      </c>
      <c r="E41" t="s">
        <v>68</v>
      </c>
      <c r="F41">
        <v>1</v>
      </c>
      <c r="G41" t="s">
        <v>79</v>
      </c>
      <c r="K41" t="str">
        <f t="shared" si="0"/>
        <v>No Charger</v>
      </c>
    </row>
    <row r="42" spans="1:11" hidden="1" x14ac:dyDescent="0.2">
      <c r="A42">
        <v>19</v>
      </c>
      <c r="B42">
        <v>20250306</v>
      </c>
      <c r="C42">
        <v>39000343330</v>
      </c>
      <c r="D42" t="s">
        <v>66</v>
      </c>
      <c r="E42" t="s">
        <v>67</v>
      </c>
      <c r="F42">
        <v>1</v>
      </c>
      <c r="G42" t="s">
        <v>80</v>
      </c>
      <c r="K42" t="str">
        <f t="shared" si="0"/>
        <v>No Charger</v>
      </c>
    </row>
    <row r="43" spans="1:11" hidden="1" x14ac:dyDescent="0.2">
      <c r="A43">
        <v>20</v>
      </c>
      <c r="B43">
        <v>20250131</v>
      </c>
      <c r="C43">
        <v>39000667238</v>
      </c>
      <c r="D43" t="s">
        <v>68</v>
      </c>
      <c r="E43" t="s">
        <v>68</v>
      </c>
      <c r="F43">
        <v>1</v>
      </c>
      <c r="G43" t="s">
        <v>93</v>
      </c>
      <c r="K43" t="str">
        <f t="shared" si="0"/>
        <v>No Charger</v>
      </c>
    </row>
    <row r="44" spans="1:11" hidden="1" x14ac:dyDescent="0.2">
      <c r="A44">
        <v>21</v>
      </c>
      <c r="B44">
        <v>20250211</v>
      </c>
      <c r="C44">
        <v>39000957619</v>
      </c>
      <c r="D44" t="s">
        <v>58</v>
      </c>
      <c r="E44" t="s">
        <v>59</v>
      </c>
      <c r="F44">
        <v>1</v>
      </c>
      <c r="G44" t="s">
        <v>94</v>
      </c>
      <c r="K44" t="str">
        <f t="shared" si="0"/>
        <v>No Charger</v>
      </c>
    </row>
    <row r="45" spans="1:11" hidden="1" x14ac:dyDescent="0.2">
      <c r="A45">
        <v>22</v>
      </c>
      <c r="B45">
        <v>20250305</v>
      </c>
      <c r="C45">
        <v>39000658580</v>
      </c>
      <c r="D45" t="s">
        <v>68</v>
      </c>
      <c r="E45" t="s">
        <v>68</v>
      </c>
      <c r="F45">
        <v>2</v>
      </c>
      <c r="G45" t="s">
        <v>95</v>
      </c>
      <c r="K45" t="str">
        <f t="shared" si="0"/>
        <v>No Charger</v>
      </c>
    </row>
    <row r="46" spans="1:11" hidden="1" x14ac:dyDescent="0.2">
      <c r="A46">
        <v>23</v>
      </c>
      <c r="B46">
        <v>20250227</v>
      </c>
      <c r="C46">
        <v>39000338312</v>
      </c>
      <c r="D46" t="s">
        <v>66</v>
      </c>
      <c r="E46" t="s">
        <v>67</v>
      </c>
      <c r="F46">
        <v>1</v>
      </c>
      <c r="G46" t="s">
        <v>96</v>
      </c>
      <c r="K46" t="str">
        <f t="shared" si="0"/>
        <v>No Charger</v>
      </c>
    </row>
    <row r="47" spans="1:11" hidden="1" x14ac:dyDescent="0.2">
      <c r="A47">
        <v>24</v>
      </c>
      <c r="B47">
        <v>20250310</v>
      </c>
      <c r="C47">
        <v>39000220194</v>
      </c>
      <c r="D47" t="s">
        <v>60</v>
      </c>
      <c r="E47" t="s">
        <v>61</v>
      </c>
      <c r="F47">
        <v>1</v>
      </c>
      <c r="G47" t="s">
        <v>97</v>
      </c>
      <c r="K47" t="str">
        <f t="shared" si="0"/>
        <v>No Charger</v>
      </c>
    </row>
    <row r="48" spans="1:11" hidden="1" x14ac:dyDescent="0.2">
      <c r="A48">
        <v>453</v>
      </c>
      <c r="B48">
        <v>20250106</v>
      </c>
      <c r="C48">
        <v>39000220194</v>
      </c>
      <c r="D48" t="s">
        <v>60</v>
      </c>
      <c r="E48" t="s">
        <v>61</v>
      </c>
      <c r="F48">
        <v>6</v>
      </c>
      <c r="G48" t="s">
        <v>96</v>
      </c>
      <c r="K48" t="str">
        <f t="shared" si="0"/>
        <v>No Charger</v>
      </c>
    </row>
    <row r="49" spans="1:11" hidden="1" x14ac:dyDescent="0.2">
      <c r="A49">
        <v>25</v>
      </c>
      <c r="B49">
        <v>20250214</v>
      </c>
      <c r="C49">
        <v>39000343408</v>
      </c>
      <c r="D49" t="s">
        <v>66</v>
      </c>
      <c r="E49" t="s">
        <v>67</v>
      </c>
      <c r="F49">
        <v>2</v>
      </c>
      <c r="G49" t="s">
        <v>88</v>
      </c>
      <c r="K49" t="str">
        <f t="shared" si="0"/>
        <v>No Charger</v>
      </c>
    </row>
    <row r="50" spans="1:11" hidden="1" x14ac:dyDescent="0.2">
      <c r="A50">
        <v>26</v>
      </c>
      <c r="B50">
        <v>20250219</v>
      </c>
      <c r="C50">
        <v>39000196846</v>
      </c>
      <c r="D50" t="s">
        <v>60</v>
      </c>
      <c r="E50" t="s">
        <v>61</v>
      </c>
      <c r="F50">
        <v>1</v>
      </c>
      <c r="G50" t="s">
        <v>98</v>
      </c>
      <c r="K50" t="str">
        <f t="shared" si="0"/>
        <v>No Charger</v>
      </c>
    </row>
    <row r="51" spans="1:11" hidden="1" x14ac:dyDescent="0.2">
      <c r="A51">
        <v>27</v>
      </c>
      <c r="B51">
        <v>20250206</v>
      </c>
      <c r="C51">
        <v>39000197990</v>
      </c>
      <c r="D51" t="s">
        <v>69</v>
      </c>
      <c r="E51" t="s">
        <v>61</v>
      </c>
      <c r="F51">
        <v>1</v>
      </c>
      <c r="G51" t="s">
        <v>89</v>
      </c>
      <c r="K51" t="str">
        <f t="shared" si="0"/>
        <v>No Charger</v>
      </c>
    </row>
    <row r="52" spans="1:11" hidden="1" x14ac:dyDescent="0.2">
      <c r="A52">
        <v>28</v>
      </c>
      <c r="B52">
        <v>20250227</v>
      </c>
      <c r="C52">
        <v>39000337753</v>
      </c>
      <c r="D52" t="s">
        <v>66</v>
      </c>
      <c r="E52" t="s">
        <v>67</v>
      </c>
      <c r="F52">
        <v>1</v>
      </c>
      <c r="G52" t="s">
        <v>99</v>
      </c>
      <c r="K52" t="str">
        <f t="shared" si="0"/>
        <v>No Charger</v>
      </c>
    </row>
    <row r="53" spans="1:11" hidden="1" x14ac:dyDescent="0.2">
      <c r="A53">
        <v>29</v>
      </c>
      <c r="B53">
        <v>20250129</v>
      </c>
      <c r="C53">
        <v>39001725984</v>
      </c>
      <c r="D53" t="s">
        <v>70</v>
      </c>
      <c r="E53" t="s">
        <v>71</v>
      </c>
      <c r="F53">
        <v>1</v>
      </c>
      <c r="G53" t="s">
        <v>99</v>
      </c>
      <c r="K53" t="str">
        <f t="shared" si="0"/>
        <v>No Charger</v>
      </c>
    </row>
    <row r="54" spans="1:11" hidden="1" x14ac:dyDescent="0.2">
      <c r="A54">
        <v>30</v>
      </c>
      <c r="B54">
        <v>20250221</v>
      </c>
      <c r="C54">
        <v>39001434927</v>
      </c>
      <c r="D54" t="s">
        <v>70</v>
      </c>
      <c r="E54" t="s">
        <v>71</v>
      </c>
      <c r="F54">
        <v>2</v>
      </c>
      <c r="G54" t="s">
        <v>100</v>
      </c>
      <c r="K54" t="str">
        <f t="shared" si="0"/>
        <v>No Charger</v>
      </c>
    </row>
    <row r="55" spans="1:11" hidden="1" x14ac:dyDescent="0.2">
      <c r="A55">
        <v>31</v>
      </c>
      <c r="B55">
        <v>20250225</v>
      </c>
      <c r="C55">
        <v>39000594919</v>
      </c>
      <c r="D55" t="s">
        <v>54</v>
      </c>
      <c r="E55" t="s">
        <v>55</v>
      </c>
      <c r="F55">
        <v>1</v>
      </c>
      <c r="G55" t="s">
        <v>83</v>
      </c>
      <c r="K55" t="str">
        <f t="shared" si="0"/>
        <v>No Charger</v>
      </c>
    </row>
    <row r="56" spans="1:11" hidden="1" x14ac:dyDescent="0.2">
      <c r="A56">
        <v>32</v>
      </c>
      <c r="B56">
        <v>20250211</v>
      </c>
      <c r="C56">
        <v>39000217126</v>
      </c>
      <c r="D56" t="s">
        <v>60</v>
      </c>
      <c r="E56" t="s">
        <v>61</v>
      </c>
      <c r="F56">
        <v>1</v>
      </c>
      <c r="G56" t="s">
        <v>101</v>
      </c>
      <c r="K56" t="str">
        <f t="shared" si="0"/>
        <v>No Charger</v>
      </c>
    </row>
    <row r="57" spans="1:11" hidden="1" x14ac:dyDescent="0.2">
      <c r="A57">
        <v>33</v>
      </c>
      <c r="B57">
        <v>20250219</v>
      </c>
      <c r="C57">
        <v>39000336752</v>
      </c>
      <c r="D57" t="s">
        <v>66</v>
      </c>
      <c r="E57" t="s">
        <v>67</v>
      </c>
      <c r="F57">
        <v>1</v>
      </c>
      <c r="G57" t="s">
        <v>89</v>
      </c>
      <c r="K57" t="str">
        <f t="shared" si="0"/>
        <v>No Charger</v>
      </c>
    </row>
    <row r="58" spans="1:11" hidden="1" x14ac:dyDescent="0.2">
      <c r="A58">
        <v>34</v>
      </c>
      <c r="B58">
        <v>20250303</v>
      </c>
      <c r="C58">
        <v>39000217074</v>
      </c>
      <c r="D58" t="s">
        <v>60</v>
      </c>
      <c r="E58" t="s">
        <v>61</v>
      </c>
      <c r="F58">
        <v>1</v>
      </c>
      <c r="G58" t="s">
        <v>102</v>
      </c>
      <c r="K58" t="str">
        <f t="shared" si="0"/>
        <v>No Charger</v>
      </c>
    </row>
    <row r="59" spans="1:11" hidden="1" x14ac:dyDescent="0.2">
      <c r="A59">
        <v>36</v>
      </c>
      <c r="B59">
        <v>20250224</v>
      </c>
      <c r="C59">
        <v>39000337532</v>
      </c>
      <c r="D59" t="s">
        <v>66</v>
      </c>
      <c r="E59" t="s">
        <v>67</v>
      </c>
      <c r="F59">
        <v>1</v>
      </c>
      <c r="G59" t="s">
        <v>104</v>
      </c>
      <c r="K59" t="str">
        <f t="shared" si="0"/>
        <v>No Charger</v>
      </c>
    </row>
    <row r="60" spans="1:11" hidden="1" x14ac:dyDescent="0.2">
      <c r="A60">
        <v>37</v>
      </c>
      <c r="B60">
        <v>20250228</v>
      </c>
      <c r="C60">
        <v>39001417507</v>
      </c>
      <c r="D60" t="s">
        <v>70</v>
      </c>
      <c r="E60" t="s">
        <v>71</v>
      </c>
      <c r="F60">
        <v>4</v>
      </c>
      <c r="G60" t="s">
        <v>88</v>
      </c>
      <c r="K60" t="str">
        <f t="shared" si="0"/>
        <v>No Charger</v>
      </c>
    </row>
    <row r="61" spans="1:11" hidden="1" x14ac:dyDescent="0.2">
      <c r="A61">
        <v>38</v>
      </c>
      <c r="B61">
        <v>20250226</v>
      </c>
      <c r="C61">
        <v>39000597025</v>
      </c>
      <c r="D61" t="s">
        <v>54</v>
      </c>
      <c r="E61" t="s">
        <v>55</v>
      </c>
      <c r="F61">
        <v>1</v>
      </c>
      <c r="G61" t="s">
        <v>105</v>
      </c>
      <c r="K61" t="str">
        <f t="shared" si="0"/>
        <v>No Charger</v>
      </c>
    </row>
    <row r="62" spans="1:11" x14ac:dyDescent="0.2">
      <c r="A62">
        <v>39</v>
      </c>
      <c r="B62">
        <v>20250214</v>
      </c>
      <c r="C62">
        <v>39000234273</v>
      </c>
      <c r="D62" t="s">
        <v>60</v>
      </c>
      <c r="E62" t="s">
        <v>61</v>
      </c>
      <c r="F62">
        <v>1</v>
      </c>
      <c r="G62" t="s">
        <v>78</v>
      </c>
      <c r="K62" t="str">
        <f t="shared" si="0"/>
        <v>No Charger</v>
      </c>
    </row>
    <row r="63" spans="1:11" hidden="1" x14ac:dyDescent="0.2">
      <c r="A63">
        <v>40</v>
      </c>
      <c r="B63">
        <v>20250207</v>
      </c>
      <c r="C63">
        <v>39001488136</v>
      </c>
      <c r="D63" t="s">
        <v>72</v>
      </c>
      <c r="E63" t="s">
        <v>73</v>
      </c>
      <c r="F63">
        <v>1</v>
      </c>
      <c r="G63" t="s">
        <v>79</v>
      </c>
      <c r="K63" t="str">
        <f t="shared" si="0"/>
        <v>No Charger</v>
      </c>
    </row>
    <row r="64" spans="1:11" hidden="1" x14ac:dyDescent="0.2">
      <c r="A64">
        <v>41</v>
      </c>
      <c r="B64">
        <v>20250115</v>
      </c>
      <c r="C64">
        <v>39000203164</v>
      </c>
      <c r="D64" t="s">
        <v>60</v>
      </c>
      <c r="E64" t="s">
        <v>61</v>
      </c>
      <c r="F64">
        <v>1</v>
      </c>
      <c r="G64" t="s">
        <v>92</v>
      </c>
      <c r="K64" t="str">
        <f t="shared" si="0"/>
        <v>No Charger</v>
      </c>
    </row>
    <row r="65" spans="1:11" hidden="1" x14ac:dyDescent="0.2">
      <c r="A65">
        <v>42</v>
      </c>
      <c r="B65">
        <v>20250210</v>
      </c>
      <c r="C65">
        <v>39000664963</v>
      </c>
      <c r="D65" t="s">
        <v>68</v>
      </c>
      <c r="E65" t="s">
        <v>68</v>
      </c>
      <c r="F65">
        <v>1</v>
      </c>
      <c r="G65" t="s">
        <v>106</v>
      </c>
      <c r="K65" t="str">
        <f t="shared" si="0"/>
        <v>No Charger</v>
      </c>
    </row>
    <row r="66" spans="1:11" hidden="1" x14ac:dyDescent="0.2">
      <c r="A66">
        <v>43</v>
      </c>
      <c r="B66">
        <v>20250211</v>
      </c>
      <c r="C66">
        <v>39000280943</v>
      </c>
      <c r="D66" t="s">
        <v>74</v>
      </c>
      <c r="E66" t="s">
        <v>63</v>
      </c>
      <c r="F66">
        <v>1</v>
      </c>
      <c r="G66" t="s">
        <v>92</v>
      </c>
      <c r="K66" t="str">
        <f t="shared" ref="K66:K129" si="1">IF(I66="Charger","Has Charger","No Charger")</f>
        <v>No Charger</v>
      </c>
    </row>
    <row r="67" spans="1:11" hidden="1" x14ac:dyDescent="0.2">
      <c r="A67">
        <v>44</v>
      </c>
      <c r="B67">
        <v>20250205</v>
      </c>
      <c r="C67">
        <v>39001619709</v>
      </c>
      <c r="D67" t="s">
        <v>72</v>
      </c>
      <c r="E67" t="s">
        <v>73</v>
      </c>
      <c r="F67">
        <v>1</v>
      </c>
      <c r="G67" t="s">
        <v>79</v>
      </c>
      <c r="K67" t="str">
        <f t="shared" si="1"/>
        <v>No Charger</v>
      </c>
    </row>
    <row r="68" spans="1:11" hidden="1" x14ac:dyDescent="0.2">
      <c r="A68">
        <v>45</v>
      </c>
      <c r="B68">
        <v>20250304</v>
      </c>
      <c r="C68">
        <v>39000220714</v>
      </c>
      <c r="D68" t="s">
        <v>60</v>
      </c>
      <c r="E68" t="s">
        <v>61</v>
      </c>
      <c r="F68">
        <v>4</v>
      </c>
      <c r="G68" t="s">
        <v>107</v>
      </c>
      <c r="K68" t="str">
        <f t="shared" si="1"/>
        <v>No Charger</v>
      </c>
    </row>
    <row r="69" spans="1:11" hidden="1" x14ac:dyDescent="0.2">
      <c r="A69">
        <v>46</v>
      </c>
      <c r="B69">
        <v>20250106</v>
      </c>
      <c r="C69">
        <v>39001587833</v>
      </c>
      <c r="D69" t="s">
        <v>70</v>
      </c>
      <c r="E69" t="s">
        <v>71</v>
      </c>
      <c r="F69">
        <v>5</v>
      </c>
      <c r="G69" t="s">
        <v>88</v>
      </c>
      <c r="K69" t="str">
        <f t="shared" si="1"/>
        <v>No Charger</v>
      </c>
    </row>
    <row r="70" spans="1:11" hidden="1" x14ac:dyDescent="0.2">
      <c r="A70">
        <v>47</v>
      </c>
      <c r="B70">
        <v>20250310</v>
      </c>
      <c r="C70">
        <v>39000585429</v>
      </c>
      <c r="D70" t="s">
        <v>54</v>
      </c>
      <c r="E70" t="s">
        <v>55</v>
      </c>
      <c r="F70">
        <v>1</v>
      </c>
      <c r="G70" t="s">
        <v>108</v>
      </c>
      <c r="K70" t="str">
        <f t="shared" si="1"/>
        <v>No Charger</v>
      </c>
    </row>
    <row r="71" spans="1:11" hidden="1" x14ac:dyDescent="0.2">
      <c r="A71">
        <v>48</v>
      </c>
      <c r="B71">
        <v>20250123</v>
      </c>
      <c r="C71">
        <v>39002665507</v>
      </c>
      <c r="D71" t="s">
        <v>74</v>
      </c>
      <c r="E71" t="s">
        <v>63</v>
      </c>
      <c r="F71">
        <v>1</v>
      </c>
      <c r="G71" t="s">
        <v>108</v>
      </c>
      <c r="K71" t="str">
        <f t="shared" si="1"/>
        <v>No Charger</v>
      </c>
    </row>
    <row r="72" spans="1:11" hidden="1" x14ac:dyDescent="0.2">
      <c r="A72">
        <v>49</v>
      </c>
      <c r="B72">
        <v>20250307</v>
      </c>
      <c r="C72">
        <v>39000585663</v>
      </c>
      <c r="D72" t="s">
        <v>54</v>
      </c>
      <c r="E72" t="s">
        <v>55</v>
      </c>
      <c r="F72">
        <v>-8.3000000000000004E-2</v>
      </c>
      <c r="G72" t="s">
        <v>90</v>
      </c>
      <c r="K72" t="str">
        <f t="shared" si="1"/>
        <v>No Charger</v>
      </c>
    </row>
    <row r="73" spans="1:11" hidden="1" x14ac:dyDescent="0.2">
      <c r="A73">
        <v>50</v>
      </c>
      <c r="B73">
        <v>20250220</v>
      </c>
      <c r="C73">
        <v>39001542060</v>
      </c>
      <c r="D73" t="s">
        <v>70</v>
      </c>
      <c r="E73" t="s">
        <v>71</v>
      </c>
      <c r="F73">
        <v>2</v>
      </c>
      <c r="G73" t="s">
        <v>79</v>
      </c>
      <c r="K73" t="str">
        <f t="shared" si="1"/>
        <v>No Charger</v>
      </c>
    </row>
    <row r="74" spans="1:11" hidden="1" x14ac:dyDescent="0.2">
      <c r="A74">
        <v>52</v>
      </c>
      <c r="B74">
        <v>20250115</v>
      </c>
      <c r="C74">
        <v>39000233207</v>
      </c>
      <c r="D74" t="s">
        <v>60</v>
      </c>
      <c r="E74" t="s">
        <v>61</v>
      </c>
      <c r="F74">
        <v>1</v>
      </c>
      <c r="G74" t="s">
        <v>109</v>
      </c>
      <c r="K74" t="str">
        <f t="shared" si="1"/>
        <v>No Charger</v>
      </c>
    </row>
    <row r="75" spans="1:11" hidden="1" x14ac:dyDescent="0.2">
      <c r="A75">
        <v>53</v>
      </c>
      <c r="B75">
        <v>20250226</v>
      </c>
      <c r="C75">
        <v>39001549574</v>
      </c>
      <c r="D75" t="s">
        <v>70</v>
      </c>
      <c r="E75" t="s">
        <v>71</v>
      </c>
      <c r="F75">
        <v>1</v>
      </c>
      <c r="G75" t="s">
        <v>110</v>
      </c>
      <c r="K75" t="str">
        <f t="shared" si="1"/>
        <v>No Charger</v>
      </c>
    </row>
    <row r="76" spans="1:11" hidden="1" x14ac:dyDescent="0.2">
      <c r="A76">
        <v>54</v>
      </c>
      <c r="B76">
        <v>20250107</v>
      </c>
      <c r="C76">
        <v>39001434849</v>
      </c>
      <c r="D76" t="s">
        <v>70</v>
      </c>
      <c r="E76" t="s">
        <v>71</v>
      </c>
      <c r="F76">
        <v>2</v>
      </c>
      <c r="G76" t="s">
        <v>100</v>
      </c>
      <c r="K76" t="str">
        <f t="shared" si="1"/>
        <v>No Charger</v>
      </c>
    </row>
    <row r="77" spans="1:11" hidden="1" x14ac:dyDescent="0.2">
      <c r="A77">
        <v>55</v>
      </c>
      <c r="B77">
        <v>20250217</v>
      </c>
      <c r="C77">
        <v>39002246933</v>
      </c>
      <c r="D77" t="s">
        <v>56</v>
      </c>
      <c r="E77" t="s">
        <v>57</v>
      </c>
      <c r="F77">
        <v>1</v>
      </c>
      <c r="G77" t="s">
        <v>99</v>
      </c>
      <c r="K77" t="str">
        <f t="shared" si="1"/>
        <v>No Charger</v>
      </c>
    </row>
    <row r="78" spans="1:11" hidden="1" x14ac:dyDescent="0.2">
      <c r="A78">
        <v>116</v>
      </c>
      <c r="B78">
        <v>20250113</v>
      </c>
      <c r="C78">
        <v>39002246933</v>
      </c>
      <c r="D78" t="s">
        <v>56</v>
      </c>
      <c r="E78" t="s">
        <v>57</v>
      </c>
      <c r="F78">
        <v>1</v>
      </c>
      <c r="G78" t="s">
        <v>128</v>
      </c>
      <c r="K78" t="str">
        <f t="shared" si="1"/>
        <v>No Charger</v>
      </c>
    </row>
    <row r="79" spans="1:11" hidden="1" x14ac:dyDescent="0.2">
      <c r="A79">
        <v>56</v>
      </c>
      <c r="B79">
        <v>20250122</v>
      </c>
      <c r="C79">
        <v>39001713088</v>
      </c>
      <c r="D79" t="s">
        <v>64</v>
      </c>
      <c r="E79" t="s">
        <v>65</v>
      </c>
      <c r="F79">
        <v>1</v>
      </c>
      <c r="G79" t="s">
        <v>111</v>
      </c>
      <c r="K79" t="str">
        <f t="shared" si="1"/>
        <v>No Charger</v>
      </c>
    </row>
    <row r="80" spans="1:11" hidden="1" x14ac:dyDescent="0.2">
      <c r="A80">
        <v>57</v>
      </c>
      <c r="B80">
        <v>20250114</v>
      </c>
      <c r="C80">
        <v>39000661856</v>
      </c>
      <c r="D80" t="s">
        <v>68</v>
      </c>
      <c r="E80" t="s">
        <v>68</v>
      </c>
      <c r="F80">
        <v>-3</v>
      </c>
      <c r="G80" t="s">
        <v>92</v>
      </c>
      <c r="K80" t="str">
        <f t="shared" si="1"/>
        <v>No Charger</v>
      </c>
    </row>
    <row r="81" spans="1:11" hidden="1" x14ac:dyDescent="0.2">
      <c r="A81">
        <v>58</v>
      </c>
      <c r="B81">
        <v>20250107</v>
      </c>
      <c r="C81">
        <v>39001712386</v>
      </c>
      <c r="D81" t="s">
        <v>64</v>
      </c>
      <c r="E81" t="s">
        <v>65</v>
      </c>
      <c r="F81">
        <v>1</v>
      </c>
      <c r="G81" t="s">
        <v>112</v>
      </c>
      <c r="K81" t="str">
        <f t="shared" si="1"/>
        <v>No Charger</v>
      </c>
    </row>
    <row r="82" spans="1:11" hidden="1" x14ac:dyDescent="0.2">
      <c r="A82">
        <v>59</v>
      </c>
      <c r="B82">
        <v>20250127</v>
      </c>
      <c r="C82">
        <v>39002363153</v>
      </c>
      <c r="D82" t="s">
        <v>68</v>
      </c>
      <c r="E82" t="s">
        <v>68</v>
      </c>
      <c r="F82">
        <v>2</v>
      </c>
      <c r="G82" t="s">
        <v>84</v>
      </c>
      <c r="K82" t="str">
        <f t="shared" si="1"/>
        <v>No Charger</v>
      </c>
    </row>
    <row r="83" spans="1:11" hidden="1" x14ac:dyDescent="0.2">
      <c r="A83">
        <v>60</v>
      </c>
      <c r="B83">
        <v>20250113</v>
      </c>
      <c r="C83">
        <v>39001700140</v>
      </c>
      <c r="D83" t="s">
        <v>64</v>
      </c>
      <c r="E83" t="s">
        <v>65</v>
      </c>
      <c r="F83">
        <v>1</v>
      </c>
      <c r="G83" t="s">
        <v>103</v>
      </c>
      <c r="K83" t="str">
        <f t="shared" si="1"/>
        <v>No Charger</v>
      </c>
    </row>
    <row r="84" spans="1:11" hidden="1" x14ac:dyDescent="0.2">
      <c r="A84">
        <v>61</v>
      </c>
      <c r="B84">
        <v>20250210</v>
      </c>
      <c r="C84">
        <v>39000949832</v>
      </c>
      <c r="D84" t="s">
        <v>58</v>
      </c>
      <c r="E84" t="s">
        <v>59</v>
      </c>
      <c r="F84">
        <v>1</v>
      </c>
      <c r="G84" t="s">
        <v>82</v>
      </c>
      <c r="K84" t="str">
        <f t="shared" si="1"/>
        <v>No Charger</v>
      </c>
    </row>
    <row r="85" spans="1:11" hidden="1" x14ac:dyDescent="0.2">
      <c r="A85">
        <v>308</v>
      </c>
      <c r="B85">
        <v>20250203</v>
      </c>
      <c r="C85">
        <v>39000949832</v>
      </c>
      <c r="D85" t="s">
        <v>58</v>
      </c>
      <c r="E85" t="s">
        <v>59</v>
      </c>
      <c r="F85">
        <v>1</v>
      </c>
      <c r="G85" t="s">
        <v>103</v>
      </c>
      <c r="K85" t="str">
        <f t="shared" si="1"/>
        <v>No Charger</v>
      </c>
    </row>
    <row r="86" spans="1:11" hidden="1" x14ac:dyDescent="0.2">
      <c r="A86">
        <v>62</v>
      </c>
      <c r="B86">
        <v>20250108</v>
      </c>
      <c r="C86">
        <v>39000198731</v>
      </c>
      <c r="D86" t="s">
        <v>60</v>
      </c>
      <c r="E86" t="s">
        <v>61</v>
      </c>
      <c r="F86">
        <v>3</v>
      </c>
      <c r="G86" t="s">
        <v>113</v>
      </c>
      <c r="K86" t="str">
        <f t="shared" si="1"/>
        <v>No Charger</v>
      </c>
    </row>
    <row r="87" spans="1:11" hidden="1" x14ac:dyDescent="0.2">
      <c r="A87">
        <v>63</v>
      </c>
      <c r="B87">
        <v>20250227</v>
      </c>
      <c r="C87">
        <v>39000960986</v>
      </c>
      <c r="D87" t="s">
        <v>58</v>
      </c>
      <c r="E87" t="s">
        <v>59</v>
      </c>
      <c r="F87">
        <v>1</v>
      </c>
      <c r="G87" t="s">
        <v>114</v>
      </c>
      <c r="K87" t="str">
        <f t="shared" si="1"/>
        <v>No Charger</v>
      </c>
    </row>
    <row r="88" spans="1:11" hidden="1" x14ac:dyDescent="0.2">
      <c r="A88">
        <v>64</v>
      </c>
      <c r="B88">
        <v>20250123</v>
      </c>
      <c r="C88">
        <v>39000662402</v>
      </c>
      <c r="D88" t="s">
        <v>68</v>
      </c>
      <c r="E88" t="s">
        <v>68</v>
      </c>
      <c r="F88">
        <v>2</v>
      </c>
      <c r="G88" t="s">
        <v>89</v>
      </c>
      <c r="K88" t="str">
        <f t="shared" si="1"/>
        <v>No Charger</v>
      </c>
    </row>
    <row r="89" spans="1:11" hidden="1" x14ac:dyDescent="0.2">
      <c r="A89">
        <v>65</v>
      </c>
      <c r="B89">
        <v>20250131</v>
      </c>
      <c r="C89">
        <v>39001519713</v>
      </c>
      <c r="D89" t="s">
        <v>70</v>
      </c>
      <c r="E89" t="s">
        <v>71</v>
      </c>
      <c r="F89">
        <v>1</v>
      </c>
      <c r="G89" t="s">
        <v>100</v>
      </c>
      <c r="K89" t="str">
        <f t="shared" si="1"/>
        <v>No Charger</v>
      </c>
    </row>
    <row r="90" spans="1:11" hidden="1" x14ac:dyDescent="0.2">
      <c r="A90">
        <v>66</v>
      </c>
      <c r="B90">
        <v>20250210</v>
      </c>
      <c r="C90">
        <v>39001551628</v>
      </c>
      <c r="D90" t="s">
        <v>70</v>
      </c>
      <c r="E90" t="s">
        <v>71</v>
      </c>
      <c r="F90">
        <v>2</v>
      </c>
      <c r="G90" t="s">
        <v>100</v>
      </c>
      <c r="K90" t="str">
        <f t="shared" si="1"/>
        <v>No Charger</v>
      </c>
    </row>
    <row r="91" spans="1:11" hidden="1" x14ac:dyDescent="0.2">
      <c r="A91">
        <v>67</v>
      </c>
      <c r="B91">
        <v>20250116</v>
      </c>
      <c r="C91">
        <v>39001486329</v>
      </c>
      <c r="D91" t="s">
        <v>72</v>
      </c>
      <c r="E91" t="s">
        <v>73</v>
      </c>
      <c r="F91">
        <v>1</v>
      </c>
      <c r="G91" t="s">
        <v>115</v>
      </c>
      <c r="K91" t="str">
        <f t="shared" si="1"/>
        <v>No Charger</v>
      </c>
    </row>
    <row r="92" spans="1:11" hidden="1" x14ac:dyDescent="0.2">
      <c r="A92">
        <v>68</v>
      </c>
      <c r="B92">
        <v>20250115</v>
      </c>
      <c r="C92">
        <v>39000240968</v>
      </c>
      <c r="D92" t="s">
        <v>60</v>
      </c>
      <c r="E92" t="s">
        <v>61</v>
      </c>
      <c r="F92">
        <v>1</v>
      </c>
      <c r="G92" t="s">
        <v>83</v>
      </c>
      <c r="K92" t="str">
        <f t="shared" si="1"/>
        <v>No Charger</v>
      </c>
    </row>
    <row r="93" spans="1:11" hidden="1" x14ac:dyDescent="0.2">
      <c r="A93">
        <v>69</v>
      </c>
      <c r="B93">
        <v>20250117</v>
      </c>
      <c r="C93">
        <v>39002192853</v>
      </c>
      <c r="D93" t="s">
        <v>56</v>
      </c>
      <c r="E93" t="s">
        <v>57</v>
      </c>
      <c r="F93">
        <v>1</v>
      </c>
      <c r="G93" t="s">
        <v>116</v>
      </c>
      <c r="K93" t="str">
        <f t="shared" si="1"/>
        <v>No Charger</v>
      </c>
    </row>
    <row r="94" spans="1:11" hidden="1" x14ac:dyDescent="0.2">
      <c r="A94">
        <v>70</v>
      </c>
      <c r="B94">
        <v>20250224</v>
      </c>
      <c r="C94">
        <v>39000226265</v>
      </c>
      <c r="D94" t="s">
        <v>60</v>
      </c>
      <c r="E94" t="s">
        <v>61</v>
      </c>
      <c r="F94">
        <v>1</v>
      </c>
      <c r="G94" t="s">
        <v>98</v>
      </c>
      <c r="K94" t="str">
        <f t="shared" si="1"/>
        <v>No Charger</v>
      </c>
    </row>
    <row r="95" spans="1:11" hidden="1" x14ac:dyDescent="0.2">
      <c r="A95">
        <v>71</v>
      </c>
      <c r="B95">
        <v>20250107</v>
      </c>
      <c r="C95">
        <v>39000965926</v>
      </c>
      <c r="D95" t="s">
        <v>58</v>
      </c>
      <c r="E95" t="s">
        <v>59</v>
      </c>
      <c r="F95">
        <v>1</v>
      </c>
      <c r="G95" t="s">
        <v>117</v>
      </c>
      <c r="K95" t="str">
        <f t="shared" si="1"/>
        <v>No Charger</v>
      </c>
    </row>
    <row r="96" spans="1:11" hidden="1" x14ac:dyDescent="0.2">
      <c r="A96">
        <v>72</v>
      </c>
      <c r="B96">
        <v>20250106</v>
      </c>
      <c r="C96">
        <v>39000281164</v>
      </c>
      <c r="D96" t="s">
        <v>74</v>
      </c>
      <c r="E96" t="s">
        <v>63</v>
      </c>
      <c r="F96">
        <v>1</v>
      </c>
      <c r="G96" t="s">
        <v>111</v>
      </c>
      <c r="K96" t="str">
        <f t="shared" si="1"/>
        <v>No Charger</v>
      </c>
    </row>
    <row r="97" spans="1:11" hidden="1" x14ac:dyDescent="0.2">
      <c r="A97">
        <v>73</v>
      </c>
      <c r="B97">
        <v>20250107</v>
      </c>
      <c r="C97">
        <v>39000963014</v>
      </c>
      <c r="D97" t="s">
        <v>58</v>
      </c>
      <c r="E97" t="s">
        <v>59</v>
      </c>
      <c r="F97">
        <v>1</v>
      </c>
      <c r="G97" t="s">
        <v>103</v>
      </c>
      <c r="K97" t="str">
        <f t="shared" si="1"/>
        <v>No Charger</v>
      </c>
    </row>
    <row r="98" spans="1:11" hidden="1" x14ac:dyDescent="0.2">
      <c r="A98">
        <v>74</v>
      </c>
      <c r="B98">
        <v>20250226</v>
      </c>
      <c r="C98">
        <v>39000228020</v>
      </c>
      <c r="D98" t="s">
        <v>69</v>
      </c>
      <c r="E98" t="s">
        <v>61</v>
      </c>
      <c r="F98">
        <v>1</v>
      </c>
      <c r="G98" t="s">
        <v>116</v>
      </c>
      <c r="K98" t="str">
        <f t="shared" si="1"/>
        <v>No Charger</v>
      </c>
    </row>
    <row r="99" spans="1:11" hidden="1" x14ac:dyDescent="0.2">
      <c r="A99">
        <v>75</v>
      </c>
      <c r="B99">
        <v>20250205</v>
      </c>
      <c r="C99">
        <v>39000202462</v>
      </c>
      <c r="D99" t="s">
        <v>60</v>
      </c>
      <c r="E99" t="s">
        <v>61</v>
      </c>
      <c r="F99">
        <v>-0.25</v>
      </c>
      <c r="G99" t="s">
        <v>92</v>
      </c>
      <c r="K99" t="str">
        <f t="shared" si="1"/>
        <v>No Charger</v>
      </c>
    </row>
    <row r="100" spans="1:11" hidden="1" x14ac:dyDescent="0.2">
      <c r="A100">
        <v>76</v>
      </c>
      <c r="B100">
        <v>20250306</v>
      </c>
      <c r="C100">
        <v>39000196638</v>
      </c>
      <c r="D100" t="s">
        <v>60</v>
      </c>
      <c r="E100" t="s">
        <v>61</v>
      </c>
      <c r="F100">
        <v>1</v>
      </c>
      <c r="G100" t="s">
        <v>108</v>
      </c>
      <c r="K100" t="str">
        <f t="shared" si="1"/>
        <v>No Charger</v>
      </c>
    </row>
    <row r="101" spans="1:11" hidden="1" x14ac:dyDescent="0.2">
      <c r="A101">
        <v>77</v>
      </c>
      <c r="B101">
        <v>20250128</v>
      </c>
      <c r="C101">
        <v>39000971204</v>
      </c>
      <c r="D101" t="s">
        <v>58</v>
      </c>
      <c r="E101" t="s">
        <v>59</v>
      </c>
      <c r="F101">
        <v>3</v>
      </c>
      <c r="G101" t="s">
        <v>83</v>
      </c>
      <c r="K101" t="str">
        <f t="shared" si="1"/>
        <v>No Charger</v>
      </c>
    </row>
    <row r="102" spans="1:11" hidden="1" x14ac:dyDescent="0.2">
      <c r="A102">
        <v>78</v>
      </c>
      <c r="B102">
        <v>20250103</v>
      </c>
      <c r="C102">
        <v>39000281658</v>
      </c>
      <c r="D102" t="s">
        <v>74</v>
      </c>
      <c r="E102" t="s">
        <v>63</v>
      </c>
      <c r="F102">
        <v>1</v>
      </c>
      <c r="G102" t="s">
        <v>99</v>
      </c>
      <c r="K102" t="str">
        <f t="shared" si="1"/>
        <v>No Charger</v>
      </c>
    </row>
    <row r="103" spans="1:11" hidden="1" x14ac:dyDescent="0.2">
      <c r="A103">
        <v>79</v>
      </c>
      <c r="B103">
        <v>20250109</v>
      </c>
      <c r="C103">
        <v>39001117298</v>
      </c>
      <c r="D103" t="s">
        <v>74</v>
      </c>
      <c r="E103" t="s">
        <v>63</v>
      </c>
      <c r="F103">
        <v>1</v>
      </c>
      <c r="G103" t="s">
        <v>79</v>
      </c>
      <c r="K103" t="str">
        <f t="shared" si="1"/>
        <v>No Charger</v>
      </c>
    </row>
    <row r="104" spans="1:11" hidden="1" x14ac:dyDescent="0.2">
      <c r="A104">
        <v>81</v>
      </c>
      <c r="B104">
        <v>20250227</v>
      </c>
      <c r="C104">
        <v>39002654145</v>
      </c>
      <c r="D104" t="s">
        <v>68</v>
      </c>
      <c r="E104" t="s">
        <v>68</v>
      </c>
      <c r="F104">
        <v>1</v>
      </c>
      <c r="G104" t="s">
        <v>117</v>
      </c>
      <c r="K104" t="str">
        <f t="shared" si="1"/>
        <v>No Charger</v>
      </c>
    </row>
    <row r="105" spans="1:11" hidden="1" x14ac:dyDescent="0.2">
      <c r="A105">
        <v>249</v>
      </c>
      <c r="B105">
        <v>20250103</v>
      </c>
      <c r="C105">
        <v>39002654145</v>
      </c>
      <c r="D105" t="s">
        <v>68</v>
      </c>
      <c r="E105" t="s">
        <v>68</v>
      </c>
      <c r="F105">
        <v>4</v>
      </c>
      <c r="G105" t="s">
        <v>128</v>
      </c>
      <c r="K105" t="str">
        <f t="shared" si="1"/>
        <v>No Charger</v>
      </c>
    </row>
    <row r="106" spans="1:11" hidden="1" x14ac:dyDescent="0.2">
      <c r="A106">
        <v>82</v>
      </c>
      <c r="B106">
        <v>20250307</v>
      </c>
      <c r="C106">
        <v>39000271297</v>
      </c>
      <c r="D106" t="s">
        <v>62</v>
      </c>
      <c r="E106" t="s">
        <v>63</v>
      </c>
      <c r="F106">
        <v>1</v>
      </c>
      <c r="G106" t="s">
        <v>118</v>
      </c>
      <c r="K106" t="str">
        <f t="shared" si="1"/>
        <v>No Charger</v>
      </c>
    </row>
    <row r="107" spans="1:11" hidden="1" x14ac:dyDescent="0.2">
      <c r="A107">
        <v>84</v>
      </c>
      <c r="B107">
        <v>20250306</v>
      </c>
      <c r="C107">
        <v>39002320500</v>
      </c>
      <c r="D107" t="s">
        <v>56</v>
      </c>
      <c r="E107" t="s">
        <v>57</v>
      </c>
      <c r="F107">
        <v>1</v>
      </c>
      <c r="G107" t="s">
        <v>90</v>
      </c>
      <c r="K107" t="str">
        <f t="shared" si="1"/>
        <v>No Charger</v>
      </c>
    </row>
    <row r="108" spans="1:11" hidden="1" x14ac:dyDescent="0.2">
      <c r="A108">
        <v>322</v>
      </c>
      <c r="B108">
        <v>20250109</v>
      </c>
      <c r="C108">
        <v>39002320500</v>
      </c>
      <c r="D108" t="s">
        <v>56</v>
      </c>
      <c r="E108" t="s">
        <v>57</v>
      </c>
      <c r="F108">
        <v>1</v>
      </c>
      <c r="G108" t="s">
        <v>94</v>
      </c>
      <c r="K108" t="str">
        <f t="shared" si="1"/>
        <v>No Charger</v>
      </c>
    </row>
    <row r="109" spans="1:11" hidden="1" x14ac:dyDescent="0.2">
      <c r="A109">
        <v>85</v>
      </c>
      <c r="B109">
        <v>20250206</v>
      </c>
      <c r="C109">
        <v>39000956319</v>
      </c>
      <c r="D109" t="s">
        <v>58</v>
      </c>
      <c r="E109" t="s">
        <v>59</v>
      </c>
      <c r="F109">
        <v>2</v>
      </c>
      <c r="G109" t="s">
        <v>83</v>
      </c>
      <c r="K109" t="str">
        <f t="shared" si="1"/>
        <v>No Charger</v>
      </c>
    </row>
    <row r="110" spans="1:11" hidden="1" x14ac:dyDescent="0.2">
      <c r="A110">
        <v>86</v>
      </c>
      <c r="B110">
        <v>20250304</v>
      </c>
      <c r="C110">
        <v>39000221728</v>
      </c>
      <c r="D110" t="s">
        <v>60</v>
      </c>
      <c r="E110" t="s">
        <v>61</v>
      </c>
      <c r="F110">
        <v>1</v>
      </c>
      <c r="G110" t="s">
        <v>90</v>
      </c>
      <c r="K110" t="str">
        <f t="shared" si="1"/>
        <v>No Charger</v>
      </c>
    </row>
    <row r="111" spans="1:11" hidden="1" x14ac:dyDescent="0.2">
      <c r="A111">
        <v>87</v>
      </c>
      <c r="B111">
        <v>20250304</v>
      </c>
      <c r="C111">
        <v>39000589134</v>
      </c>
      <c r="D111" t="s">
        <v>54</v>
      </c>
      <c r="E111" t="s">
        <v>55</v>
      </c>
      <c r="F111">
        <v>2</v>
      </c>
      <c r="G111" t="s">
        <v>117</v>
      </c>
      <c r="K111" t="str">
        <f t="shared" si="1"/>
        <v>No Charger</v>
      </c>
    </row>
    <row r="112" spans="1:11" hidden="1" x14ac:dyDescent="0.2">
      <c r="A112">
        <v>88</v>
      </c>
      <c r="B112">
        <v>20250122</v>
      </c>
      <c r="C112">
        <v>39001488487</v>
      </c>
      <c r="D112" t="s">
        <v>72</v>
      </c>
      <c r="E112" t="s">
        <v>73</v>
      </c>
      <c r="F112">
        <v>1</v>
      </c>
      <c r="G112" t="s">
        <v>94</v>
      </c>
      <c r="K112" t="str">
        <f t="shared" si="1"/>
        <v>No Charger</v>
      </c>
    </row>
    <row r="113" spans="1:11" hidden="1" x14ac:dyDescent="0.2">
      <c r="A113">
        <v>89</v>
      </c>
      <c r="B113">
        <v>20250210</v>
      </c>
      <c r="C113">
        <v>39000222599</v>
      </c>
      <c r="D113" t="s">
        <v>60</v>
      </c>
      <c r="E113" t="s">
        <v>61</v>
      </c>
      <c r="F113">
        <v>2</v>
      </c>
      <c r="G113" t="s">
        <v>116</v>
      </c>
      <c r="K113" t="str">
        <f t="shared" si="1"/>
        <v>No Charger</v>
      </c>
    </row>
    <row r="114" spans="1:11" hidden="1" x14ac:dyDescent="0.2">
      <c r="A114">
        <v>90</v>
      </c>
      <c r="B114">
        <v>20250212</v>
      </c>
      <c r="C114">
        <v>39000749892</v>
      </c>
      <c r="D114" t="s">
        <v>68</v>
      </c>
      <c r="E114" t="s">
        <v>68</v>
      </c>
      <c r="F114">
        <v>1</v>
      </c>
      <c r="G114" t="s">
        <v>119</v>
      </c>
      <c r="K114" t="str">
        <f t="shared" si="1"/>
        <v>No Charger</v>
      </c>
    </row>
    <row r="115" spans="1:11" hidden="1" x14ac:dyDescent="0.2">
      <c r="A115">
        <v>91</v>
      </c>
      <c r="B115">
        <v>20250304</v>
      </c>
      <c r="C115">
        <v>39000213980</v>
      </c>
      <c r="D115" t="s">
        <v>69</v>
      </c>
      <c r="E115" t="s">
        <v>61</v>
      </c>
      <c r="F115">
        <v>1</v>
      </c>
      <c r="G115" t="s">
        <v>120</v>
      </c>
      <c r="K115" t="str">
        <f t="shared" si="1"/>
        <v>No Charger</v>
      </c>
    </row>
    <row r="116" spans="1:11" hidden="1" x14ac:dyDescent="0.2">
      <c r="A116">
        <v>92</v>
      </c>
      <c r="B116">
        <v>20250227</v>
      </c>
      <c r="C116">
        <v>39002126254</v>
      </c>
      <c r="D116" t="s">
        <v>66</v>
      </c>
      <c r="E116" t="s">
        <v>67</v>
      </c>
      <c r="F116">
        <v>1</v>
      </c>
      <c r="G116" t="s">
        <v>121</v>
      </c>
      <c r="K116" t="str">
        <f t="shared" si="1"/>
        <v>No Charger</v>
      </c>
    </row>
    <row r="117" spans="1:11" hidden="1" x14ac:dyDescent="0.2">
      <c r="A117">
        <v>93</v>
      </c>
      <c r="B117">
        <v>20250121</v>
      </c>
      <c r="C117">
        <v>39000585975</v>
      </c>
      <c r="D117" t="s">
        <v>54</v>
      </c>
      <c r="E117" t="s">
        <v>55</v>
      </c>
      <c r="F117">
        <v>2</v>
      </c>
      <c r="G117" t="s">
        <v>100</v>
      </c>
      <c r="K117" t="str">
        <f t="shared" si="1"/>
        <v>No Charger</v>
      </c>
    </row>
    <row r="118" spans="1:11" hidden="1" x14ac:dyDescent="0.2">
      <c r="A118">
        <v>94</v>
      </c>
      <c r="B118">
        <v>20250206</v>
      </c>
      <c r="C118">
        <v>39000214175</v>
      </c>
      <c r="D118" t="s">
        <v>69</v>
      </c>
      <c r="E118" t="s">
        <v>61</v>
      </c>
      <c r="F118">
        <v>-3</v>
      </c>
      <c r="G118" t="s">
        <v>79</v>
      </c>
      <c r="K118" t="str">
        <f t="shared" si="1"/>
        <v>No Charger</v>
      </c>
    </row>
    <row r="119" spans="1:11" hidden="1" x14ac:dyDescent="0.2">
      <c r="A119">
        <v>95</v>
      </c>
      <c r="B119">
        <v>20250103</v>
      </c>
      <c r="C119">
        <v>39002227537</v>
      </c>
      <c r="D119" t="s">
        <v>56</v>
      </c>
      <c r="E119" t="s">
        <v>57</v>
      </c>
      <c r="F119">
        <v>1</v>
      </c>
      <c r="G119" t="s">
        <v>122</v>
      </c>
      <c r="K119" t="str">
        <f t="shared" si="1"/>
        <v>No Charger</v>
      </c>
    </row>
    <row r="120" spans="1:11" hidden="1" x14ac:dyDescent="0.2">
      <c r="A120">
        <v>96</v>
      </c>
      <c r="B120">
        <v>20250214</v>
      </c>
      <c r="C120">
        <v>39000667108</v>
      </c>
      <c r="D120" t="s">
        <v>68</v>
      </c>
      <c r="E120" t="s">
        <v>68</v>
      </c>
      <c r="F120">
        <v>1</v>
      </c>
      <c r="G120" t="s">
        <v>111</v>
      </c>
      <c r="K120" t="str">
        <f t="shared" si="1"/>
        <v>No Charger</v>
      </c>
    </row>
    <row r="121" spans="1:11" hidden="1" x14ac:dyDescent="0.2">
      <c r="A121">
        <v>97</v>
      </c>
      <c r="B121">
        <v>20250210</v>
      </c>
      <c r="C121">
        <v>39000215163</v>
      </c>
      <c r="D121" t="s">
        <v>60</v>
      </c>
      <c r="E121" t="s">
        <v>61</v>
      </c>
      <c r="F121">
        <v>5</v>
      </c>
      <c r="G121" t="s">
        <v>100</v>
      </c>
      <c r="K121" t="str">
        <f t="shared" si="1"/>
        <v>No Charger</v>
      </c>
    </row>
    <row r="122" spans="1:11" hidden="1" x14ac:dyDescent="0.2">
      <c r="A122">
        <v>98</v>
      </c>
      <c r="B122">
        <v>20250205</v>
      </c>
      <c r="C122">
        <v>39000959088</v>
      </c>
      <c r="D122" t="s">
        <v>58</v>
      </c>
      <c r="E122" t="s">
        <v>59</v>
      </c>
      <c r="F122">
        <v>1</v>
      </c>
      <c r="G122" t="s">
        <v>123</v>
      </c>
      <c r="K122" t="str">
        <f t="shared" si="1"/>
        <v>No Charger</v>
      </c>
    </row>
    <row r="123" spans="1:11" hidden="1" x14ac:dyDescent="0.2">
      <c r="A123">
        <v>99</v>
      </c>
      <c r="B123">
        <v>20250218</v>
      </c>
      <c r="C123">
        <v>39001453881</v>
      </c>
      <c r="D123" t="s">
        <v>72</v>
      </c>
      <c r="E123" t="s">
        <v>73</v>
      </c>
      <c r="F123">
        <v>1</v>
      </c>
      <c r="G123" t="s">
        <v>124</v>
      </c>
      <c r="K123" t="str">
        <f t="shared" si="1"/>
        <v>No Charger</v>
      </c>
    </row>
    <row r="124" spans="1:11" hidden="1" x14ac:dyDescent="0.2">
      <c r="A124">
        <v>100</v>
      </c>
      <c r="B124">
        <v>20250225</v>
      </c>
      <c r="C124">
        <v>39000346164</v>
      </c>
      <c r="D124" t="s">
        <v>66</v>
      </c>
      <c r="E124" t="s">
        <v>67</v>
      </c>
      <c r="F124">
        <v>1</v>
      </c>
      <c r="G124" t="s">
        <v>115</v>
      </c>
      <c r="K124" t="str">
        <f t="shared" si="1"/>
        <v>No Charger</v>
      </c>
    </row>
    <row r="125" spans="1:11" hidden="1" x14ac:dyDescent="0.2">
      <c r="A125">
        <v>101</v>
      </c>
      <c r="B125">
        <v>20250213</v>
      </c>
      <c r="C125">
        <v>39000337272</v>
      </c>
      <c r="D125" t="s">
        <v>66</v>
      </c>
      <c r="E125" t="s">
        <v>67</v>
      </c>
      <c r="F125">
        <v>1</v>
      </c>
      <c r="G125" t="s">
        <v>96</v>
      </c>
      <c r="K125" t="str">
        <f t="shared" si="1"/>
        <v>No Charger</v>
      </c>
    </row>
    <row r="126" spans="1:11" hidden="1" x14ac:dyDescent="0.2">
      <c r="A126">
        <v>102</v>
      </c>
      <c r="B126">
        <v>20250310</v>
      </c>
      <c r="C126">
        <v>39000263549</v>
      </c>
      <c r="D126" t="s">
        <v>62</v>
      </c>
      <c r="E126" t="s">
        <v>63</v>
      </c>
      <c r="F126">
        <v>1</v>
      </c>
      <c r="G126" t="s">
        <v>124</v>
      </c>
      <c r="K126" t="str">
        <f t="shared" si="1"/>
        <v>No Charger</v>
      </c>
    </row>
    <row r="127" spans="1:11" hidden="1" x14ac:dyDescent="0.2">
      <c r="A127">
        <v>103</v>
      </c>
      <c r="B127">
        <v>20250305</v>
      </c>
      <c r="C127">
        <v>39001709643</v>
      </c>
      <c r="D127" t="s">
        <v>64</v>
      </c>
      <c r="E127" t="s">
        <v>65</v>
      </c>
      <c r="F127">
        <v>1</v>
      </c>
      <c r="G127" t="s">
        <v>125</v>
      </c>
      <c r="K127" t="str">
        <f t="shared" si="1"/>
        <v>No Charger</v>
      </c>
    </row>
    <row r="128" spans="1:11" hidden="1" x14ac:dyDescent="0.2">
      <c r="A128">
        <v>462</v>
      </c>
      <c r="B128">
        <v>20250226</v>
      </c>
      <c r="C128">
        <v>39001709643</v>
      </c>
      <c r="D128" t="s">
        <v>64</v>
      </c>
      <c r="E128" t="s">
        <v>65</v>
      </c>
      <c r="F128">
        <v>1</v>
      </c>
      <c r="G128" t="s">
        <v>115</v>
      </c>
      <c r="K128" t="str">
        <f t="shared" si="1"/>
        <v>No Charger</v>
      </c>
    </row>
    <row r="129" spans="1:11" hidden="1" x14ac:dyDescent="0.2">
      <c r="A129">
        <v>104</v>
      </c>
      <c r="B129">
        <v>20250307</v>
      </c>
      <c r="C129">
        <v>39000282308</v>
      </c>
      <c r="D129" t="s">
        <v>74</v>
      </c>
      <c r="E129" t="s">
        <v>63</v>
      </c>
      <c r="F129">
        <v>1</v>
      </c>
      <c r="G129" t="s">
        <v>124</v>
      </c>
      <c r="K129" t="str">
        <f t="shared" si="1"/>
        <v>No Charger</v>
      </c>
    </row>
    <row r="130" spans="1:11" hidden="1" x14ac:dyDescent="0.2">
      <c r="A130">
        <v>107</v>
      </c>
      <c r="B130">
        <v>20250108</v>
      </c>
      <c r="C130">
        <v>39000662987</v>
      </c>
      <c r="D130" t="s">
        <v>68</v>
      </c>
      <c r="E130" t="s">
        <v>68</v>
      </c>
      <c r="F130">
        <v>2</v>
      </c>
      <c r="G130" t="s">
        <v>101</v>
      </c>
      <c r="K130" t="str">
        <f t="shared" ref="K130:K193" si="2">IF(I130="Charger","Has Charger","No Charger")</f>
        <v>No Charger</v>
      </c>
    </row>
    <row r="131" spans="1:11" x14ac:dyDescent="0.2">
      <c r="A131">
        <v>108</v>
      </c>
      <c r="B131">
        <v>20250310</v>
      </c>
      <c r="C131">
        <v>39000284505</v>
      </c>
      <c r="D131" t="s">
        <v>74</v>
      </c>
      <c r="E131" t="s">
        <v>63</v>
      </c>
      <c r="F131">
        <v>1</v>
      </c>
      <c r="G131" t="s">
        <v>126</v>
      </c>
      <c r="K131" t="str">
        <f t="shared" si="2"/>
        <v>No Charger</v>
      </c>
    </row>
    <row r="132" spans="1:11" hidden="1" x14ac:dyDescent="0.2">
      <c r="A132">
        <v>109</v>
      </c>
      <c r="B132">
        <v>20250121</v>
      </c>
      <c r="C132">
        <v>39001520168</v>
      </c>
      <c r="D132" t="s">
        <v>70</v>
      </c>
      <c r="E132" t="s">
        <v>71</v>
      </c>
      <c r="F132">
        <v>2</v>
      </c>
      <c r="G132" t="s">
        <v>100</v>
      </c>
      <c r="K132" t="str">
        <f t="shared" si="2"/>
        <v>No Charger</v>
      </c>
    </row>
    <row r="133" spans="1:11" hidden="1" x14ac:dyDescent="0.2">
      <c r="A133">
        <v>110</v>
      </c>
      <c r="B133">
        <v>20250310</v>
      </c>
      <c r="C133">
        <v>39000220324</v>
      </c>
      <c r="D133" t="s">
        <v>69</v>
      </c>
      <c r="E133" t="s">
        <v>61</v>
      </c>
      <c r="F133">
        <v>1</v>
      </c>
      <c r="G133" t="s">
        <v>127</v>
      </c>
      <c r="K133" t="str">
        <f t="shared" si="2"/>
        <v>No Charger</v>
      </c>
    </row>
    <row r="134" spans="1:11" hidden="1" x14ac:dyDescent="0.2">
      <c r="A134">
        <v>194</v>
      </c>
      <c r="B134">
        <v>20250115</v>
      </c>
      <c r="C134">
        <v>39000220324</v>
      </c>
      <c r="D134" t="s">
        <v>69</v>
      </c>
      <c r="E134" t="s">
        <v>61</v>
      </c>
      <c r="F134">
        <v>6</v>
      </c>
      <c r="G134" t="s">
        <v>96</v>
      </c>
      <c r="K134" t="str">
        <f t="shared" si="2"/>
        <v>No Charger</v>
      </c>
    </row>
    <row r="135" spans="1:11" hidden="1" x14ac:dyDescent="0.2">
      <c r="A135">
        <v>111</v>
      </c>
      <c r="B135">
        <v>20250203</v>
      </c>
      <c r="C135">
        <v>39001707966</v>
      </c>
      <c r="D135" t="s">
        <v>64</v>
      </c>
      <c r="E135" t="s">
        <v>65</v>
      </c>
      <c r="F135">
        <v>1</v>
      </c>
      <c r="G135" t="s">
        <v>122</v>
      </c>
      <c r="K135" t="str">
        <f t="shared" si="2"/>
        <v>No Charger</v>
      </c>
    </row>
    <row r="136" spans="1:11" hidden="1" x14ac:dyDescent="0.2">
      <c r="A136">
        <v>112</v>
      </c>
      <c r="B136">
        <v>20250115</v>
      </c>
      <c r="C136">
        <v>39000348946</v>
      </c>
      <c r="D136" t="s">
        <v>66</v>
      </c>
      <c r="E136" t="s">
        <v>67</v>
      </c>
      <c r="F136">
        <v>1</v>
      </c>
      <c r="G136" t="s">
        <v>91</v>
      </c>
      <c r="K136" t="str">
        <f t="shared" si="2"/>
        <v>No Charger</v>
      </c>
    </row>
    <row r="137" spans="1:11" hidden="1" x14ac:dyDescent="0.2">
      <c r="A137">
        <v>113</v>
      </c>
      <c r="B137">
        <v>20250218</v>
      </c>
      <c r="C137">
        <v>39001525277</v>
      </c>
      <c r="D137" t="s">
        <v>70</v>
      </c>
      <c r="E137" t="s">
        <v>71</v>
      </c>
      <c r="F137">
        <v>1</v>
      </c>
      <c r="G137" t="s">
        <v>99</v>
      </c>
      <c r="K137" t="str">
        <f t="shared" si="2"/>
        <v>No Charger</v>
      </c>
    </row>
    <row r="138" spans="1:11" hidden="1" x14ac:dyDescent="0.2">
      <c r="A138">
        <v>114</v>
      </c>
      <c r="B138">
        <v>20250213</v>
      </c>
      <c r="C138">
        <v>39000221624</v>
      </c>
      <c r="D138" t="s">
        <v>60</v>
      </c>
      <c r="E138" t="s">
        <v>61</v>
      </c>
      <c r="F138">
        <v>1</v>
      </c>
      <c r="G138" t="s">
        <v>113</v>
      </c>
      <c r="K138" t="str">
        <f t="shared" si="2"/>
        <v>No Charger</v>
      </c>
    </row>
    <row r="139" spans="1:11" hidden="1" x14ac:dyDescent="0.2">
      <c r="A139">
        <v>115</v>
      </c>
      <c r="B139">
        <v>20250116</v>
      </c>
      <c r="C139">
        <v>39000592800</v>
      </c>
      <c r="D139" t="s">
        <v>54</v>
      </c>
      <c r="E139" t="s">
        <v>55</v>
      </c>
      <c r="F139">
        <v>1</v>
      </c>
      <c r="G139" t="s">
        <v>111</v>
      </c>
      <c r="K139" t="str">
        <f t="shared" si="2"/>
        <v>No Charger</v>
      </c>
    </row>
    <row r="140" spans="1:11" hidden="1" x14ac:dyDescent="0.2">
      <c r="A140">
        <v>117</v>
      </c>
      <c r="B140">
        <v>20250116</v>
      </c>
      <c r="C140">
        <v>39000239031</v>
      </c>
      <c r="D140" t="s">
        <v>69</v>
      </c>
      <c r="E140" t="s">
        <v>61</v>
      </c>
      <c r="F140">
        <v>1</v>
      </c>
      <c r="G140" t="s">
        <v>125</v>
      </c>
      <c r="K140" t="str">
        <f t="shared" si="2"/>
        <v>No Charger</v>
      </c>
    </row>
    <row r="141" spans="1:11" hidden="1" x14ac:dyDescent="0.2">
      <c r="A141">
        <v>118</v>
      </c>
      <c r="B141">
        <v>20250107</v>
      </c>
      <c r="C141">
        <v>39000761228</v>
      </c>
      <c r="D141" t="s">
        <v>68</v>
      </c>
      <c r="E141" t="s">
        <v>68</v>
      </c>
      <c r="F141">
        <v>1</v>
      </c>
      <c r="G141" t="s">
        <v>115</v>
      </c>
      <c r="K141" t="str">
        <f t="shared" si="2"/>
        <v>No Charger</v>
      </c>
    </row>
    <row r="142" spans="1:11" hidden="1" x14ac:dyDescent="0.2">
      <c r="A142">
        <v>119</v>
      </c>
      <c r="B142">
        <v>20250129</v>
      </c>
      <c r="C142">
        <v>39002244762</v>
      </c>
      <c r="D142" t="s">
        <v>56</v>
      </c>
      <c r="E142" t="s">
        <v>57</v>
      </c>
      <c r="F142">
        <v>1</v>
      </c>
      <c r="G142" t="s">
        <v>88</v>
      </c>
      <c r="K142" t="str">
        <f t="shared" si="2"/>
        <v>No Charger</v>
      </c>
    </row>
    <row r="143" spans="1:11" hidden="1" x14ac:dyDescent="0.2">
      <c r="A143">
        <v>120</v>
      </c>
      <c r="B143">
        <v>20250115</v>
      </c>
      <c r="C143">
        <v>39000239733</v>
      </c>
      <c r="D143" t="s">
        <v>60</v>
      </c>
      <c r="E143" t="s">
        <v>61</v>
      </c>
      <c r="F143">
        <v>1</v>
      </c>
      <c r="G143" t="s">
        <v>115</v>
      </c>
      <c r="K143" t="str">
        <f t="shared" si="2"/>
        <v>No Charger</v>
      </c>
    </row>
    <row r="144" spans="1:11" x14ac:dyDescent="0.2">
      <c r="A144">
        <v>121</v>
      </c>
      <c r="B144">
        <v>20250211</v>
      </c>
      <c r="C144">
        <v>39000336648</v>
      </c>
      <c r="D144" t="s">
        <v>66</v>
      </c>
      <c r="E144" t="s">
        <v>67</v>
      </c>
      <c r="F144">
        <v>1</v>
      </c>
      <c r="G144" t="s">
        <v>129</v>
      </c>
      <c r="K144" t="str">
        <f t="shared" si="2"/>
        <v>No Charger</v>
      </c>
    </row>
    <row r="145" spans="1:11" hidden="1" x14ac:dyDescent="0.2">
      <c r="A145">
        <v>459</v>
      </c>
      <c r="B145">
        <v>20250218</v>
      </c>
      <c r="C145">
        <v>39000336648</v>
      </c>
      <c r="D145" t="s">
        <v>66</v>
      </c>
      <c r="E145" t="s">
        <v>67</v>
      </c>
      <c r="F145">
        <v>1</v>
      </c>
      <c r="G145" t="s">
        <v>150</v>
      </c>
      <c r="K145" t="str">
        <f t="shared" si="2"/>
        <v>No Charger</v>
      </c>
    </row>
    <row r="146" spans="1:11" hidden="1" x14ac:dyDescent="0.2">
      <c r="A146">
        <v>122</v>
      </c>
      <c r="B146">
        <v>20250109</v>
      </c>
      <c r="C146">
        <v>39000959153</v>
      </c>
      <c r="D146" t="s">
        <v>58</v>
      </c>
      <c r="E146" t="s">
        <v>59</v>
      </c>
      <c r="F146">
        <v>1</v>
      </c>
      <c r="G146" t="s">
        <v>79</v>
      </c>
      <c r="K146" t="str">
        <f t="shared" si="2"/>
        <v>No Charger</v>
      </c>
    </row>
    <row r="147" spans="1:11" hidden="1" x14ac:dyDescent="0.2">
      <c r="A147">
        <v>123</v>
      </c>
      <c r="B147">
        <v>20250114</v>
      </c>
      <c r="C147">
        <v>39001719250</v>
      </c>
      <c r="D147" t="s">
        <v>64</v>
      </c>
      <c r="E147" t="s">
        <v>65</v>
      </c>
      <c r="F147">
        <v>-8.3000000000000004E-2</v>
      </c>
      <c r="G147" t="s">
        <v>94</v>
      </c>
      <c r="K147" t="str">
        <f t="shared" si="2"/>
        <v>No Charger</v>
      </c>
    </row>
    <row r="148" spans="1:11" hidden="1" x14ac:dyDescent="0.2">
      <c r="A148">
        <v>124</v>
      </c>
      <c r="B148">
        <v>20250207</v>
      </c>
      <c r="C148">
        <v>39001461187</v>
      </c>
      <c r="D148" t="s">
        <v>70</v>
      </c>
      <c r="E148" t="s">
        <v>71</v>
      </c>
      <c r="F148">
        <v>1</v>
      </c>
      <c r="G148" t="s">
        <v>111</v>
      </c>
      <c r="K148" t="str">
        <f t="shared" si="2"/>
        <v>No Charger</v>
      </c>
    </row>
    <row r="149" spans="1:11" hidden="1" x14ac:dyDescent="0.2">
      <c r="A149">
        <v>454</v>
      </c>
      <c r="B149">
        <v>20250207</v>
      </c>
      <c r="C149">
        <v>39001461187</v>
      </c>
      <c r="D149" t="s">
        <v>70</v>
      </c>
      <c r="E149" t="s">
        <v>71</v>
      </c>
      <c r="F149">
        <v>1</v>
      </c>
      <c r="G149" t="s">
        <v>82</v>
      </c>
      <c r="K149" t="str">
        <f t="shared" si="2"/>
        <v>No Charger</v>
      </c>
    </row>
    <row r="150" spans="1:11" hidden="1" x14ac:dyDescent="0.2">
      <c r="A150">
        <v>125</v>
      </c>
      <c r="B150">
        <v>20250227</v>
      </c>
      <c r="C150">
        <v>39001626248</v>
      </c>
      <c r="D150" t="s">
        <v>70</v>
      </c>
      <c r="E150" t="s">
        <v>71</v>
      </c>
      <c r="F150">
        <v>1</v>
      </c>
      <c r="G150" t="s">
        <v>118</v>
      </c>
      <c r="K150" t="str">
        <f t="shared" si="2"/>
        <v>No Charger</v>
      </c>
    </row>
    <row r="151" spans="1:11" hidden="1" x14ac:dyDescent="0.2">
      <c r="A151">
        <v>126</v>
      </c>
      <c r="B151">
        <v>20250227</v>
      </c>
      <c r="C151">
        <v>39000657163</v>
      </c>
      <c r="D151" t="s">
        <v>68</v>
      </c>
      <c r="E151" t="s">
        <v>68</v>
      </c>
      <c r="F151">
        <v>1</v>
      </c>
      <c r="G151" t="s">
        <v>130</v>
      </c>
      <c r="K151" t="str">
        <f t="shared" si="2"/>
        <v>No Charger</v>
      </c>
    </row>
    <row r="152" spans="1:11" hidden="1" x14ac:dyDescent="0.2">
      <c r="A152">
        <v>127</v>
      </c>
      <c r="B152">
        <v>20250221</v>
      </c>
      <c r="C152">
        <v>39000667004</v>
      </c>
      <c r="D152" t="s">
        <v>68</v>
      </c>
      <c r="E152" t="s">
        <v>68</v>
      </c>
      <c r="F152">
        <v>1</v>
      </c>
      <c r="G152" t="s">
        <v>83</v>
      </c>
      <c r="K152" t="str">
        <f t="shared" si="2"/>
        <v>No Charger</v>
      </c>
    </row>
    <row r="153" spans="1:11" hidden="1" x14ac:dyDescent="0.2">
      <c r="A153">
        <v>293</v>
      </c>
      <c r="B153">
        <v>20250217</v>
      </c>
      <c r="C153">
        <v>39000667004</v>
      </c>
      <c r="D153" t="s">
        <v>68</v>
      </c>
      <c r="E153" t="s">
        <v>68</v>
      </c>
      <c r="F153">
        <v>1</v>
      </c>
      <c r="G153" t="s">
        <v>124</v>
      </c>
      <c r="K153" t="str">
        <f t="shared" si="2"/>
        <v>No Charger</v>
      </c>
    </row>
    <row r="154" spans="1:11" hidden="1" x14ac:dyDescent="0.2">
      <c r="A154">
        <v>128</v>
      </c>
      <c r="B154">
        <v>20250226</v>
      </c>
      <c r="C154">
        <v>39000344175</v>
      </c>
      <c r="D154" t="s">
        <v>66</v>
      </c>
      <c r="E154" t="s">
        <v>67</v>
      </c>
      <c r="F154">
        <v>1</v>
      </c>
      <c r="G154" t="s">
        <v>131</v>
      </c>
      <c r="K154" t="str">
        <f t="shared" si="2"/>
        <v>No Charger</v>
      </c>
    </row>
    <row r="155" spans="1:11" hidden="1" x14ac:dyDescent="0.2">
      <c r="A155">
        <v>129</v>
      </c>
      <c r="B155">
        <v>20250207</v>
      </c>
      <c r="C155">
        <v>39000234767</v>
      </c>
      <c r="D155" t="s">
        <v>69</v>
      </c>
      <c r="E155" t="s">
        <v>61</v>
      </c>
      <c r="F155">
        <v>3</v>
      </c>
      <c r="G155" t="s">
        <v>88</v>
      </c>
      <c r="K155" t="str">
        <f t="shared" si="2"/>
        <v>No Charger</v>
      </c>
    </row>
    <row r="156" spans="1:11" hidden="1" x14ac:dyDescent="0.2">
      <c r="A156">
        <v>130</v>
      </c>
      <c r="B156">
        <v>20250219</v>
      </c>
      <c r="C156">
        <v>39001774942</v>
      </c>
      <c r="D156" t="s">
        <v>66</v>
      </c>
      <c r="E156" t="s">
        <v>67</v>
      </c>
      <c r="F156">
        <v>2</v>
      </c>
      <c r="G156" t="s">
        <v>91</v>
      </c>
      <c r="K156" t="str">
        <f t="shared" si="2"/>
        <v>No Charger</v>
      </c>
    </row>
    <row r="157" spans="1:11" hidden="1" x14ac:dyDescent="0.2">
      <c r="A157">
        <v>131</v>
      </c>
      <c r="B157">
        <v>20250304</v>
      </c>
      <c r="C157">
        <v>39001707004</v>
      </c>
      <c r="D157" t="s">
        <v>64</v>
      </c>
      <c r="E157" t="s">
        <v>65</v>
      </c>
      <c r="F157">
        <v>-0.79200000000000004</v>
      </c>
      <c r="G157" t="s">
        <v>92</v>
      </c>
      <c r="K157" t="str">
        <f t="shared" si="2"/>
        <v>No Charger</v>
      </c>
    </row>
    <row r="158" spans="1:11" hidden="1" x14ac:dyDescent="0.2">
      <c r="A158">
        <v>133</v>
      </c>
      <c r="B158">
        <v>20250121</v>
      </c>
      <c r="C158">
        <v>39001686464</v>
      </c>
      <c r="D158" t="s">
        <v>62</v>
      </c>
      <c r="E158" t="s">
        <v>63</v>
      </c>
      <c r="F158">
        <v>3</v>
      </c>
      <c r="G158" t="s">
        <v>88</v>
      </c>
      <c r="K158" t="str">
        <f t="shared" si="2"/>
        <v>No Charger</v>
      </c>
    </row>
    <row r="159" spans="1:11" hidden="1" x14ac:dyDescent="0.2">
      <c r="A159">
        <v>134</v>
      </c>
      <c r="B159">
        <v>20250225</v>
      </c>
      <c r="C159">
        <v>39000590902</v>
      </c>
      <c r="D159" t="s">
        <v>54</v>
      </c>
      <c r="E159" t="s">
        <v>55</v>
      </c>
      <c r="F159">
        <v>3</v>
      </c>
      <c r="G159" t="s">
        <v>90</v>
      </c>
      <c r="K159" t="str">
        <f t="shared" si="2"/>
        <v>No Charger</v>
      </c>
    </row>
    <row r="160" spans="1:11" hidden="1" x14ac:dyDescent="0.2">
      <c r="A160">
        <v>135</v>
      </c>
      <c r="B160">
        <v>20250121</v>
      </c>
      <c r="C160">
        <v>39000588783</v>
      </c>
      <c r="D160" t="s">
        <v>54</v>
      </c>
      <c r="E160" t="s">
        <v>55</v>
      </c>
      <c r="F160">
        <v>1</v>
      </c>
      <c r="G160" t="s">
        <v>132</v>
      </c>
      <c r="K160" t="str">
        <f t="shared" si="2"/>
        <v>No Charger</v>
      </c>
    </row>
    <row r="161" spans="1:11" x14ac:dyDescent="0.2">
      <c r="A161">
        <v>136</v>
      </c>
      <c r="B161">
        <v>20250213</v>
      </c>
      <c r="C161">
        <v>39000201838</v>
      </c>
      <c r="D161" t="s">
        <v>69</v>
      </c>
      <c r="E161" t="s">
        <v>61</v>
      </c>
      <c r="F161">
        <v>1</v>
      </c>
      <c r="G161" t="s">
        <v>78</v>
      </c>
      <c r="K161" t="str">
        <f t="shared" si="2"/>
        <v>No Charger</v>
      </c>
    </row>
    <row r="162" spans="1:11" hidden="1" x14ac:dyDescent="0.2">
      <c r="A162">
        <v>137</v>
      </c>
      <c r="B162">
        <v>20250131</v>
      </c>
      <c r="C162">
        <v>39000221156</v>
      </c>
      <c r="D162" t="s">
        <v>60</v>
      </c>
      <c r="E162" t="s">
        <v>61</v>
      </c>
      <c r="F162">
        <v>1</v>
      </c>
      <c r="G162" t="s">
        <v>111</v>
      </c>
      <c r="K162" t="str">
        <f t="shared" si="2"/>
        <v>No Charger</v>
      </c>
    </row>
    <row r="163" spans="1:11" hidden="1" x14ac:dyDescent="0.2">
      <c r="A163">
        <v>138</v>
      </c>
      <c r="B163">
        <v>20250304</v>
      </c>
      <c r="C163">
        <v>39001969994</v>
      </c>
      <c r="D163" t="s">
        <v>60</v>
      </c>
      <c r="E163" t="s">
        <v>61</v>
      </c>
      <c r="F163">
        <v>2</v>
      </c>
      <c r="G163" t="s">
        <v>108</v>
      </c>
      <c r="K163" t="str">
        <f t="shared" si="2"/>
        <v>No Charger</v>
      </c>
    </row>
    <row r="164" spans="1:11" x14ac:dyDescent="0.2">
      <c r="A164">
        <v>139</v>
      </c>
      <c r="B164">
        <v>20250131</v>
      </c>
      <c r="C164">
        <v>39002780388</v>
      </c>
      <c r="D164" t="s">
        <v>54</v>
      </c>
      <c r="E164" t="s">
        <v>55</v>
      </c>
      <c r="F164">
        <v>1</v>
      </c>
      <c r="G164" t="s">
        <v>126</v>
      </c>
      <c r="K164" t="str">
        <f t="shared" si="2"/>
        <v>No Charger</v>
      </c>
    </row>
    <row r="165" spans="1:11" hidden="1" x14ac:dyDescent="0.2">
      <c r="A165">
        <v>140</v>
      </c>
      <c r="B165">
        <v>20250227</v>
      </c>
      <c r="C165">
        <v>39001957995</v>
      </c>
      <c r="D165" t="s">
        <v>70</v>
      </c>
      <c r="E165" t="s">
        <v>71</v>
      </c>
      <c r="F165">
        <v>1</v>
      </c>
      <c r="G165" t="s">
        <v>85</v>
      </c>
      <c r="K165" t="str">
        <f t="shared" si="2"/>
        <v>No Charger</v>
      </c>
    </row>
    <row r="166" spans="1:11" hidden="1" x14ac:dyDescent="0.2">
      <c r="A166">
        <v>141</v>
      </c>
      <c r="B166">
        <v>20250214</v>
      </c>
      <c r="C166">
        <v>39002766062</v>
      </c>
      <c r="D166" t="s">
        <v>66</v>
      </c>
      <c r="E166" t="s">
        <v>67</v>
      </c>
      <c r="F166">
        <v>1</v>
      </c>
      <c r="G166" t="s">
        <v>103</v>
      </c>
      <c r="K166" t="str">
        <f t="shared" si="2"/>
        <v>No Charger</v>
      </c>
    </row>
    <row r="167" spans="1:11" hidden="1" x14ac:dyDescent="0.2">
      <c r="A167">
        <v>142</v>
      </c>
      <c r="B167">
        <v>20250107</v>
      </c>
      <c r="C167">
        <v>39000658632</v>
      </c>
      <c r="D167" t="s">
        <v>68</v>
      </c>
      <c r="E167" t="s">
        <v>68</v>
      </c>
      <c r="F167">
        <v>1</v>
      </c>
      <c r="G167" t="s">
        <v>133</v>
      </c>
      <c r="K167" t="str">
        <f t="shared" si="2"/>
        <v>No Charger</v>
      </c>
    </row>
    <row r="168" spans="1:11" hidden="1" x14ac:dyDescent="0.2">
      <c r="A168">
        <v>143</v>
      </c>
      <c r="B168">
        <v>20250109</v>
      </c>
      <c r="C168">
        <v>39000197405</v>
      </c>
      <c r="D168" t="s">
        <v>60</v>
      </c>
      <c r="E168" t="s">
        <v>61</v>
      </c>
      <c r="F168">
        <v>7</v>
      </c>
      <c r="G168" t="s">
        <v>88</v>
      </c>
      <c r="K168" t="str">
        <f t="shared" si="2"/>
        <v>No Charger</v>
      </c>
    </row>
    <row r="169" spans="1:11" hidden="1" x14ac:dyDescent="0.2">
      <c r="A169">
        <v>144</v>
      </c>
      <c r="B169">
        <v>20250304</v>
      </c>
      <c r="C169">
        <v>39001431339</v>
      </c>
      <c r="D169" t="s">
        <v>70</v>
      </c>
      <c r="E169" t="s">
        <v>71</v>
      </c>
      <c r="F169">
        <v>1</v>
      </c>
      <c r="G169" t="s">
        <v>90</v>
      </c>
      <c r="K169" t="str">
        <f t="shared" si="2"/>
        <v>No Charger</v>
      </c>
    </row>
    <row r="170" spans="1:11" hidden="1" x14ac:dyDescent="0.2">
      <c r="A170">
        <v>145</v>
      </c>
      <c r="B170">
        <v>20250213</v>
      </c>
      <c r="C170">
        <v>39001431456</v>
      </c>
      <c r="D170" t="s">
        <v>70</v>
      </c>
      <c r="E170" t="s">
        <v>71</v>
      </c>
      <c r="F170">
        <v>1</v>
      </c>
      <c r="G170" t="s">
        <v>83</v>
      </c>
      <c r="K170" t="str">
        <f t="shared" si="2"/>
        <v>No Charger</v>
      </c>
    </row>
    <row r="171" spans="1:11" hidden="1" x14ac:dyDescent="0.2">
      <c r="A171">
        <v>146</v>
      </c>
      <c r="B171">
        <v>20250227</v>
      </c>
      <c r="C171">
        <v>39000217412</v>
      </c>
      <c r="D171" t="s">
        <v>60</v>
      </c>
      <c r="E171" t="s">
        <v>61</v>
      </c>
      <c r="F171">
        <v>1</v>
      </c>
      <c r="G171" t="s">
        <v>95</v>
      </c>
      <c r="K171" t="str">
        <f t="shared" si="2"/>
        <v>No Charger</v>
      </c>
    </row>
    <row r="172" spans="1:11" hidden="1" x14ac:dyDescent="0.2">
      <c r="A172">
        <v>270</v>
      </c>
      <c r="B172">
        <v>20250123</v>
      </c>
      <c r="C172">
        <v>39000217412</v>
      </c>
      <c r="D172" t="s">
        <v>60</v>
      </c>
      <c r="E172" t="s">
        <v>61</v>
      </c>
      <c r="F172">
        <v>1</v>
      </c>
      <c r="G172" t="s">
        <v>84</v>
      </c>
      <c r="K172" t="str">
        <f t="shared" si="2"/>
        <v>No Charger</v>
      </c>
    </row>
    <row r="173" spans="1:11" hidden="1" x14ac:dyDescent="0.2">
      <c r="A173">
        <v>147</v>
      </c>
      <c r="B173">
        <v>20250218</v>
      </c>
      <c r="C173">
        <v>39000285064</v>
      </c>
      <c r="D173" t="s">
        <v>74</v>
      </c>
      <c r="E173" t="s">
        <v>63</v>
      </c>
      <c r="F173">
        <v>2</v>
      </c>
      <c r="G173" t="s">
        <v>134</v>
      </c>
      <c r="K173" t="str">
        <f t="shared" si="2"/>
        <v>No Charger</v>
      </c>
    </row>
    <row r="174" spans="1:11" hidden="1" x14ac:dyDescent="0.2">
      <c r="A174">
        <v>229</v>
      </c>
      <c r="B174">
        <v>20250218</v>
      </c>
      <c r="C174">
        <v>39000285064</v>
      </c>
      <c r="D174" t="s">
        <v>74</v>
      </c>
      <c r="E174" t="s">
        <v>63</v>
      </c>
      <c r="F174">
        <v>2</v>
      </c>
      <c r="G174" t="s">
        <v>142</v>
      </c>
      <c r="K174" t="str">
        <f t="shared" si="2"/>
        <v>No Charger</v>
      </c>
    </row>
    <row r="175" spans="1:11" hidden="1" x14ac:dyDescent="0.2">
      <c r="A175">
        <v>148</v>
      </c>
      <c r="B175">
        <v>20250103</v>
      </c>
      <c r="C175">
        <v>39000979888</v>
      </c>
      <c r="D175" t="s">
        <v>58</v>
      </c>
      <c r="E175" t="s">
        <v>59</v>
      </c>
      <c r="F175">
        <v>1</v>
      </c>
      <c r="G175" t="s">
        <v>111</v>
      </c>
      <c r="K175" t="str">
        <f t="shared" si="2"/>
        <v>No Charger</v>
      </c>
    </row>
    <row r="176" spans="1:11" hidden="1" x14ac:dyDescent="0.2">
      <c r="A176">
        <v>149</v>
      </c>
      <c r="B176">
        <v>20250127</v>
      </c>
      <c r="C176">
        <v>39000667225</v>
      </c>
      <c r="D176" t="s">
        <v>68</v>
      </c>
      <c r="E176" t="s">
        <v>68</v>
      </c>
      <c r="F176">
        <v>1</v>
      </c>
      <c r="G176" t="s">
        <v>89</v>
      </c>
      <c r="K176" t="str">
        <f t="shared" si="2"/>
        <v>No Charger</v>
      </c>
    </row>
    <row r="177" spans="1:11" hidden="1" x14ac:dyDescent="0.2">
      <c r="A177">
        <v>150</v>
      </c>
      <c r="B177">
        <v>20250131</v>
      </c>
      <c r="C177">
        <v>39000984841</v>
      </c>
      <c r="D177" t="s">
        <v>58</v>
      </c>
      <c r="E177" t="s">
        <v>59</v>
      </c>
      <c r="F177">
        <v>1</v>
      </c>
      <c r="G177" t="s">
        <v>99</v>
      </c>
      <c r="K177" t="str">
        <f t="shared" si="2"/>
        <v>No Charger</v>
      </c>
    </row>
    <row r="178" spans="1:11" hidden="1" x14ac:dyDescent="0.2">
      <c r="A178">
        <v>151</v>
      </c>
      <c r="B178">
        <v>20250129</v>
      </c>
      <c r="C178">
        <v>39000202956</v>
      </c>
      <c r="D178" t="s">
        <v>69</v>
      </c>
      <c r="E178" t="s">
        <v>61</v>
      </c>
      <c r="F178">
        <v>2</v>
      </c>
      <c r="G178" t="s">
        <v>88</v>
      </c>
      <c r="K178" t="str">
        <f t="shared" si="2"/>
        <v>No Charger</v>
      </c>
    </row>
    <row r="179" spans="1:11" hidden="1" x14ac:dyDescent="0.2">
      <c r="A179">
        <v>152</v>
      </c>
      <c r="B179">
        <v>20250106</v>
      </c>
      <c r="C179">
        <v>39000261079</v>
      </c>
      <c r="D179" t="s">
        <v>62</v>
      </c>
      <c r="E179" t="s">
        <v>63</v>
      </c>
      <c r="F179">
        <v>1</v>
      </c>
      <c r="G179" t="s">
        <v>111</v>
      </c>
      <c r="K179" t="str">
        <f t="shared" si="2"/>
        <v>No Charger</v>
      </c>
    </row>
    <row r="180" spans="1:11" hidden="1" x14ac:dyDescent="0.2">
      <c r="A180">
        <v>153</v>
      </c>
      <c r="B180">
        <v>20250218</v>
      </c>
      <c r="C180">
        <v>39000344214</v>
      </c>
      <c r="D180" t="s">
        <v>66</v>
      </c>
      <c r="E180" t="s">
        <v>67</v>
      </c>
      <c r="F180">
        <v>1</v>
      </c>
      <c r="G180" t="s">
        <v>79</v>
      </c>
      <c r="K180" t="str">
        <f t="shared" si="2"/>
        <v>No Charger</v>
      </c>
    </row>
    <row r="181" spans="1:11" hidden="1" x14ac:dyDescent="0.2">
      <c r="A181">
        <v>154</v>
      </c>
      <c r="B181">
        <v>20250225</v>
      </c>
      <c r="C181">
        <v>39000217191</v>
      </c>
      <c r="D181" t="s">
        <v>60</v>
      </c>
      <c r="E181" t="s">
        <v>61</v>
      </c>
      <c r="F181">
        <v>1</v>
      </c>
      <c r="G181" t="s">
        <v>85</v>
      </c>
      <c r="K181" t="str">
        <f t="shared" si="2"/>
        <v>No Charger</v>
      </c>
    </row>
    <row r="182" spans="1:11" hidden="1" x14ac:dyDescent="0.2">
      <c r="A182">
        <v>155</v>
      </c>
      <c r="B182">
        <v>20250110</v>
      </c>
      <c r="C182">
        <v>39000203905</v>
      </c>
      <c r="D182" t="s">
        <v>60</v>
      </c>
      <c r="E182" t="s">
        <v>61</v>
      </c>
      <c r="F182">
        <v>1</v>
      </c>
      <c r="G182" t="s">
        <v>99</v>
      </c>
      <c r="K182" t="str">
        <f t="shared" si="2"/>
        <v>No Charger</v>
      </c>
    </row>
    <row r="183" spans="1:11" hidden="1" x14ac:dyDescent="0.2">
      <c r="A183">
        <v>156</v>
      </c>
      <c r="B183">
        <v>20250228</v>
      </c>
      <c r="C183">
        <v>39000590109</v>
      </c>
      <c r="D183" t="s">
        <v>54</v>
      </c>
      <c r="E183" t="s">
        <v>55</v>
      </c>
      <c r="F183">
        <v>1</v>
      </c>
      <c r="G183" t="s">
        <v>115</v>
      </c>
      <c r="K183" t="str">
        <f t="shared" si="2"/>
        <v>No Charger</v>
      </c>
    </row>
    <row r="184" spans="1:11" hidden="1" x14ac:dyDescent="0.2">
      <c r="A184">
        <v>157</v>
      </c>
      <c r="B184">
        <v>20250110</v>
      </c>
      <c r="C184">
        <v>39001549691</v>
      </c>
      <c r="D184" t="s">
        <v>75</v>
      </c>
      <c r="E184" t="s">
        <v>71</v>
      </c>
      <c r="F184">
        <v>1</v>
      </c>
      <c r="G184" t="s">
        <v>135</v>
      </c>
      <c r="K184" t="str">
        <f t="shared" si="2"/>
        <v>No Charger</v>
      </c>
    </row>
    <row r="185" spans="1:11" hidden="1" x14ac:dyDescent="0.2">
      <c r="A185">
        <v>158</v>
      </c>
      <c r="B185">
        <v>20250213</v>
      </c>
      <c r="C185">
        <v>39000282022</v>
      </c>
      <c r="D185" t="s">
        <v>74</v>
      </c>
      <c r="E185" t="s">
        <v>63</v>
      </c>
      <c r="F185">
        <v>1</v>
      </c>
      <c r="G185" t="s">
        <v>122</v>
      </c>
      <c r="K185" t="str">
        <f t="shared" si="2"/>
        <v>No Charger</v>
      </c>
    </row>
    <row r="186" spans="1:11" hidden="1" x14ac:dyDescent="0.2">
      <c r="A186">
        <v>159</v>
      </c>
      <c r="B186">
        <v>20250218</v>
      </c>
      <c r="C186">
        <v>39000266903</v>
      </c>
      <c r="D186" t="s">
        <v>62</v>
      </c>
      <c r="E186" t="s">
        <v>63</v>
      </c>
      <c r="F186">
        <v>1</v>
      </c>
      <c r="G186" t="s">
        <v>116</v>
      </c>
      <c r="K186" t="str">
        <f t="shared" si="2"/>
        <v>No Charger</v>
      </c>
    </row>
    <row r="187" spans="1:11" hidden="1" x14ac:dyDescent="0.2">
      <c r="A187">
        <v>160</v>
      </c>
      <c r="B187">
        <v>20250305</v>
      </c>
      <c r="C187">
        <v>39000284427</v>
      </c>
      <c r="D187" t="s">
        <v>74</v>
      </c>
      <c r="E187" t="s">
        <v>63</v>
      </c>
      <c r="F187">
        <v>1</v>
      </c>
      <c r="G187" t="s">
        <v>80</v>
      </c>
      <c r="K187" t="str">
        <f t="shared" si="2"/>
        <v>No Charger</v>
      </c>
    </row>
    <row r="188" spans="1:11" hidden="1" x14ac:dyDescent="0.2">
      <c r="A188">
        <v>161</v>
      </c>
      <c r="B188">
        <v>20250117</v>
      </c>
      <c r="C188">
        <v>39001384110</v>
      </c>
      <c r="D188" t="s">
        <v>68</v>
      </c>
      <c r="E188" t="s">
        <v>68</v>
      </c>
      <c r="F188">
        <v>2</v>
      </c>
      <c r="G188" t="s">
        <v>124</v>
      </c>
      <c r="K188" t="str">
        <f t="shared" si="2"/>
        <v>No Charger</v>
      </c>
    </row>
    <row r="189" spans="1:11" hidden="1" x14ac:dyDescent="0.2">
      <c r="A189">
        <v>162</v>
      </c>
      <c r="B189">
        <v>20250109</v>
      </c>
      <c r="C189">
        <v>39000240019</v>
      </c>
      <c r="D189" t="s">
        <v>69</v>
      </c>
      <c r="E189" t="s">
        <v>61</v>
      </c>
      <c r="F189">
        <v>1</v>
      </c>
      <c r="G189" t="s">
        <v>125</v>
      </c>
      <c r="K189" t="str">
        <f t="shared" si="2"/>
        <v>No Charger</v>
      </c>
    </row>
    <row r="190" spans="1:11" hidden="1" x14ac:dyDescent="0.2">
      <c r="A190">
        <v>163</v>
      </c>
      <c r="B190">
        <v>20250121</v>
      </c>
      <c r="C190">
        <v>39000202397</v>
      </c>
      <c r="D190" t="s">
        <v>69</v>
      </c>
      <c r="E190" t="s">
        <v>61</v>
      </c>
      <c r="F190">
        <v>1</v>
      </c>
      <c r="G190" t="s">
        <v>90</v>
      </c>
      <c r="K190" t="str">
        <f t="shared" si="2"/>
        <v>No Charger</v>
      </c>
    </row>
    <row r="191" spans="1:11" x14ac:dyDescent="0.2">
      <c r="A191">
        <v>164</v>
      </c>
      <c r="B191">
        <v>20250113</v>
      </c>
      <c r="C191">
        <v>39000963352</v>
      </c>
      <c r="D191" t="s">
        <v>58</v>
      </c>
      <c r="E191" t="s">
        <v>59</v>
      </c>
      <c r="F191">
        <v>2</v>
      </c>
      <c r="G191" t="s">
        <v>78</v>
      </c>
      <c r="K191" t="str">
        <f t="shared" si="2"/>
        <v>No Charger</v>
      </c>
    </row>
    <row r="192" spans="1:11" hidden="1" x14ac:dyDescent="0.2">
      <c r="A192">
        <v>165</v>
      </c>
      <c r="B192">
        <v>20250218</v>
      </c>
      <c r="C192">
        <v>39000211835</v>
      </c>
      <c r="D192" t="s">
        <v>69</v>
      </c>
      <c r="E192" t="s">
        <v>61</v>
      </c>
      <c r="F192">
        <v>1</v>
      </c>
      <c r="G192" t="s">
        <v>99</v>
      </c>
      <c r="K192" t="str">
        <f t="shared" si="2"/>
        <v>No Charger</v>
      </c>
    </row>
    <row r="193" spans="1:11" hidden="1" x14ac:dyDescent="0.2">
      <c r="A193">
        <v>166</v>
      </c>
      <c r="B193">
        <v>20250113</v>
      </c>
      <c r="C193">
        <v>39000336973</v>
      </c>
      <c r="D193" t="s">
        <v>66</v>
      </c>
      <c r="E193" t="s">
        <v>67</v>
      </c>
      <c r="F193">
        <v>1</v>
      </c>
      <c r="G193" t="s">
        <v>83</v>
      </c>
      <c r="K193" t="str">
        <f t="shared" si="2"/>
        <v>No Charger</v>
      </c>
    </row>
    <row r="194" spans="1:11" x14ac:dyDescent="0.2">
      <c r="A194">
        <v>167</v>
      </c>
      <c r="B194">
        <v>20250117</v>
      </c>
      <c r="C194">
        <v>39000238433</v>
      </c>
      <c r="D194" t="s">
        <v>69</v>
      </c>
      <c r="E194" t="s">
        <v>61</v>
      </c>
      <c r="F194">
        <v>1</v>
      </c>
      <c r="G194" t="s">
        <v>78</v>
      </c>
      <c r="K194" t="str">
        <f t="shared" ref="K194:K257" si="3">IF(I194="Charger","Has Charger","No Charger")</f>
        <v>No Charger</v>
      </c>
    </row>
    <row r="195" spans="1:11" hidden="1" x14ac:dyDescent="0.2">
      <c r="A195">
        <v>168</v>
      </c>
      <c r="B195">
        <v>20250307</v>
      </c>
      <c r="C195">
        <v>39001417403</v>
      </c>
      <c r="D195" t="s">
        <v>70</v>
      </c>
      <c r="E195" t="s">
        <v>71</v>
      </c>
      <c r="F195">
        <v>1</v>
      </c>
      <c r="G195" t="s">
        <v>136</v>
      </c>
      <c r="K195" t="str">
        <f t="shared" si="3"/>
        <v>No Charger</v>
      </c>
    </row>
    <row r="196" spans="1:11" hidden="1" x14ac:dyDescent="0.2">
      <c r="A196">
        <v>169</v>
      </c>
      <c r="B196">
        <v>20250214</v>
      </c>
      <c r="C196">
        <v>39000207025</v>
      </c>
      <c r="D196" t="s">
        <v>60</v>
      </c>
      <c r="E196" t="s">
        <v>61</v>
      </c>
      <c r="F196">
        <v>1</v>
      </c>
      <c r="G196" t="s">
        <v>100</v>
      </c>
      <c r="K196" t="str">
        <f t="shared" si="3"/>
        <v>No Charger</v>
      </c>
    </row>
    <row r="197" spans="1:11" hidden="1" x14ac:dyDescent="0.2">
      <c r="A197">
        <v>170</v>
      </c>
      <c r="B197">
        <v>20250102</v>
      </c>
      <c r="C197">
        <v>39001711905</v>
      </c>
      <c r="D197" t="s">
        <v>64</v>
      </c>
      <c r="E197" t="s">
        <v>65</v>
      </c>
      <c r="F197">
        <v>1</v>
      </c>
      <c r="G197" t="s">
        <v>132</v>
      </c>
      <c r="K197" t="str">
        <f t="shared" si="3"/>
        <v>No Charger</v>
      </c>
    </row>
    <row r="198" spans="1:11" hidden="1" x14ac:dyDescent="0.2">
      <c r="A198">
        <v>171</v>
      </c>
      <c r="B198">
        <v>20250224</v>
      </c>
      <c r="C198">
        <v>39000660595</v>
      </c>
      <c r="D198" t="s">
        <v>68</v>
      </c>
      <c r="E198" t="s">
        <v>68</v>
      </c>
      <c r="F198">
        <v>1</v>
      </c>
      <c r="G198" t="s">
        <v>115</v>
      </c>
      <c r="K198" t="str">
        <f t="shared" si="3"/>
        <v>No Charger</v>
      </c>
    </row>
    <row r="199" spans="1:11" hidden="1" x14ac:dyDescent="0.2">
      <c r="A199">
        <v>172</v>
      </c>
      <c r="B199">
        <v>20250218</v>
      </c>
      <c r="C199">
        <v>39000585923</v>
      </c>
      <c r="D199" t="s">
        <v>54</v>
      </c>
      <c r="E199" t="s">
        <v>55</v>
      </c>
      <c r="F199">
        <v>1</v>
      </c>
      <c r="G199" t="s">
        <v>103</v>
      </c>
      <c r="K199" t="str">
        <f t="shared" si="3"/>
        <v>No Charger</v>
      </c>
    </row>
    <row r="200" spans="1:11" hidden="1" x14ac:dyDescent="0.2">
      <c r="A200">
        <v>173</v>
      </c>
      <c r="B200">
        <v>20250107</v>
      </c>
      <c r="C200">
        <v>39000207402</v>
      </c>
      <c r="D200" t="s">
        <v>69</v>
      </c>
      <c r="E200" t="s">
        <v>61</v>
      </c>
      <c r="F200">
        <v>1</v>
      </c>
      <c r="G200" t="s">
        <v>137</v>
      </c>
      <c r="K200" t="str">
        <f t="shared" si="3"/>
        <v>No Charger</v>
      </c>
    </row>
    <row r="201" spans="1:11" x14ac:dyDescent="0.2">
      <c r="A201">
        <v>174</v>
      </c>
      <c r="B201">
        <v>20250117</v>
      </c>
      <c r="C201">
        <v>39000585286</v>
      </c>
      <c r="D201" t="s">
        <v>54</v>
      </c>
      <c r="E201" t="s">
        <v>55</v>
      </c>
      <c r="F201">
        <v>1</v>
      </c>
      <c r="G201" t="s">
        <v>78</v>
      </c>
      <c r="K201" t="str">
        <f t="shared" si="3"/>
        <v>No Charger</v>
      </c>
    </row>
    <row r="202" spans="1:11" hidden="1" x14ac:dyDescent="0.2">
      <c r="A202">
        <v>175</v>
      </c>
      <c r="B202">
        <v>20250303</v>
      </c>
      <c r="C202">
        <v>39000585364</v>
      </c>
      <c r="D202" t="s">
        <v>54</v>
      </c>
      <c r="E202" t="s">
        <v>55</v>
      </c>
      <c r="F202">
        <v>1</v>
      </c>
      <c r="G202" t="s">
        <v>136</v>
      </c>
      <c r="K202" t="str">
        <f t="shared" si="3"/>
        <v>No Charger</v>
      </c>
    </row>
    <row r="203" spans="1:11" hidden="1" x14ac:dyDescent="0.2">
      <c r="A203">
        <v>176</v>
      </c>
      <c r="B203">
        <v>20250124</v>
      </c>
      <c r="C203">
        <v>39000199121</v>
      </c>
      <c r="D203" t="s">
        <v>69</v>
      </c>
      <c r="E203" t="s">
        <v>61</v>
      </c>
      <c r="F203">
        <v>1</v>
      </c>
      <c r="G203" t="s">
        <v>84</v>
      </c>
      <c r="K203" t="str">
        <f t="shared" si="3"/>
        <v>No Charger</v>
      </c>
    </row>
    <row r="204" spans="1:11" hidden="1" x14ac:dyDescent="0.2">
      <c r="A204">
        <v>177</v>
      </c>
      <c r="B204">
        <v>20250206</v>
      </c>
      <c r="C204">
        <v>39000767533</v>
      </c>
      <c r="D204" t="s">
        <v>66</v>
      </c>
      <c r="E204" t="s">
        <v>67</v>
      </c>
      <c r="F204">
        <v>2</v>
      </c>
      <c r="G204" t="s">
        <v>90</v>
      </c>
      <c r="K204" t="str">
        <f t="shared" si="3"/>
        <v>No Charger</v>
      </c>
    </row>
    <row r="205" spans="1:11" hidden="1" x14ac:dyDescent="0.2">
      <c r="A205">
        <v>178</v>
      </c>
      <c r="B205">
        <v>20250117</v>
      </c>
      <c r="C205">
        <v>39000283439</v>
      </c>
      <c r="D205" t="s">
        <v>74</v>
      </c>
      <c r="E205" t="s">
        <v>63</v>
      </c>
      <c r="F205">
        <v>-0.58299999999999996</v>
      </c>
      <c r="G205" t="s">
        <v>83</v>
      </c>
      <c r="K205" t="str">
        <f t="shared" si="3"/>
        <v>No Charger</v>
      </c>
    </row>
    <row r="206" spans="1:11" hidden="1" x14ac:dyDescent="0.2">
      <c r="A206">
        <v>179</v>
      </c>
      <c r="B206">
        <v>20250306</v>
      </c>
      <c r="C206">
        <v>39001719159</v>
      </c>
      <c r="D206" t="s">
        <v>64</v>
      </c>
      <c r="E206" t="s">
        <v>65</v>
      </c>
      <c r="F206">
        <v>-4.2000000000000003E-2</v>
      </c>
      <c r="G206" t="s">
        <v>138</v>
      </c>
      <c r="K206" t="str">
        <f t="shared" si="3"/>
        <v>No Charger</v>
      </c>
    </row>
    <row r="207" spans="1:11" hidden="1" x14ac:dyDescent="0.2">
      <c r="A207">
        <v>180</v>
      </c>
      <c r="B207">
        <v>20250127</v>
      </c>
      <c r="C207">
        <v>39000329979</v>
      </c>
      <c r="D207" t="s">
        <v>66</v>
      </c>
      <c r="E207" t="s">
        <v>67</v>
      </c>
      <c r="F207">
        <v>1</v>
      </c>
      <c r="G207" t="s">
        <v>89</v>
      </c>
      <c r="K207" t="str">
        <f t="shared" si="3"/>
        <v>No Charger</v>
      </c>
    </row>
    <row r="208" spans="1:11" hidden="1" x14ac:dyDescent="0.2">
      <c r="A208">
        <v>181</v>
      </c>
      <c r="B208">
        <v>20250124</v>
      </c>
      <c r="C208">
        <v>39000217243</v>
      </c>
      <c r="D208" t="s">
        <v>60</v>
      </c>
      <c r="E208" t="s">
        <v>61</v>
      </c>
      <c r="F208">
        <v>1</v>
      </c>
      <c r="G208" t="s">
        <v>99</v>
      </c>
      <c r="K208" t="str">
        <f t="shared" si="3"/>
        <v>No Charger</v>
      </c>
    </row>
    <row r="209" spans="1:11" hidden="1" x14ac:dyDescent="0.2">
      <c r="A209">
        <v>182</v>
      </c>
      <c r="B209">
        <v>20250226</v>
      </c>
      <c r="C209">
        <v>39000662974</v>
      </c>
      <c r="D209" t="s">
        <v>68</v>
      </c>
      <c r="E209" t="s">
        <v>68</v>
      </c>
      <c r="F209">
        <v>1</v>
      </c>
      <c r="G209" t="s">
        <v>79</v>
      </c>
      <c r="K209" t="str">
        <f t="shared" si="3"/>
        <v>No Charger</v>
      </c>
    </row>
    <row r="210" spans="1:11" hidden="1" x14ac:dyDescent="0.2">
      <c r="A210">
        <v>183</v>
      </c>
      <c r="B210">
        <v>20250204</v>
      </c>
      <c r="C210">
        <v>39002263885</v>
      </c>
      <c r="D210" t="s">
        <v>56</v>
      </c>
      <c r="E210" t="s">
        <v>57</v>
      </c>
      <c r="F210">
        <v>1</v>
      </c>
      <c r="G210" t="s">
        <v>88</v>
      </c>
      <c r="K210" t="str">
        <f t="shared" si="3"/>
        <v>No Charger</v>
      </c>
    </row>
    <row r="211" spans="1:11" hidden="1" x14ac:dyDescent="0.2">
      <c r="A211">
        <v>184</v>
      </c>
      <c r="B211">
        <v>20250123</v>
      </c>
      <c r="C211">
        <v>39000237003</v>
      </c>
      <c r="D211" t="s">
        <v>60</v>
      </c>
      <c r="E211" t="s">
        <v>61</v>
      </c>
      <c r="F211">
        <v>1</v>
      </c>
      <c r="G211" t="s">
        <v>88</v>
      </c>
      <c r="K211" t="str">
        <f t="shared" si="3"/>
        <v>No Charger</v>
      </c>
    </row>
    <row r="212" spans="1:11" hidden="1" x14ac:dyDescent="0.2">
      <c r="A212">
        <v>185</v>
      </c>
      <c r="B212">
        <v>20250128</v>
      </c>
      <c r="C212">
        <v>39000223964</v>
      </c>
      <c r="D212" t="s">
        <v>69</v>
      </c>
      <c r="E212" t="s">
        <v>61</v>
      </c>
      <c r="F212">
        <v>1</v>
      </c>
      <c r="G212" t="s">
        <v>88</v>
      </c>
      <c r="K212" t="str">
        <f t="shared" si="3"/>
        <v>No Charger</v>
      </c>
    </row>
    <row r="213" spans="1:11" hidden="1" x14ac:dyDescent="0.2">
      <c r="A213">
        <v>186</v>
      </c>
      <c r="B213">
        <v>20250131</v>
      </c>
      <c r="C213">
        <v>39001488500</v>
      </c>
      <c r="D213" t="s">
        <v>72</v>
      </c>
      <c r="E213" t="s">
        <v>73</v>
      </c>
      <c r="F213">
        <v>1</v>
      </c>
      <c r="G213" t="s">
        <v>90</v>
      </c>
      <c r="K213" t="str">
        <f t="shared" si="3"/>
        <v>No Charger</v>
      </c>
    </row>
    <row r="214" spans="1:11" hidden="1" x14ac:dyDescent="0.2">
      <c r="A214">
        <v>187</v>
      </c>
      <c r="B214">
        <v>20250204</v>
      </c>
      <c r="C214">
        <v>39000663182</v>
      </c>
      <c r="D214" t="s">
        <v>68</v>
      </c>
      <c r="E214" t="s">
        <v>68</v>
      </c>
      <c r="F214">
        <v>1</v>
      </c>
      <c r="G214" t="s">
        <v>100</v>
      </c>
      <c r="K214" t="str">
        <f t="shared" si="3"/>
        <v>No Charger</v>
      </c>
    </row>
    <row r="215" spans="1:11" hidden="1" x14ac:dyDescent="0.2">
      <c r="A215">
        <v>188</v>
      </c>
      <c r="B215">
        <v>20250114</v>
      </c>
      <c r="C215">
        <v>39000281489</v>
      </c>
      <c r="D215" t="s">
        <v>74</v>
      </c>
      <c r="E215" t="s">
        <v>63</v>
      </c>
      <c r="F215">
        <v>3</v>
      </c>
      <c r="G215" t="s">
        <v>83</v>
      </c>
      <c r="K215" t="str">
        <f t="shared" si="3"/>
        <v>No Charger</v>
      </c>
    </row>
    <row r="216" spans="1:11" x14ac:dyDescent="0.2">
      <c r="A216">
        <v>189</v>
      </c>
      <c r="B216">
        <v>20250227</v>
      </c>
      <c r="C216">
        <v>39000591591</v>
      </c>
      <c r="D216" t="s">
        <v>54</v>
      </c>
      <c r="E216" t="s">
        <v>55</v>
      </c>
      <c r="F216">
        <v>1</v>
      </c>
      <c r="G216" t="s">
        <v>126</v>
      </c>
      <c r="K216" t="str">
        <f t="shared" si="3"/>
        <v>No Charger</v>
      </c>
    </row>
    <row r="217" spans="1:11" hidden="1" x14ac:dyDescent="0.2">
      <c r="A217">
        <v>190</v>
      </c>
      <c r="B217">
        <v>20250108</v>
      </c>
      <c r="C217">
        <v>39002659917</v>
      </c>
      <c r="D217" t="s">
        <v>74</v>
      </c>
      <c r="E217" t="s">
        <v>63</v>
      </c>
      <c r="F217">
        <v>2</v>
      </c>
      <c r="G217" t="s">
        <v>79</v>
      </c>
      <c r="K217" t="str">
        <f t="shared" si="3"/>
        <v>No Charger</v>
      </c>
    </row>
    <row r="218" spans="1:11" hidden="1" x14ac:dyDescent="0.2">
      <c r="A218">
        <v>191</v>
      </c>
      <c r="B218">
        <v>20250205</v>
      </c>
      <c r="C218">
        <v>39000970541</v>
      </c>
      <c r="D218" t="s">
        <v>58</v>
      </c>
      <c r="E218" t="s">
        <v>59</v>
      </c>
      <c r="F218">
        <v>-4.2000000000000003E-2</v>
      </c>
      <c r="G218" t="s">
        <v>100</v>
      </c>
      <c r="K218" t="str">
        <f t="shared" si="3"/>
        <v>No Charger</v>
      </c>
    </row>
    <row r="219" spans="1:11" x14ac:dyDescent="0.2">
      <c r="A219">
        <v>192</v>
      </c>
      <c r="B219">
        <v>20250305</v>
      </c>
      <c r="C219">
        <v>39002120898</v>
      </c>
      <c r="D219" t="s">
        <v>70</v>
      </c>
      <c r="E219" t="s">
        <v>71</v>
      </c>
      <c r="F219">
        <v>1</v>
      </c>
      <c r="G219" t="s">
        <v>78</v>
      </c>
      <c r="K219" t="str">
        <f t="shared" si="3"/>
        <v>No Charger</v>
      </c>
    </row>
    <row r="220" spans="1:11" hidden="1" x14ac:dyDescent="0.2">
      <c r="A220">
        <v>193</v>
      </c>
      <c r="B220">
        <v>20250220</v>
      </c>
      <c r="C220">
        <v>39002178501</v>
      </c>
      <c r="D220" t="s">
        <v>70</v>
      </c>
      <c r="E220" t="s">
        <v>71</v>
      </c>
      <c r="F220">
        <v>1</v>
      </c>
      <c r="G220" t="s">
        <v>94</v>
      </c>
      <c r="K220" t="str">
        <f t="shared" si="3"/>
        <v>No Charger</v>
      </c>
    </row>
    <row r="221" spans="1:11" hidden="1" x14ac:dyDescent="0.2">
      <c r="A221">
        <v>195</v>
      </c>
      <c r="B221">
        <v>20250204</v>
      </c>
      <c r="C221">
        <v>39001519752</v>
      </c>
      <c r="D221" t="s">
        <v>70</v>
      </c>
      <c r="E221" t="s">
        <v>71</v>
      </c>
      <c r="F221">
        <v>5</v>
      </c>
      <c r="G221" t="s">
        <v>100</v>
      </c>
      <c r="K221" t="str">
        <f t="shared" si="3"/>
        <v>No Charger</v>
      </c>
    </row>
    <row r="222" spans="1:11" hidden="1" x14ac:dyDescent="0.2">
      <c r="A222">
        <v>196</v>
      </c>
      <c r="B222">
        <v>20250116</v>
      </c>
      <c r="C222">
        <v>39000220766</v>
      </c>
      <c r="D222" t="s">
        <v>69</v>
      </c>
      <c r="E222" t="s">
        <v>61</v>
      </c>
      <c r="F222">
        <v>1</v>
      </c>
      <c r="G222" t="s">
        <v>93</v>
      </c>
      <c r="K222" t="str">
        <f t="shared" si="3"/>
        <v>No Charger</v>
      </c>
    </row>
    <row r="223" spans="1:11" hidden="1" x14ac:dyDescent="0.2">
      <c r="A223">
        <v>474</v>
      </c>
      <c r="B223">
        <v>20250224</v>
      </c>
      <c r="C223">
        <v>39000220766</v>
      </c>
      <c r="D223" t="s">
        <v>69</v>
      </c>
      <c r="E223" t="s">
        <v>61</v>
      </c>
      <c r="F223">
        <v>1</v>
      </c>
      <c r="G223" t="s">
        <v>111</v>
      </c>
      <c r="K223" t="str">
        <f t="shared" si="3"/>
        <v>No Charger</v>
      </c>
    </row>
    <row r="224" spans="1:11" hidden="1" x14ac:dyDescent="0.2">
      <c r="A224">
        <v>197</v>
      </c>
      <c r="B224">
        <v>20250124</v>
      </c>
      <c r="C224">
        <v>39000236418</v>
      </c>
      <c r="D224" t="s">
        <v>60</v>
      </c>
      <c r="E224" t="s">
        <v>61</v>
      </c>
      <c r="F224">
        <v>2</v>
      </c>
      <c r="G224" t="s">
        <v>84</v>
      </c>
      <c r="K224" t="str">
        <f t="shared" si="3"/>
        <v>No Charger</v>
      </c>
    </row>
    <row r="225" spans="1:11" hidden="1" x14ac:dyDescent="0.2">
      <c r="A225">
        <v>198</v>
      </c>
      <c r="B225">
        <v>20250224</v>
      </c>
      <c r="C225">
        <v>39001707901</v>
      </c>
      <c r="D225" t="s">
        <v>64</v>
      </c>
      <c r="E225" t="s">
        <v>65</v>
      </c>
      <c r="F225">
        <v>8</v>
      </c>
      <c r="G225" t="s">
        <v>100</v>
      </c>
      <c r="K225" t="str">
        <f t="shared" si="3"/>
        <v>No Charger</v>
      </c>
    </row>
    <row r="226" spans="1:11" hidden="1" x14ac:dyDescent="0.2">
      <c r="A226">
        <v>200</v>
      </c>
      <c r="B226">
        <v>20250116</v>
      </c>
      <c r="C226">
        <v>39000239928</v>
      </c>
      <c r="D226" t="s">
        <v>60</v>
      </c>
      <c r="E226" t="s">
        <v>61</v>
      </c>
      <c r="F226">
        <v>-1</v>
      </c>
      <c r="G226" t="s">
        <v>88</v>
      </c>
      <c r="K226" t="str">
        <f t="shared" si="3"/>
        <v>No Charger</v>
      </c>
    </row>
    <row r="227" spans="1:11" hidden="1" x14ac:dyDescent="0.2">
      <c r="A227">
        <v>201</v>
      </c>
      <c r="B227">
        <v>20250103</v>
      </c>
      <c r="C227">
        <v>39001386333</v>
      </c>
      <c r="D227" t="s">
        <v>70</v>
      </c>
      <c r="E227" t="s">
        <v>71</v>
      </c>
      <c r="F227">
        <v>2</v>
      </c>
      <c r="G227" t="s">
        <v>87</v>
      </c>
      <c r="K227" t="str">
        <f t="shared" si="3"/>
        <v>No Charger</v>
      </c>
    </row>
    <row r="228" spans="1:11" hidden="1" x14ac:dyDescent="0.2">
      <c r="A228">
        <v>202</v>
      </c>
      <c r="B228">
        <v>20250124</v>
      </c>
      <c r="C228">
        <v>39000592722</v>
      </c>
      <c r="D228" t="s">
        <v>54</v>
      </c>
      <c r="E228" t="s">
        <v>55</v>
      </c>
      <c r="F228">
        <v>1</v>
      </c>
      <c r="G228" t="s">
        <v>83</v>
      </c>
      <c r="K228" t="str">
        <f t="shared" si="3"/>
        <v>No Charger</v>
      </c>
    </row>
    <row r="229" spans="1:11" hidden="1" x14ac:dyDescent="0.2">
      <c r="A229">
        <v>203</v>
      </c>
      <c r="B229">
        <v>20250129</v>
      </c>
      <c r="C229">
        <v>39001588327</v>
      </c>
      <c r="D229" t="s">
        <v>70</v>
      </c>
      <c r="E229" t="s">
        <v>71</v>
      </c>
      <c r="F229">
        <v>1</v>
      </c>
      <c r="G229" t="s">
        <v>83</v>
      </c>
      <c r="K229" t="str">
        <f t="shared" si="3"/>
        <v>No Charger</v>
      </c>
    </row>
    <row r="230" spans="1:11" hidden="1" x14ac:dyDescent="0.2">
      <c r="A230">
        <v>204</v>
      </c>
      <c r="B230">
        <v>20250305</v>
      </c>
      <c r="C230">
        <v>39000217230</v>
      </c>
      <c r="D230" t="s">
        <v>69</v>
      </c>
      <c r="E230" t="s">
        <v>61</v>
      </c>
      <c r="F230">
        <v>1</v>
      </c>
      <c r="G230" t="s">
        <v>131</v>
      </c>
      <c r="K230" t="str">
        <f t="shared" si="3"/>
        <v>No Charger</v>
      </c>
    </row>
    <row r="231" spans="1:11" x14ac:dyDescent="0.2">
      <c r="A231">
        <v>205</v>
      </c>
      <c r="B231">
        <v>20250206</v>
      </c>
      <c r="C231">
        <v>39000956215</v>
      </c>
      <c r="D231" t="s">
        <v>58</v>
      </c>
      <c r="E231" t="s">
        <v>59</v>
      </c>
      <c r="F231">
        <v>2</v>
      </c>
      <c r="G231" t="s">
        <v>78</v>
      </c>
      <c r="K231" t="str">
        <f t="shared" si="3"/>
        <v>No Charger</v>
      </c>
    </row>
    <row r="232" spans="1:11" hidden="1" x14ac:dyDescent="0.2">
      <c r="A232">
        <v>206</v>
      </c>
      <c r="B232">
        <v>20250226</v>
      </c>
      <c r="C232">
        <v>39000669708</v>
      </c>
      <c r="D232" t="s">
        <v>68</v>
      </c>
      <c r="E232" t="s">
        <v>68</v>
      </c>
      <c r="F232">
        <v>2</v>
      </c>
      <c r="G232" t="s">
        <v>118</v>
      </c>
      <c r="K232" t="str">
        <f t="shared" si="3"/>
        <v>No Charger</v>
      </c>
    </row>
    <row r="233" spans="1:11" hidden="1" x14ac:dyDescent="0.2">
      <c r="A233">
        <v>207</v>
      </c>
      <c r="B233">
        <v>20250121</v>
      </c>
      <c r="C233">
        <v>39000342680</v>
      </c>
      <c r="D233" t="s">
        <v>66</v>
      </c>
      <c r="E233" t="s">
        <v>67</v>
      </c>
      <c r="F233">
        <v>1</v>
      </c>
      <c r="G233" t="s">
        <v>92</v>
      </c>
      <c r="K233" t="str">
        <f t="shared" si="3"/>
        <v>No Charger</v>
      </c>
    </row>
    <row r="234" spans="1:11" hidden="1" x14ac:dyDescent="0.2">
      <c r="A234">
        <v>208</v>
      </c>
      <c r="B234">
        <v>20250108</v>
      </c>
      <c r="C234">
        <v>39000338754</v>
      </c>
      <c r="D234" t="s">
        <v>66</v>
      </c>
      <c r="E234" t="s">
        <v>67</v>
      </c>
      <c r="F234">
        <v>5</v>
      </c>
      <c r="G234" t="s">
        <v>88</v>
      </c>
      <c r="K234" t="str">
        <f t="shared" si="3"/>
        <v>No Charger</v>
      </c>
    </row>
    <row r="235" spans="1:11" hidden="1" x14ac:dyDescent="0.2">
      <c r="A235">
        <v>209</v>
      </c>
      <c r="B235">
        <v>20250310</v>
      </c>
      <c r="C235">
        <v>39000592631</v>
      </c>
      <c r="D235" t="s">
        <v>54</v>
      </c>
      <c r="E235" t="s">
        <v>55</v>
      </c>
      <c r="F235">
        <v>1</v>
      </c>
      <c r="G235" t="s">
        <v>136</v>
      </c>
      <c r="K235" t="str">
        <f t="shared" si="3"/>
        <v>No Charger</v>
      </c>
    </row>
    <row r="236" spans="1:11" hidden="1" x14ac:dyDescent="0.2">
      <c r="A236">
        <v>210</v>
      </c>
      <c r="B236">
        <v>20250109</v>
      </c>
      <c r="C236">
        <v>39000332163</v>
      </c>
      <c r="D236" t="s">
        <v>66</v>
      </c>
      <c r="E236" t="s">
        <v>67</v>
      </c>
      <c r="F236">
        <v>1</v>
      </c>
      <c r="G236" t="s">
        <v>140</v>
      </c>
      <c r="K236" t="str">
        <f t="shared" si="3"/>
        <v>No Charger</v>
      </c>
    </row>
    <row r="237" spans="1:11" hidden="1" x14ac:dyDescent="0.2">
      <c r="A237">
        <v>211</v>
      </c>
      <c r="B237">
        <v>20250206</v>
      </c>
      <c r="C237">
        <v>39000658229</v>
      </c>
      <c r="D237" t="s">
        <v>68</v>
      </c>
      <c r="E237" t="s">
        <v>68</v>
      </c>
      <c r="F237">
        <v>6</v>
      </c>
      <c r="G237" t="s">
        <v>88</v>
      </c>
      <c r="K237" t="str">
        <f t="shared" si="3"/>
        <v>No Charger</v>
      </c>
    </row>
    <row r="238" spans="1:11" hidden="1" x14ac:dyDescent="0.2">
      <c r="A238">
        <v>213</v>
      </c>
      <c r="B238">
        <v>20250306</v>
      </c>
      <c r="C238">
        <v>39000595101</v>
      </c>
      <c r="D238" t="s">
        <v>54</v>
      </c>
      <c r="E238" t="s">
        <v>55</v>
      </c>
      <c r="F238">
        <v>1</v>
      </c>
      <c r="G238" t="s">
        <v>101</v>
      </c>
      <c r="K238" t="str">
        <f t="shared" si="3"/>
        <v>No Charger</v>
      </c>
    </row>
    <row r="239" spans="1:11" hidden="1" x14ac:dyDescent="0.2">
      <c r="A239">
        <v>214</v>
      </c>
      <c r="B239">
        <v>20250218</v>
      </c>
      <c r="C239">
        <v>39000426790</v>
      </c>
      <c r="D239" t="s">
        <v>74</v>
      </c>
      <c r="E239" t="s">
        <v>63</v>
      </c>
      <c r="F239">
        <v>1</v>
      </c>
      <c r="G239" t="s">
        <v>116</v>
      </c>
      <c r="K239" t="str">
        <f t="shared" si="3"/>
        <v>No Charger</v>
      </c>
    </row>
    <row r="240" spans="1:11" hidden="1" x14ac:dyDescent="0.2">
      <c r="A240">
        <v>215</v>
      </c>
      <c r="B240">
        <v>20250225</v>
      </c>
      <c r="C240">
        <v>39000220506</v>
      </c>
      <c r="D240" t="s">
        <v>60</v>
      </c>
      <c r="E240" t="s">
        <v>61</v>
      </c>
      <c r="F240">
        <v>1</v>
      </c>
      <c r="G240" t="s">
        <v>127</v>
      </c>
      <c r="K240" t="str">
        <f t="shared" si="3"/>
        <v>No Charger</v>
      </c>
    </row>
    <row r="241" spans="1:11" hidden="1" x14ac:dyDescent="0.2">
      <c r="A241">
        <v>216</v>
      </c>
      <c r="B241">
        <v>20250107</v>
      </c>
      <c r="C241">
        <v>39001470664</v>
      </c>
      <c r="D241" t="s">
        <v>70</v>
      </c>
      <c r="E241" t="s">
        <v>71</v>
      </c>
      <c r="F241">
        <v>-0.54200000000000004</v>
      </c>
      <c r="G241" t="s">
        <v>141</v>
      </c>
      <c r="K241" t="str">
        <f t="shared" si="3"/>
        <v>No Charger</v>
      </c>
    </row>
    <row r="242" spans="1:11" hidden="1" x14ac:dyDescent="0.2">
      <c r="A242">
        <v>217</v>
      </c>
      <c r="B242">
        <v>20250207</v>
      </c>
      <c r="C242">
        <v>39002433223</v>
      </c>
      <c r="D242" t="s">
        <v>54</v>
      </c>
      <c r="E242" t="s">
        <v>55</v>
      </c>
      <c r="F242">
        <v>1</v>
      </c>
      <c r="G242" t="s">
        <v>111</v>
      </c>
      <c r="K242" t="str">
        <f t="shared" si="3"/>
        <v>No Charger</v>
      </c>
    </row>
    <row r="243" spans="1:11" hidden="1" x14ac:dyDescent="0.2">
      <c r="A243">
        <v>218</v>
      </c>
      <c r="B243">
        <v>20250203</v>
      </c>
      <c r="C243">
        <v>39001379651</v>
      </c>
      <c r="D243" t="s">
        <v>76</v>
      </c>
      <c r="E243" t="s">
        <v>77</v>
      </c>
      <c r="F243">
        <v>1</v>
      </c>
      <c r="G243" t="s">
        <v>94</v>
      </c>
      <c r="K243" t="str">
        <f t="shared" si="3"/>
        <v>No Charger</v>
      </c>
    </row>
    <row r="244" spans="1:11" hidden="1" x14ac:dyDescent="0.2">
      <c r="A244">
        <v>219</v>
      </c>
      <c r="B244">
        <v>20250226</v>
      </c>
      <c r="C244">
        <v>39000264836</v>
      </c>
      <c r="D244" t="s">
        <v>62</v>
      </c>
      <c r="E244" t="s">
        <v>63</v>
      </c>
      <c r="F244">
        <v>1</v>
      </c>
      <c r="G244" t="s">
        <v>95</v>
      </c>
      <c r="K244" t="str">
        <f t="shared" si="3"/>
        <v>No Charger</v>
      </c>
    </row>
    <row r="245" spans="1:11" hidden="1" x14ac:dyDescent="0.2">
      <c r="A245">
        <v>220</v>
      </c>
      <c r="B245">
        <v>20250113</v>
      </c>
      <c r="C245">
        <v>39000661102</v>
      </c>
      <c r="D245" t="s">
        <v>68</v>
      </c>
      <c r="E245" t="s">
        <v>68</v>
      </c>
      <c r="F245">
        <v>1</v>
      </c>
      <c r="G245" t="s">
        <v>124</v>
      </c>
      <c r="K245" t="str">
        <f t="shared" si="3"/>
        <v>No Charger</v>
      </c>
    </row>
    <row r="246" spans="1:11" hidden="1" x14ac:dyDescent="0.2">
      <c r="A246">
        <v>221</v>
      </c>
      <c r="B246">
        <v>20250203</v>
      </c>
      <c r="C246">
        <v>39000263705</v>
      </c>
      <c r="D246" t="s">
        <v>62</v>
      </c>
      <c r="E246" t="s">
        <v>63</v>
      </c>
      <c r="F246">
        <v>1</v>
      </c>
      <c r="G246" t="s">
        <v>90</v>
      </c>
      <c r="K246" t="str">
        <f t="shared" si="3"/>
        <v>No Charger</v>
      </c>
    </row>
    <row r="247" spans="1:11" hidden="1" x14ac:dyDescent="0.2">
      <c r="A247">
        <v>222</v>
      </c>
      <c r="B247">
        <v>20250127</v>
      </c>
      <c r="C247">
        <v>39002365467</v>
      </c>
      <c r="D247" t="s">
        <v>68</v>
      </c>
      <c r="E247" t="s">
        <v>68</v>
      </c>
      <c r="F247">
        <v>1</v>
      </c>
      <c r="G247" t="s">
        <v>124</v>
      </c>
      <c r="K247" t="str">
        <f t="shared" si="3"/>
        <v>No Charger</v>
      </c>
    </row>
    <row r="248" spans="1:11" hidden="1" x14ac:dyDescent="0.2">
      <c r="A248">
        <v>223</v>
      </c>
      <c r="B248">
        <v>20250117</v>
      </c>
      <c r="C248">
        <v>39000198159</v>
      </c>
      <c r="D248" t="s">
        <v>69</v>
      </c>
      <c r="E248" t="s">
        <v>61</v>
      </c>
      <c r="F248">
        <v>1</v>
      </c>
      <c r="G248" t="s">
        <v>90</v>
      </c>
      <c r="K248" t="str">
        <f t="shared" si="3"/>
        <v>No Charger</v>
      </c>
    </row>
    <row r="249" spans="1:11" hidden="1" x14ac:dyDescent="0.2">
      <c r="A249">
        <v>224</v>
      </c>
      <c r="B249">
        <v>20250227</v>
      </c>
      <c r="C249">
        <v>39001520506</v>
      </c>
      <c r="D249" t="s">
        <v>70</v>
      </c>
      <c r="E249" t="s">
        <v>71</v>
      </c>
      <c r="F249">
        <v>1</v>
      </c>
      <c r="G249" t="s">
        <v>51</v>
      </c>
      <c r="K249" t="str">
        <f t="shared" si="3"/>
        <v>No Charger</v>
      </c>
    </row>
    <row r="250" spans="1:11" hidden="1" x14ac:dyDescent="0.2">
      <c r="A250">
        <v>225</v>
      </c>
      <c r="B250">
        <v>20250206</v>
      </c>
      <c r="C250">
        <v>39000660699</v>
      </c>
      <c r="D250" t="s">
        <v>68</v>
      </c>
      <c r="E250" t="s">
        <v>68</v>
      </c>
      <c r="F250">
        <v>1</v>
      </c>
      <c r="G250" t="s">
        <v>108</v>
      </c>
      <c r="K250" t="str">
        <f t="shared" si="3"/>
        <v>No Charger</v>
      </c>
    </row>
    <row r="251" spans="1:11" hidden="1" x14ac:dyDescent="0.2">
      <c r="A251">
        <v>226</v>
      </c>
      <c r="B251">
        <v>20250219</v>
      </c>
      <c r="C251">
        <v>39000671281</v>
      </c>
      <c r="D251" t="s">
        <v>68</v>
      </c>
      <c r="E251" t="s">
        <v>68</v>
      </c>
      <c r="F251">
        <v>1</v>
      </c>
      <c r="G251" t="s">
        <v>124</v>
      </c>
      <c r="K251" t="str">
        <f t="shared" si="3"/>
        <v>No Charger</v>
      </c>
    </row>
    <row r="252" spans="1:11" hidden="1" x14ac:dyDescent="0.2">
      <c r="A252">
        <v>227</v>
      </c>
      <c r="B252">
        <v>20250117</v>
      </c>
      <c r="C252">
        <v>39000227981</v>
      </c>
      <c r="D252" t="s">
        <v>60</v>
      </c>
      <c r="E252" t="s">
        <v>61</v>
      </c>
      <c r="F252">
        <v>2</v>
      </c>
      <c r="G252" t="s">
        <v>140</v>
      </c>
      <c r="K252" t="str">
        <f t="shared" si="3"/>
        <v>No Charger</v>
      </c>
    </row>
    <row r="253" spans="1:11" hidden="1" x14ac:dyDescent="0.2">
      <c r="A253">
        <v>228</v>
      </c>
      <c r="B253">
        <v>20250124</v>
      </c>
      <c r="C253">
        <v>39000211029</v>
      </c>
      <c r="D253" t="s">
        <v>60</v>
      </c>
      <c r="E253" t="s">
        <v>61</v>
      </c>
      <c r="F253">
        <v>1</v>
      </c>
      <c r="G253" t="s">
        <v>90</v>
      </c>
      <c r="K253" t="str">
        <f t="shared" si="3"/>
        <v>No Charger</v>
      </c>
    </row>
    <row r="254" spans="1:11" hidden="1" x14ac:dyDescent="0.2">
      <c r="A254">
        <v>230</v>
      </c>
      <c r="B254">
        <v>20250303</v>
      </c>
      <c r="C254">
        <v>39002747732</v>
      </c>
      <c r="D254" t="s">
        <v>66</v>
      </c>
      <c r="E254" t="s">
        <v>67</v>
      </c>
      <c r="F254">
        <v>1</v>
      </c>
      <c r="G254" t="s">
        <v>83</v>
      </c>
      <c r="K254" t="str">
        <f t="shared" si="3"/>
        <v>No Charger</v>
      </c>
    </row>
    <row r="255" spans="1:11" x14ac:dyDescent="0.2">
      <c r="A255">
        <v>231</v>
      </c>
      <c r="B255">
        <v>20250226</v>
      </c>
      <c r="C255">
        <v>39000587769</v>
      </c>
      <c r="D255" t="s">
        <v>54</v>
      </c>
      <c r="E255" t="s">
        <v>55</v>
      </c>
      <c r="F255">
        <v>1</v>
      </c>
      <c r="G255" t="s">
        <v>78</v>
      </c>
      <c r="K255" t="str">
        <f t="shared" si="3"/>
        <v>No Charger</v>
      </c>
    </row>
    <row r="256" spans="1:11" hidden="1" x14ac:dyDescent="0.2">
      <c r="A256">
        <v>232</v>
      </c>
      <c r="B256">
        <v>20250304</v>
      </c>
      <c r="C256">
        <v>39000197730</v>
      </c>
      <c r="D256" t="s">
        <v>60</v>
      </c>
      <c r="E256" t="s">
        <v>61</v>
      </c>
      <c r="F256">
        <v>1</v>
      </c>
      <c r="G256" t="s">
        <v>121</v>
      </c>
      <c r="K256" t="str">
        <f t="shared" si="3"/>
        <v>No Charger</v>
      </c>
    </row>
    <row r="257" spans="1:11" hidden="1" x14ac:dyDescent="0.2">
      <c r="A257">
        <v>233</v>
      </c>
      <c r="B257">
        <v>20250127</v>
      </c>
      <c r="C257">
        <v>39000337857</v>
      </c>
      <c r="D257" t="s">
        <v>66</v>
      </c>
      <c r="E257" t="s">
        <v>67</v>
      </c>
      <c r="F257">
        <v>1</v>
      </c>
      <c r="G257" t="s">
        <v>93</v>
      </c>
      <c r="K257" t="str">
        <f t="shared" si="3"/>
        <v>No Charger</v>
      </c>
    </row>
    <row r="258" spans="1:11" hidden="1" x14ac:dyDescent="0.2">
      <c r="A258">
        <v>234</v>
      </c>
      <c r="B258">
        <v>20250220</v>
      </c>
      <c r="C258">
        <v>39002306343</v>
      </c>
      <c r="D258" t="s">
        <v>56</v>
      </c>
      <c r="E258" t="s">
        <v>57</v>
      </c>
      <c r="F258">
        <v>1</v>
      </c>
      <c r="G258" t="s">
        <v>89</v>
      </c>
      <c r="K258" t="str">
        <f t="shared" ref="K258:K321" si="4">IF(I258="Charger","Has Charger","No Charger")</f>
        <v>No Charger</v>
      </c>
    </row>
    <row r="259" spans="1:11" x14ac:dyDescent="0.2">
      <c r="A259">
        <v>235</v>
      </c>
      <c r="B259">
        <v>20250114</v>
      </c>
      <c r="C259">
        <v>39000209092</v>
      </c>
      <c r="D259" t="s">
        <v>60</v>
      </c>
      <c r="E259" t="s">
        <v>61</v>
      </c>
      <c r="F259">
        <v>1</v>
      </c>
      <c r="G259" t="s">
        <v>78</v>
      </c>
      <c r="K259" t="str">
        <f t="shared" si="4"/>
        <v>No Charger</v>
      </c>
    </row>
    <row r="260" spans="1:11" hidden="1" x14ac:dyDescent="0.2">
      <c r="A260">
        <v>236</v>
      </c>
      <c r="B260">
        <v>20250228</v>
      </c>
      <c r="C260">
        <v>39001506297</v>
      </c>
      <c r="D260" t="s">
        <v>75</v>
      </c>
      <c r="E260" t="s">
        <v>71</v>
      </c>
      <c r="F260">
        <v>1</v>
      </c>
      <c r="G260" t="s">
        <v>89</v>
      </c>
      <c r="K260" t="str">
        <f t="shared" si="4"/>
        <v>No Charger</v>
      </c>
    </row>
    <row r="261" spans="1:11" hidden="1" x14ac:dyDescent="0.2">
      <c r="A261">
        <v>237</v>
      </c>
      <c r="B261">
        <v>20250303</v>
      </c>
      <c r="C261">
        <v>39000595764</v>
      </c>
      <c r="D261" t="s">
        <v>54</v>
      </c>
      <c r="E261" t="s">
        <v>55</v>
      </c>
      <c r="F261">
        <v>1</v>
      </c>
      <c r="G261" t="s">
        <v>90</v>
      </c>
      <c r="K261" t="str">
        <f t="shared" si="4"/>
        <v>No Charger</v>
      </c>
    </row>
    <row r="262" spans="1:11" hidden="1" x14ac:dyDescent="0.2">
      <c r="A262">
        <v>238</v>
      </c>
      <c r="B262">
        <v>20250217</v>
      </c>
      <c r="C262">
        <v>39001501643</v>
      </c>
      <c r="D262" t="s">
        <v>70</v>
      </c>
      <c r="E262" t="s">
        <v>71</v>
      </c>
      <c r="F262">
        <v>1</v>
      </c>
      <c r="G262" t="s">
        <v>115</v>
      </c>
      <c r="K262" t="str">
        <f t="shared" si="4"/>
        <v>No Charger</v>
      </c>
    </row>
    <row r="263" spans="1:11" hidden="1" x14ac:dyDescent="0.2">
      <c r="A263">
        <v>239</v>
      </c>
      <c r="B263">
        <v>20250108</v>
      </c>
      <c r="C263">
        <v>39000230568</v>
      </c>
      <c r="D263" t="s">
        <v>60</v>
      </c>
      <c r="E263" t="s">
        <v>61</v>
      </c>
      <c r="F263">
        <v>1</v>
      </c>
      <c r="G263" t="s">
        <v>113</v>
      </c>
      <c r="K263" t="str">
        <f t="shared" si="4"/>
        <v>No Charger</v>
      </c>
    </row>
    <row r="264" spans="1:11" hidden="1" x14ac:dyDescent="0.2">
      <c r="A264">
        <v>240</v>
      </c>
      <c r="B264">
        <v>20250310</v>
      </c>
      <c r="C264">
        <v>39000666965</v>
      </c>
      <c r="D264" t="s">
        <v>68</v>
      </c>
      <c r="E264" t="s">
        <v>68</v>
      </c>
      <c r="F264">
        <v>1</v>
      </c>
      <c r="G264" t="s">
        <v>101</v>
      </c>
      <c r="K264" t="str">
        <f t="shared" si="4"/>
        <v>No Charger</v>
      </c>
    </row>
    <row r="265" spans="1:11" hidden="1" x14ac:dyDescent="0.2">
      <c r="A265">
        <v>241</v>
      </c>
      <c r="B265">
        <v>20250102</v>
      </c>
      <c r="C265">
        <v>39001460810</v>
      </c>
      <c r="D265" t="s">
        <v>70</v>
      </c>
      <c r="E265" t="s">
        <v>71</v>
      </c>
      <c r="F265">
        <v>1</v>
      </c>
      <c r="G265" t="s">
        <v>115</v>
      </c>
      <c r="K265" t="str">
        <f t="shared" si="4"/>
        <v>No Charger</v>
      </c>
    </row>
    <row r="266" spans="1:11" hidden="1" x14ac:dyDescent="0.2">
      <c r="A266">
        <v>243</v>
      </c>
      <c r="B266">
        <v>20250117</v>
      </c>
      <c r="C266">
        <v>39002236403</v>
      </c>
      <c r="D266" t="s">
        <v>56</v>
      </c>
      <c r="E266" t="s">
        <v>57</v>
      </c>
      <c r="F266">
        <v>1</v>
      </c>
      <c r="G266" t="s">
        <v>99</v>
      </c>
      <c r="K266" t="str">
        <f t="shared" si="4"/>
        <v>No Charger</v>
      </c>
    </row>
    <row r="267" spans="1:11" hidden="1" x14ac:dyDescent="0.2">
      <c r="A267">
        <v>244</v>
      </c>
      <c r="B267">
        <v>20250106</v>
      </c>
      <c r="C267">
        <v>39000948792</v>
      </c>
      <c r="D267" t="s">
        <v>58</v>
      </c>
      <c r="E267" t="s">
        <v>59</v>
      </c>
      <c r="F267">
        <v>1</v>
      </c>
      <c r="G267" t="s">
        <v>100</v>
      </c>
      <c r="K267" t="str">
        <f t="shared" si="4"/>
        <v>No Charger</v>
      </c>
    </row>
    <row r="268" spans="1:11" hidden="1" x14ac:dyDescent="0.2">
      <c r="A268">
        <v>245</v>
      </c>
      <c r="B268">
        <v>20250206</v>
      </c>
      <c r="C268">
        <v>39000201279</v>
      </c>
      <c r="D268" t="s">
        <v>60</v>
      </c>
      <c r="E268" t="s">
        <v>61</v>
      </c>
      <c r="F268">
        <v>1</v>
      </c>
      <c r="G268" t="s">
        <v>85</v>
      </c>
      <c r="K268" t="str">
        <f t="shared" si="4"/>
        <v>No Charger</v>
      </c>
    </row>
    <row r="269" spans="1:11" hidden="1" x14ac:dyDescent="0.2">
      <c r="A269">
        <v>246</v>
      </c>
      <c r="B269">
        <v>20250117</v>
      </c>
      <c r="C269">
        <v>39000337727</v>
      </c>
      <c r="D269" t="s">
        <v>66</v>
      </c>
      <c r="E269" t="s">
        <v>67</v>
      </c>
      <c r="F269">
        <v>1</v>
      </c>
      <c r="G269" t="s">
        <v>85</v>
      </c>
      <c r="K269" t="str">
        <f t="shared" si="4"/>
        <v>No Charger</v>
      </c>
    </row>
    <row r="270" spans="1:11" hidden="1" x14ac:dyDescent="0.2">
      <c r="A270">
        <v>247</v>
      </c>
      <c r="B270">
        <v>20250130</v>
      </c>
      <c r="C270">
        <v>39002280252</v>
      </c>
      <c r="D270" t="s">
        <v>56</v>
      </c>
      <c r="E270" t="s">
        <v>57</v>
      </c>
      <c r="F270">
        <v>2</v>
      </c>
      <c r="G270" t="s">
        <v>88</v>
      </c>
      <c r="K270" t="str">
        <f t="shared" si="4"/>
        <v>No Charger</v>
      </c>
    </row>
    <row r="271" spans="1:11" hidden="1" x14ac:dyDescent="0.2">
      <c r="A271">
        <v>248</v>
      </c>
      <c r="B271">
        <v>20250212</v>
      </c>
      <c r="C271">
        <v>39000961688</v>
      </c>
      <c r="D271" t="s">
        <v>58</v>
      </c>
      <c r="E271" t="s">
        <v>59</v>
      </c>
      <c r="F271">
        <v>2</v>
      </c>
      <c r="G271" t="s">
        <v>90</v>
      </c>
      <c r="K271" t="str">
        <f t="shared" si="4"/>
        <v>No Charger</v>
      </c>
    </row>
    <row r="272" spans="1:11" hidden="1" x14ac:dyDescent="0.2">
      <c r="A272">
        <v>250</v>
      </c>
      <c r="B272">
        <v>20250130</v>
      </c>
      <c r="C272">
        <v>39000198289</v>
      </c>
      <c r="D272" t="s">
        <v>60</v>
      </c>
      <c r="E272" t="s">
        <v>61</v>
      </c>
      <c r="F272">
        <v>1</v>
      </c>
      <c r="G272" t="s">
        <v>94</v>
      </c>
      <c r="K272" t="str">
        <f t="shared" si="4"/>
        <v>No Charger</v>
      </c>
    </row>
    <row r="273" spans="1:11" hidden="1" x14ac:dyDescent="0.2">
      <c r="A273">
        <v>251</v>
      </c>
      <c r="B273">
        <v>20250131</v>
      </c>
      <c r="C273">
        <v>39001541683</v>
      </c>
      <c r="D273" t="s">
        <v>70</v>
      </c>
      <c r="E273" t="s">
        <v>71</v>
      </c>
      <c r="F273">
        <v>1</v>
      </c>
      <c r="G273" t="s">
        <v>101</v>
      </c>
      <c r="K273" t="str">
        <f t="shared" si="4"/>
        <v>No Charger</v>
      </c>
    </row>
    <row r="274" spans="1:11" hidden="1" x14ac:dyDescent="0.2">
      <c r="A274">
        <v>252</v>
      </c>
      <c r="B274">
        <v>20250116</v>
      </c>
      <c r="C274">
        <v>39000203320</v>
      </c>
      <c r="D274" t="s">
        <v>60</v>
      </c>
      <c r="E274" t="s">
        <v>61</v>
      </c>
      <c r="F274">
        <v>1</v>
      </c>
      <c r="G274" t="s">
        <v>102</v>
      </c>
      <c r="K274" t="str">
        <f t="shared" si="4"/>
        <v>No Charger</v>
      </c>
    </row>
    <row r="275" spans="1:11" hidden="1" x14ac:dyDescent="0.2">
      <c r="A275">
        <v>253</v>
      </c>
      <c r="B275">
        <v>20250307</v>
      </c>
      <c r="C275">
        <v>39000592709</v>
      </c>
      <c r="D275" t="s">
        <v>54</v>
      </c>
      <c r="E275" t="s">
        <v>55</v>
      </c>
      <c r="F275">
        <v>2</v>
      </c>
      <c r="G275" t="s">
        <v>87</v>
      </c>
      <c r="K275" t="str">
        <f t="shared" si="4"/>
        <v>No Charger</v>
      </c>
    </row>
    <row r="276" spans="1:11" hidden="1" x14ac:dyDescent="0.2">
      <c r="A276">
        <v>254</v>
      </c>
      <c r="B276">
        <v>20250221</v>
      </c>
      <c r="C276">
        <v>39000955617</v>
      </c>
      <c r="D276" t="s">
        <v>58</v>
      </c>
      <c r="E276" t="s">
        <v>59</v>
      </c>
      <c r="F276">
        <v>2</v>
      </c>
      <c r="G276" t="s">
        <v>88</v>
      </c>
      <c r="K276" t="str">
        <f t="shared" si="4"/>
        <v>No Charger</v>
      </c>
    </row>
    <row r="277" spans="1:11" hidden="1" x14ac:dyDescent="0.2">
      <c r="A277">
        <v>255</v>
      </c>
      <c r="B277">
        <v>20250123</v>
      </c>
      <c r="C277">
        <v>39000948207</v>
      </c>
      <c r="D277" t="s">
        <v>58</v>
      </c>
      <c r="E277" t="s">
        <v>59</v>
      </c>
      <c r="F277">
        <v>4</v>
      </c>
      <c r="G277" t="s">
        <v>88</v>
      </c>
      <c r="K277" t="str">
        <f t="shared" si="4"/>
        <v>No Charger</v>
      </c>
    </row>
    <row r="278" spans="1:11" x14ac:dyDescent="0.2">
      <c r="A278">
        <v>256</v>
      </c>
      <c r="B278">
        <v>20250224</v>
      </c>
      <c r="C278">
        <v>39001431677</v>
      </c>
      <c r="D278" t="s">
        <v>70</v>
      </c>
      <c r="E278" t="s">
        <v>71</v>
      </c>
      <c r="F278">
        <v>1</v>
      </c>
      <c r="G278" t="s">
        <v>126</v>
      </c>
      <c r="K278" t="str">
        <f t="shared" si="4"/>
        <v>No Charger</v>
      </c>
    </row>
    <row r="279" spans="1:11" hidden="1" x14ac:dyDescent="0.2">
      <c r="A279">
        <v>257</v>
      </c>
      <c r="B279">
        <v>20250305</v>
      </c>
      <c r="C279">
        <v>39002225184</v>
      </c>
      <c r="D279" t="s">
        <v>56</v>
      </c>
      <c r="E279" t="s">
        <v>57</v>
      </c>
      <c r="F279">
        <v>-0.375</v>
      </c>
      <c r="G279" t="s">
        <v>82</v>
      </c>
      <c r="K279" t="str">
        <f t="shared" si="4"/>
        <v>No Charger</v>
      </c>
    </row>
    <row r="280" spans="1:11" hidden="1" x14ac:dyDescent="0.2">
      <c r="A280">
        <v>258</v>
      </c>
      <c r="B280">
        <v>20250310</v>
      </c>
      <c r="C280">
        <v>39001488682</v>
      </c>
      <c r="D280" t="s">
        <v>72</v>
      </c>
      <c r="E280" t="s">
        <v>73</v>
      </c>
      <c r="F280">
        <v>2</v>
      </c>
      <c r="G280" t="s">
        <v>124</v>
      </c>
      <c r="K280" t="str">
        <f t="shared" si="4"/>
        <v>No Charger</v>
      </c>
    </row>
    <row r="281" spans="1:11" hidden="1" x14ac:dyDescent="0.2">
      <c r="A281">
        <v>259</v>
      </c>
      <c r="B281">
        <v>20250116</v>
      </c>
      <c r="C281">
        <v>39001489813</v>
      </c>
      <c r="D281" t="s">
        <v>72</v>
      </c>
      <c r="E281" t="s">
        <v>73</v>
      </c>
      <c r="F281">
        <v>1</v>
      </c>
      <c r="G281" t="s">
        <v>86</v>
      </c>
      <c r="K281" t="str">
        <f t="shared" si="4"/>
        <v>No Charger</v>
      </c>
    </row>
    <row r="282" spans="1:11" hidden="1" x14ac:dyDescent="0.2">
      <c r="A282">
        <v>260</v>
      </c>
      <c r="B282">
        <v>20250122</v>
      </c>
      <c r="C282">
        <v>39002333422</v>
      </c>
      <c r="D282" t="s">
        <v>60</v>
      </c>
      <c r="E282" t="s">
        <v>61</v>
      </c>
      <c r="F282">
        <v>1</v>
      </c>
      <c r="G282" t="s">
        <v>91</v>
      </c>
      <c r="K282" t="str">
        <f t="shared" si="4"/>
        <v>No Charger</v>
      </c>
    </row>
    <row r="283" spans="1:11" hidden="1" x14ac:dyDescent="0.2">
      <c r="A283">
        <v>261</v>
      </c>
      <c r="B283">
        <v>20250226</v>
      </c>
      <c r="C283">
        <v>39000217360</v>
      </c>
      <c r="D283" t="s">
        <v>69</v>
      </c>
      <c r="E283" t="s">
        <v>61</v>
      </c>
      <c r="F283">
        <v>1</v>
      </c>
      <c r="G283" t="s">
        <v>130</v>
      </c>
      <c r="K283" t="str">
        <f t="shared" si="4"/>
        <v>No Charger</v>
      </c>
    </row>
    <row r="284" spans="1:11" hidden="1" x14ac:dyDescent="0.2">
      <c r="A284">
        <v>262</v>
      </c>
      <c r="B284">
        <v>20250131</v>
      </c>
      <c r="C284">
        <v>39000661037</v>
      </c>
      <c r="D284" t="s">
        <v>68</v>
      </c>
      <c r="E284" t="s">
        <v>68</v>
      </c>
      <c r="F284">
        <v>1</v>
      </c>
      <c r="G284" t="s">
        <v>143</v>
      </c>
      <c r="K284" t="str">
        <f t="shared" si="4"/>
        <v>No Charger</v>
      </c>
    </row>
    <row r="285" spans="1:11" hidden="1" x14ac:dyDescent="0.2">
      <c r="A285">
        <v>263</v>
      </c>
      <c r="B285">
        <v>20250212</v>
      </c>
      <c r="C285">
        <v>39001393262</v>
      </c>
      <c r="D285" t="s">
        <v>70</v>
      </c>
      <c r="E285" t="s">
        <v>71</v>
      </c>
      <c r="F285">
        <v>1</v>
      </c>
      <c r="G285" t="s">
        <v>125</v>
      </c>
      <c r="K285" t="str">
        <f t="shared" si="4"/>
        <v>No Charger</v>
      </c>
    </row>
    <row r="286" spans="1:11" hidden="1" x14ac:dyDescent="0.2">
      <c r="A286">
        <v>264</v>
      </c>
      <c r="B286">
        <v>20250129</v>
      </c>
      <c r="C286">
        <v>39000592332</v>
      </c>
      <c r="D286" t="s">
        <v>54</v>
      </c>
      <c r="E286" t="s">
        <v>55</v>
      </c>
      <c r="F286">
        <v>1</v>
      </c>
      <c r="G286" t="s">
        <v>94</v>
      </c>
      <c r="K286" t="str">
        <f t="shared" si="4"/>
        <v>No Charger</v>
      </c>
    </row>
    <row r="287" spans="1:11" hidden="1" x14ac:dyDescent="0.2">
      <c r="A287">
        <v>265</v>
      </c>
      <c r="B287">
        <v>20250220</v>
      </c>
      <c r="C287">
        <v>39000663195</v>
      </c>
      <c r="D287" t="s">
        <v>68</v>
      </c>
      <c r="E287" t="s">
        <v>68</v>
      </c>
      <c r="F287">
        <v>2</v>
      </c>
      <c r="G287" t="s">
        <v>83</v>
      </c>
      <c r="K287" t="str">
        <f t="shared" si="4"/>
        <v>No Charger</v>
      </c>
    </row>
    <row r="288" spans="1:11" hidden="1" x14ac:dyDescent="0.2">
      <c r="A288">
        <v>266</v>
      </c>
      <c r="B288">
        <v>20250110</v>
      </c>
      <c r="C288">
        <v>39002287740</v>
      </c>
      <c r="D288" t="s">
        <v>56</v>
      </c>
      <c r="E288" t="s">
        <v>57</v>
      </c>
      <c r="F288">
        <v>1</v>
      </c>
      <c r="G288" t="s">
        <v>82</v>
      </c>
      <c r="K288" t="str">
        <f t="shared" si="4"/>
        <v>No Charger</v>
      </c>
    </row>
    <row r="289" spans="1:11" hidden="1" x14ac:dyDescent="0.2">
      <c r="A289">
        <v>267</v>
      </c>
      <c r="B289">
        <v>20250206</v>
      </c>
      <c r="C289">
        <v>39000201695</v>
      </c>
      <c r="D289" t="s">
        <v>69</v>
      </c>
      <c r="E289" t="s">
        <v>61</v>
      </c>
      <c r="F289">
        <v>1</v>
      </c>
      <c r="G289" t="s">
        <v>85</v>
      </c>
      <c r="K289" t="str">
        <f t="shared" si="4"/>
        <v>No Charger</v>
      </c>
    </row>
    <row r="290" spans="1:11" hidden="1" x14ac:dyDescent="0.2">
      <c r="A290">
        <v>268</v>
      </c>
      <c r="B290">
        <v>20250211</v>
      </c>
      <c r="C290">
        <v>39001387633</v>
      </c>
      <c r="D290" t="s">
        <v>72</v>
      </c>
      <c r="E290" t="s">
        <v>73</v>
      </c>
      <c r="F290">
        <v>1</v>
      </c>
      <c r="G290" t="s">
        <v>115</v>
      </c>
      <c r="K290" t="str">
        <f t="shared" si="4"/>
        <v>No Charger</v>
      </c>
    </row>
    <row r="291" spans="1:11" hidden="1" x14ac:dyDescent="0.2">
      <c r="A291">
        <v>269</v>
      </c>
      <c r="B291">
        <v>20250226</v>
      </c>
      <c r="C291">
        <v>39001482104</v>
      </c>
      <c r="D291" t="s">
        <v>70</v>
      </c>
      <c r="E291" t="s">
        <v>71</v>
      </c>
      <c r="F291">
        <v>2</v>
      </c>
      <c r="G291" t="s">
        <v>121</v>
      </c>
      <c r="K291" t="str">
        <f t="shared" si="4"/>
        <v>No Charger</v>
      </c>
    </row>
    <row r="292" spans="1:11" hidden="1" x14ac:dyDescent="0.2">
      <c r="A292">
        <v>271</v>
      </c>
      <c r="B292">
        <v>20250203</v>
      </c>
      <c r="C292">
        <v>39002684474</v>
      </c>
      <c r="D292" t="s">
        <v>76</v>
      </c>
      <c r="E292" t="s">
        <v>77</v>
      </c>
      <c r="F292">
        <v>1</v>
      </c>
      <c r="G292" t="s">
        <v>99</v>
      </c>
      <c r="K292" t="str">
        <f t="shared" si="4"/>
        <v>No Charger</v>
      </c>
    </row>
    <row r="293" spans="1:11" hidden="1" x14ac:dyDescent="0.2">
      <c r="A293">
        <v>272</v>
      </c>
      <c r="B293">
        <v>20250106</v>
      </c>
      <c r="C293">
        <v>39000284921</v>
      </c>
      <c r="D293" t="s">
        <v>74</v>
      </c>
      <c r="E293" t="s">
        <v>63</v>
      </c>
      <c r="F293">
        <v>2</v>
      </c>
      <c r="G293" t="s">
        <v>117</v>
      </c>
      <c r="K293" t="str">
        <f t="shared" si="4"/>
        <v>No Charger</v>
      </c>
    </row>
    <row r="294" spans="1:11" hidden="1" x14ac:dyDescent="0.2">
      <c r="A294">
        <v>273</v>
      </c>
      <c r="B294">
        <v>20250305</v>
      </c>
      <c r="C294">
        <v>39000220454</v>
      </c>
      <c r="D294" t="s">
        <v>60</v>
      </c>
      <c r="E294" t="s">
        <v>61</v>
      </c>
      <c r="F294">
        <v>8</v>
      </c>
      <c r="G294" t="s">
        <v>107</v>
      </c>
      <c r="K294" t="str">
        <f t="shared" si="4"/>
        <v>No Charger</v>
      </c>
    </row>
    <row r="295" spans="1:11" x14ac:dyDescent="0.2">
      <c r="A295">
        <v>274</v>
      </c>
      <c r="B295">
        <v>20250121</v>
      </c>
      <c r="C295">
        <v>39000264043</v>
      </c>
      <c r="D295" t="s">
        <v>62</v>
      </c>
      <c r="E295" t="s">
        <v>63</v>
      </c>
      <c r="F295">
        <v>1</v>
      </c>
      <c r="G295" t="s">
        <v>78</v>
      </c>
      <c r="K295" t="str">
        <f t="shared" si="4"/>
        <v>No Charger</v>
      </c>
    </row>
    <row r="296" spans="1:11" hidden="1" x14ac:dyDescent="0.2">
      <c r="A296">
        <v>275</v>
      </c>
      <c r="B296">
        <v>20250219</v>
      </c>
      <c r="C296">
        <v>39002698189</v>
      </c>
      <c r="D296" t="s">
        <v>66</v>
      </c>
      <c r="E296" t="s">
        <v>67</v>
      </c>
      <c r="F296">
        <v>1</v>
      </c>
      <c r="G296" t="s">
        <v>100</v>
      </c>
      <c r="K296" t="str">
        <f t="shared" si="4"/>
        <v>No Charger</v>
      </c>
    </row>
    <row r="297" spans="1:11" hidden="1" x14ac:dyDescent="0.2">
      <c r="A297">
        <v>276</v>
      </c>
      <c r="B297">
        <v>20250107</v>
      </c>
      <c r="C297">
        <v>39000217477</v>
      </c>
      <c r="D297" t="s">
        <v>60</v>
      </c>
      <c r="E297" t="s">
        <v>61</v>
      </c>
      <c r="F297">
        <v>1</v>
      </c>
      <c r="G297" t="s">
        <v>91</v>
      </c>
      <c r="K297" t="str">
        <f t="shared" si="4"/>
        <v>No Charger</v>
      </c>
    </row>
    <row r="298" spans="1:11" hidden="1" x14ac:dyDescent="0.2">
      <c r="A298">
        <v>277</v>
      </c>
      <c r="B298">
        <v>20250204</v>
      </c>
      <c r="C298">
        <v>39002422394</v>
      </c>
      <c r="D298" t="s">
        <v>70</v>
      </c>
      <c r="E298" t="s">
        <v>71</v>
      </c>
      <c r="F298">
        <v>-1</v>
      </c>
      <c r="G298" t="s">
        <v>125</v>
      </c>
      <c r="K298" t="str">
        <f t="shared" si="4"/>
        <v>No Charger</v>
      </c>
    </row>
    <row r="299" spans="1:11" x14ac:dyDescent="0.2">
      <c r="A299">
        <v>278</v>
      </c>
      <c r="B299">
        <v>20250218</v>
      </c>
      <c r="C299">
        <v>39000278447</v>
      </c>
      <c r="D299" t="s">
        <v>74</v>
      </c>
      <c r="E299" t="s">
        <v>63</v>
      </c>
      <c r="F299">
        <v>1</v>
      </c>
      <c r="G299" t="s">
        <v>78</v>
      </c>
      <c r="K299" t="str">
        <f t="shared" si="4"/>
        <v>No Charger</v>
      </c>
    </row>
    <row r="300" spans="1:11" hidden="1" x14ac:dyDescent="0.2">
      <c r="A300">
        <v>279</v>
      </c>
      <c r="B300">
        <v>20250116</v>
      </c>
      <c r="C300">
        <v>39001687660</v>
      </c>
      <c r="D300" t="s">
        <v>64</v>
      </c>
      <c r="E300" t="s">
        <v>65</v>
      </c>
      <c r="F300">
        <v>-0.25</v>
      </c>
      <c r="G300" t="s">
        <v>144</v>
      </c>
      <c r="K300" t="str">
        <f t="shared" si="4"/>
        <v>No Charger</v>
      </c>
    </row>
    <row r="301" spans="1:11" hidden="1" x14ac:dyDescent="0.2">
      <c r="A301">
        <v>280</v>
      </c>
      <c r="B301">
        <v>20250310</v>
      </c>
      <c r="C301">
        <v>39000212771</v>
      </c>
      <c r="D301" t="s">
        <v>60</v>
      </c>
      <c r="E301" t="s">
        <v>61</v>
      </c>
      <c r="F301">
        <v>2</v>
      </c>
      <c r="G301" t="s">
        <v>142</v>
      </c>
      <c r="K301" t="str">
        <f t="shared" si="4"/>
        <v>No Charger</v>
      </c>
    </row>
    <row r="302" spans="1:11" hidden="1" x14ac:dyDescent="0.2">
      <c r="A302">
        <v>281</v>
      </c>
      <c r="B302">
        <v>20250127</v>
      </c>
      <c r="C302">
        <v>39000659711</v>
      </c>
      <c r="D302" t="s">
        <v>68</v>
      </c>
      <c r="E302" t="s">
        <v>68</v>
      </c>
      <c r="F302">
        <v>1</v>
      </c>
      <c r="G302" t="s">
        <v>86</v>
      </c>
      <c r="K302" t="str">
        <f t="shared" si="4"/>
        <v>No Charger</v>
      </c>
    </row>
    <row r="303" spans="1:11" hidden="1" x14ac:dyDescent="0.2">
      <c r="A303">
        <v>282</v>
      </c>
      <c r="B303">
        <v>20250127</v>
      </c>
      <c r="C303">
        <v>39000235820</v>
      </c>
      <c r="D303" t="s">
        <v>60</v>
      </c>
      <c r="E303" t="s">
        <v>61</v>
      </c>
      <c r="F303">
        <v>1</v>
      </c>
      <c r="G303" t="s">
        <v>113</v>
      </c>
      <c r="K303" t="str">
        <f t="shared" si="4"/>
        <v>No Charger</v>
      </c>
    </row>
    <row r="304" spans="1:11" hidden="1" x14ac:dyDescent="0.2">
      <c r="A304">
        <v>283</v>
      </c>
      <c r="B304">
        <v>20250127</v>
      </c>
      <c r="C304">
        <v>39001547416</v>
      </c>
      <c r="D304" t="s">
        <v>75</v>
      </c>
      <c r="E304" t="s">
        <v>71</v>
      </c>
      <c r="F304">
        <v>1</v>
      </c>
      <c r="G304" t="s">
        <v>124</v>
      </c>
      <c r="K304" t="str">
        <f t="shared" si="4"/>
        <v>No Charger</v>
      </c>
    </row>
    <row r="305" spans="1:11" hidden="1" x14ac:dyDescent="0.2">
      <c r="A305">
        <v>284</v>
      </c>
      <c r="B305">
        <v>20250307</v>
      </c>
      <c r="C305">
        <v>39000962182</v>
      </c>
      <c r="D305" t="s">
        <v>58</v>
      </c>
      <c r="E305" t="s">
        <v>59</v>
      </c>
      <c r="F305">
        <v>2</v>
      </c>
      <c r="G305" t="s">
        <v>95</v>
      </c>
      <c r="K305" t="str">
        <f t="shared" si="4"/>
        <v>No Charger</v>
      </c>
    </row>
    <row r="306" spans="1:11" hidden="1" x14ac:dyDescent="0.2">
      <c r="A306">
        <v>285</v>
      </c>
      <c r="B306">
        <v>20250103</v>
      </c>
      <c r="C306">
        <v>39001520285</v>
      </c>
      <c r="D306" t="s">
        <v>70</v>
      </c>
      <c r="E306" t="s">
        <v>71</v>
      </c>
      <c r="F306">
        <v>1</v>
      </c>
      <c r="G306" t="s">
        <v>145</v>
      </c>
      <c r="K306" t="str">
        <f t="shared" si="4"/>
        <v>No Charger</v>
      </c>
    </row>
    <row r="307" spans="1:11" hidden="1" x14ac:dyDescent="0.2">
      <c r="A307">
        <v>286</v>
      </c>
      <c r="B307">
        <v>20250303</v>
      </c>
      <c r="C307">
        <v>39001549743</v>
      </c>
      <c r="D307" t="s">
        <v>70</v>
      </c>
      <c r="E307" t="s">
        <v>71</v>
      </c>
      <c r="F307">
        <v>1</v>
      </c>
      <c r="G307" t="s">
        <v>131</v>
      </c>
      <c r="K307" t="str">
        <f t="shared" si="4"/>
        <v>No Charger</v>
      </c>
    </row>
    <row r="308" spans="1:11" hidden="1" x14ac:dyDescent="0.2">
      <c r="A308">
        <v>287</v>
      </c>
      <c r="B308">
        <v>20250131</v>
      </c>
      <c r="C308">
        <v>39000220753</v>
      </c>
      <c r="D308" t="s">
        <v>60</v>
      </c>
      <c r="E308" t="s">
        <v>61</v>
      </c>
      <c r="F308">
        <v>1</v>
      </c>
      <c r="G308" t="s">
        <v>88</v>
      </c>
      <c r="K308" t="str">
        <f t="shared" si="4"/>
        <v>No Charger</v>
      </c>
    </row>
    <row r="309" spans="1:11" hidden="1" x14ac:dyDescent="0.2">
      <c r="A309">
        <v>288</v>
      </c>
      <c r="B309">
        <v>20250221</v>
      </c>
      <c r="C309">
        <v>39001537809</v>
      </c>
      <c r="D309" t="s">
        <v>70</v>
      </c>
      <c r="E309" t="s">
        <v>71</v>
      </c>
      <c r="F309">
        <v>1</v>
      </c>
      <c r="G309" t="s">
        <v>87</v>
      </c>
      <c r="K309" t="str">
        <f t="shared" si="4"/>
        <v>No Charger</v>
      </c>
    </row>
    <row r="310" spans="1:11" hidden="1" x14ac:dyDescent="0.2">
      <c r="A310">
        <v>289</v>
      </c>
      <c r="B310">
        <v>20250228</v>
      </c>
      <c r="C310">
        <v>39000964834</v>
      </c>
      <c r="D310" t="s">
        <v>58</v>
      </c>
      <c r="E310" t="s">
        <v>59</v>
      </c>
      <c r="F310">
        <v>1</v>
      </c>
      <c r="G310" t="s">
        <v>88</v>
      </c>
      <c r="K310" t="str">
        <f t="shared" si="4"/>
        <v>No Charger</v>
      </c>
    </row>
    <row r="311" spans="1:11" hidden="1" x14ac:dyDescent="0.2">
      <c r="A311">
        <v>290</v>
      </c>
      <c r="B311">
        <v>20250109</v>
      </c>
      <c r="C311">
        <v>39000590642</v>
      </c>
      <c r="D311" t="s">
        <v>54</v>
      </c>
      <c r="E311" t="s">
        <v>55</v>
      </c>
      <c r="F311">
        <v>2</v>
      </c>
      <c r="G311" t="s">
        <v>91</v>
      </c>
      <c r="K311" t="str">
        <f t="shared" si="4"/>
        <v>No Charger</v>
      </c>
    </row>
    <row r="312" spans="1:11" hidden="1" x14ac:dyDescent="0.2">
      <c r="A312">
        <v>359</v>
      </c>
      <c r="B312">
        <v>20250306</v>
      </c>
      <c r="C312">
        <v>39000590642</v>
      </c>
      <c r="D312" t="s">
        <v>54</v>
      </c>
      <c r="E312" t="s">
        <v>55</v>
      </c>
      <c r="F312">
        <v>2</v>
      </c>
      <c r="G312" t="s">
        <v>130</v>
      </c>
      <c r="K312" t="str">
        <f t="shared" si="4"/>
        <v>No Charger</v>
      </c>
    </row>
    <row r="313" spans="1:11" hidden="1" x14ac:dyDescent="0.2">
      <c r="A313">
        <v>291</v>
      </c>
      <c r="B313">
        <v>20250109</v>
      </c>
      <c r="C313">
        <v>39000242281</v>
      </c>
      <c r="D313" t="s">
        <v>60</v>
      </c>
      <c r="E313" t="s">
        <v>61</v>
      </c>
      <c r="F313">
        <v>2</v>
      </c>
      <c r="G313" t="s">
        <v>115</v>
      </c>
      <c r="K313" t="str">
        <f t="shared" si="4"/>
        <v>No Charger</v>
      </c>
    </row>
    <row r="314" spans="1:11" hidden="1" x14ac:dyDescent="0.2">
      <c r="A314">
        <v>292</v>
      </c>
      <c r="B314">
        <v>20250220</v>
      </c>
      <c r="C314">
        <v>39001784666</v>
      </c>
      <c r="D314" t="s">
        <v>54</v>
      </c>
      <c r="E314" t="s">
        <v>55</v>
      </c>
      <c r="F314">
        <v>4</v>
      </c>
      <c r="G314" t="s">
        <v>124</v>
      </c>
      <c r="K314" t="str">
        <f t="shared" si="4"/>
        <v>No Charger</v>
      </c>
    </row>
    <row r="315" spans="1:11" hidden="1" x14ac:dyDescent="0.2">
      <c r="A315">
        <v>294</v>
      </c>
      <c r="B315">
        <v>20250106</v>
      </c>
      <c r="C315">
        <v>39000215241</v>
      </c>
      <c r="D315" t="s">
        <v>69</v>
      </c>
      <c r="E315" t="s">
        <v>61</v>
      </c>
      <c r="F315">
        <v>1</v>
      </c>
      <c r="G315" t="s">
        <v>109</v>
      </c>
      <c r="K315" t="str">
        <f t="shared" si="4"/>
        <v>No Charger</v>
      </c>
    </row>
    <row r="316" spans="1:11" hidden="1" x14ac:dyDescent="0.2">
      <c r="A316">
        <v>295</v>
      </c>
      <c r="B316">
        <v>20250213</v>
      </c>
      <c r="C316">
        <v>39000221195</v>
      </c>
      <c r="D316" t="s">
        <v>69</v>
      </c>
      <c r="E316" t="s">
        <v>61</v>
      </c>
      <c r="F316">
        <v>1</v>
      </c>
      <c r="G316" t="s">
        <v>85</v>
      </c>
      <c r="K316" t="str">
        <f t="shared" si="4"/>
        <v>No Charger</v>
      </c>
    </row>
    <row r="317" spans="1:11" hidden="1" x14ac:dyDescent="0.2">
      <c r="A317">
        <v>296</v>
      </c>
      <c r="B317">
        <v>20250219</v>
      </c>
      <c r="C317">
        <v>39000228124</v>
      </c>
      <c r="D317" t="s">
        <v>60</v>
      </c>
      <c r="E317" t="s">
        <v>61</v>
      </c>
      <c r="F317">
        <v>1</v>
      </c>
      <c r="G317" t="s">
        <v>111</v>
      </c>
      <c r="K317" t="str">
        <f t="shared" si="4"/>
        <v>No Charger</v>
      </c>
    </row>
    <row r="318" spans="1:11" hidden="1" x14ac:dyDescent="0.2">
      <c r="A318">
        <v>297</v>
      </c>
      <c r="B318">
        <v>20250219</v>
      </c>
      <c r="C318">
        <v>39000203138</v>
      </c>
      <c r="D318" t="s">
        <v>69</v>
      </c>
      <c r="E318" t="s">
        <v>61</v>
      </c>
      <c r="F318">
        <v>1</v>
      </c>
      <c r="G318" t="s">
        <v>143</v>
      </c>
      <c r="K318" t="str">
        <f t="shared" si="4"/>
        <v>No Charger</v>
      </c>
    </row>
    <row r="319" spans="1:11" hidden="1" x14ac:dyDescent="0.2">
      <c r="A319">
        <v>298</v>
      </c>
      <c r="B319">
        <v>20250307</v>
      </c>
      <c r="C319">
        <v>39000948740</v>
      </c>
      <c r="D319" t="s">
        <v>58</v>
      </c>
      <c r="E319" t="s">
        <v>59</v>
      </c>
      <c r="F319">
        <v>2</v>
      </c>
      <c r="G319" t="s">
        <v>95</v>
      </c>
      <c r="K319" t="str">
        <f t="shared" si="4"/>
        <v>No Charger</v>
      </c>
    </row>
    <row r="320" spans="1:11" hidden="1" x14ac:dyDescent="0.2">
      <c r="A320">
        <v>300</v>
      </c>
      <c r="B320">
        <v>20250102</v>
      </c>
      <c r="C320">
        <v>39000220857</v>
      </c>
      <c r="D320" t="s">
        <v>60</v>
      </c>
      <c r="E320" t="s">
        <v>61</v>
      </c>
      <c r="F320">
        <v>1</v>
      </c>
      <c r="G320" t="s">
        <v>110</v>
      </c>
      <c r="K320" t="str">
        <f t="shared" si="4"/>
        <v>No Charger</v>
      </c>
    </row>
    <row r="321" spans="1:11" hidden="1" x14ac:dyDescent="0.2">
      <c r="A321">
        <v>301</v>
      </c>
      <c r="B321">
        <v>20250103</v>
      </c>
      <c r="C321">
        <v>39000213252</v>
      </c>
      <c r="D321" t="s">
        <v>60</v>
      </c>
      <c r="E321" t="s">
        <v>61</v>
      </c>
      <c r="F321">
        <v>1</v>
      </c>
      <c r="G321" t="s">
        <v>115</v>
      </c>
      <c r="K321" t="str">
        <f t="shared" si="4"/>
        <v>No Charger</v>
      </c>
    </row>
    <row r="322" spans="1:11" hidden="1" x14ac:dyDescent="0.2">
      <c r="A322">
        <v>302</v>
      </c>
      <c r="B322">
        <v>20250213</v>
      </c>
      <c r="C322">
        <v>39000213213</v>
      </c>
      <c r="D322" t="s">
        <v>69</v>
      </c>
      <c r="E322" t="s">
        <v>61</v>
      </c>
      <c r="F322">
        <v>-2</v>
      </c>
      <c r="G322" t="s">
        <v>91</v>
      </c>
      <c r="K322" t="str">
        <f t="shared" ref="K322:K385" si="5">IF(I322="Charger","Has Charger","No Charger")</f>
        <v>No Charger</v>
      </c>
    </row>
    <row r="323" spans="1:11" hidden="1" x14ac:dyDescent="0.2">
      <c r="A323">
        <v>303</v>
      </c>
      <c r="B323">
        <v>20250210</v>
      </c>
      <c r="C323">
        <v>39000592384</v>
      </c>
      <c r="D323" t="s">
        <v>54</v>
      </c>
      <c r="E323" t="s">
        <v>55</v>
      </c>
      <c r="F323">
        <v>1</v>
      </c>
      <c r="G323" t="s">
        <v>120</v>
      </c>
      <c r="K323" t="str">
        <f t="shared" si="5"/>
        <v>No Charger</v>
      </c>
    </row>
    <row r="324" spans="1:11" hidden="1" x14ac:dyDescent="0.2">
      <c r="A324">
        <v>304</v>
      </c>
      <c r="B324">
        <v>20250103</v>
      </c>
      <c r="C324">
        <v>39000215449</v>
      </c>
      <c r="D324" t="s">
        <v>60</v>
      </c>
      <c r="E324" t="s">
        <v>61</v>
      </c>
      <c r="F324">
        <v>1</v>
      </c>
      <c r="G324" t="s">
        <v>122</v>
      </c>
      <c r="K324" t="str">
        <f t="shared" si="5"/>
        <v>No Charger</v>
      </c>
    </row>
    <row r="325" spans="1:11" hidden="1" x14ac:dyDescent="0.2">
      <c r="A325">
        <v>305</v>
      </c>
      <c r="B325">
        <v>20250227</v>
      </c>
      <c r="C325">
        <v>39000232284</v>
      </c>
      <c r="D325" t="s">
        <v>69</v>
      </c>
      <c r="E325" t="s">
        <v>61</v>
      </c>
      <c r="F325">
        <v>1</v>
      </c>
      <c r="G325" t="s">
        <v>105</v>
      </c>
      <c r="K325" t="str">
        <f t="shared" si="5"/>
        <v>No Charger</v>
      </c>
    </row>
    <row r="326" spans="1:11" hidden="1" x14ac:dyDescent="0.2">
      <c r="A326">
        <v>306</v>
      </c>
      <c r="B326">
        <v>20250127</v>
      </c>
      <c r="C326">
        <v>39000584766</v>
      </c>
      <c r="D326" t="s">
        <v>54</v>
      </c>
      <c r="E326" t="s">
        <v>55</v>
      </c>
      <c r="F326">
        <v>1</v>
      </c>
      <c r="G326" t="s">
        <v>94</v>
      </c>
      <c r="K326" t="str">
        <f t="shared" si="5"/>
        <v>No Charger</v>
      </c>
    </row>
    <row r="327" spans="1:11" hidden="1" x14ac:dyDescent="0.2">
      <c r="A327">
        <v>307</v>
      </c>
      <c r="B327">
        <v>20250204</v>
      </c>
      <c r="C327">
        <v>39001675934</v>
      </c>
      <c r="D327" t="s">
        <v>70</v>
      </c>
      <c r="E327" t="s">
        <v>71</v>
      </c>
      <c r="F327">
        <v>1</v>
      </c>
      <c r="G327" t="s">
        <v>92</v>
      </c>
      <c r="K327" t="str">
        <f t="shared" si="5"/>
        <v>No Charger</v>
      </c>
    </row>
    <row r="328" spans="1:11" hidden="1" x14ac:dyDescent="0.2">
      <c r="A328">
        <v>309</v>
      </c>
      <c r="B328">
        <v>20250221</v>
      </c>
      <c r="C328">
        <v>39000264199</v>
      </c>
      <c r="D328" t="s">
        <v>62</v>
      </c>
      <c r="E328" t="s">
        <v>63</v>
      </c>
      <c r="F328">
        <v>4</v>
      </c>
      <c r="G328" t="s">
        <v>88</v>
      </c>
      <c r="K328" t="str">
        <f t="shared" si="5"/>
        <v>No Charger</v>
      </c>
    </row>
    <row r="329" spans="1:11" hidden="1" x14ac:dyDescent="0.2">
      <c r="A329">
        <v>310</v>
      </c>
      <c r="B329">
        <v>20250124</v>
      </c>
      <c r="C329">
        <v>39000336232</v>
      </c>
      <c r="D329" t="s">
        <v>66</v>
      </c>
      <c r="E329" t="s">
        <v>67</v>
      </c>
      <c r="F329">
        <v>1</v>
      </c>
      <c r="G329" t="s">
        <v>89</v>
      </c>
      <c r="K329" t="str">
        <f t="shared" si="5"/>
        <v>No Charger</v>
      </c>
    </row>
    <row r="330" spans="1:11" hidden="1" x14ac:dyDescent="0.2">
      <c r="A330">
        <v>311</v>
      </c>
      <c r="B330">
        <v>20250127</v>
      </c>
      <c r="C330">
        <v>39002406742</v>
      </c>
      <c r="D330" t="s">
        <v>54</v>
      </c>
      <c r="E330" t="s">
        <v>55</v>
      </c>
      <c r="F330">
        <v>1</v>
      </c>
      <c r="G330" t="s">
        <v>146</v>
      </c>
      <c r="K330" t="str">
        <f t="shared" si="5"/>
        <v>No Charger</v>
      </c>
    </row>
    <row r="331" spans="1:11" hidden="1" x14ac:dyDescent="0.2">
      <c r="A331">
        <v>312</v>
      </c>
      <c r="B331">
        <v>20250304</v>
      </c>
      <c r="C331">
        <v>39000226681</v>
      </c>
      <c r="D331" t="s">
        <v>60</v>
      </c>
      <c r="E331" t="s">
        <v>61</v>
      </c>
      <c r="F331">
        <v>1</v>
      </c>
      <c r="G331" t="s">
        <v>121</v>
      </c>
      <c r="K331" t="str">
        <f t="shared" si="5"/>
        <v>No Charger</v>
      </c>
    </row>
    <row r="332" spans="1:11" hidden="1" x14ac:dyDescent="0.2">
      <c r="A332">
        <v>313</v>
      </c>
      <c r="B332">
        <v>20250206</v>
      </c>
      <c r="C332">
        <v>39002793232</v>
      </c>
      <c r="D332" t="s">
        <v>76</v>
      </c>
      <c r="E332" t="s">
        <v>77</v>
      </c>
      <c r="F332">
        <v>3</v>
      </c>
      <c r="G332" t="s">
        <v>88</v>
      </c>
      <c r="K332" t="str">
        <f t="shared" si="5"/>
        <v>No Charger</v>
      </c>
    </row>
    <row r="333" spans="1:11" hidden="1" x14ac:dyDescent="0.2">
      <c r="A333">
        <v>314</v>
      </c>
      <c r="B333">
        <v>20250226</v>
      </c>
      <c r="C333">
        <v>39002753322</v>
      </c>
      <c r="D333" t="s">
        <v>62</v>
      </c>
      <c r="E333" t="s">
        <v>63</v>
      </c>
      <c r="F333">
        <v>1</v>
      </c>
      <c r="G333" t="s">
        <v>100</v>
      </c>
      <c r="K333" t="str">
        <f t="shared" si="5"/>
        <v>No Charger</v>
      </c>
    </row>
    <row r="334" spans="1:11" hidden="1" x14ac:dyDescent="0.2">
      <c r="A334">
        <v>315</v>
      </c>
      <c r="B334">
        <v>20250304</v>
      </c>
      <c r="C334">
        <v>39000263848</v>
      </c>
      <c r="D334" t="s">
        <v>62</v>
      </c>
      <c r="E334" t="s">
        <v>63</v>
      </c>
      <c r="F334">
        <v>1</v>
      </c>
      <c r="G334" t="s">
        <v>90</v>
      </c>
      <c r="K334" t="str">
        <f t="shared" si="5"/>
        <v>No Charger</v>
      </c>
    </row>
    <row r="335" spans="1:11" hidden="1" x14ac:dyDescent="0.2">
      <c r="A335">
        <v>316</v>
      </c>
      <c r="B335">
        <v>20250129</v>
      </c>
      <c r="C335">
        <v>39000282438</v>
      </c>
      <c r="D335" t="s">
        <v>74</v>
      </c>
      <c r="E335" t="s">
        <v>63</v>
      </c>
      <c r="F335">
        <v>1</v>
      </c>
      <c r="G335" t="s">
        <v>109</v>
      </c>
      <c r="K335" t="str">
        <f t="shared" si="5"/>
        <v>No Charger</v>
      </c>
    </row>
    <row r="336" spans="1:11" hidden="1" x14ac:dyDescent="0.2">
      <c r="A336">
        <v>317</v>
      </c>
      <c r="B336">
        <v>20250228</v>
      </c>
      <c r="C336">
        <v>39001719055</v>
      </c>
      <c r="D336" t="s">
        <v>64</v>
      </c>
      <c r="E336" t="s">
        <v>65</v>
      </c>
      <c r="F336">
        <v>1</v>
      </c>
      <c r="G336" t="s">
        <v>95</v>
      </c>
      <c r="K336" t="str">
        <f t="shared" si="5"/>
        <v>No Charger</v>
      </c>
    </row>
    <row r="337" spans="1:11" hidden="1" x14ac:dyDescent="0.2">
      <c r="A337">
        <v>318</v>
      </c>
      <c r="B337">
        <v>20250115</v>
      </c>
      <c r="C337">
        <v>39000208442</v>
      </c>
      <c r="D337" t="s">
        <v>60</v>
      </c>
      <c r="E337" t="s">
        <v>61</v>
      </c>
      <c r="F337">
        <v>2</v>
      </c>
      <c r="G337" t="s">
        <v>83</v>
      </c>
      <c r="K337" t="str">
        <f t="shared" si="5"/>
        <v>No Charger</v>
      </c>
    </row>
    <row r="338" spans="1:11" hidden="1" x14ac:dyDescent="0.2">
      <c r="A338">
        <v>319</v>
      </c>
      <c r="B338">
        <v>20250219</v>
      </c>
      <c r="C338">
        <v>39000220285</v>
      </c>
      <c r="D338" t="s">
        <v>69</v>
      </c>
      <c r="E338" t="s">
        <v>61</v>
      </c>
      <c r="F338">
        <v>2</v>
      </c>
      <c r="G338" t="s">
        <v>135</v>
      </c>
      <c r="K338" t="str">
        <f t="shared" si="5"/>
        <v>No Charger</v>
      </c>
    </row>
    <row r="339" spans="1:11" hidden="1" x14ac:dyDescent="0.2">
      <c r="A339">
        <v>320</v>
      </c>
      <c r="B339">
        <v>20250219</v>
      </c>
      <c r="C339">
        <v>39000957164</v>
      </c>
      <c r="D339" t="s">
        <v>58</v>
      </c>
      <c r="E339" t="s">
        <v>59</v>
      </c>
      <c r="F339">
        <v>1</v>
      </c>
      <c r="G339" t="s">
        <v>90</v>
      </c>
      <c r="K339" t="str">
        <f t="shared" si="5"/>
        <v>No Charger</v>
      </c>
    </row>
    <row r="340" spans="1:11" hidden="1" x14ac:dyDescent="0.2">
      <c r="A340">
        <v>321</v>
      </c>
      <c r="B340">
        <v>20250219</v>
      </c>
      <c r="C340">
        <v>39001586832</v>
      </c>
      <c r="D340" t="s">
        <v>70</v>
      </c>
      <c r="E340" t="s">
        <v>71</v>
      </c>
      <c r="F340">
        <v>2</v>
      </c>
      <c r="G340" t="s">
        <v>103</v>
      </c>
      <c r="K340" t="str">
        <f t="shared" si="5"/>
        <v>No Charger</v>
      </c>
    </row>
    <row r="341" spans="1:11" hidden="1" x14ac:dyDescent="0.2">
      <c r="A341">
        <v>323</v>
      </c>
      <c r="B341">
        <v>20250121</v>
      </c>
      <c r="C341">
        <v>39001955655</v>
      </c>
      <c r="D341" t="s">
        <v>69</v>
      </c>
      <c r="E341" t="s">
        <v>61</v>
      </c>
      <c r="F341">
        <v>1</v>
      </c>
      <c r="G341" t="s">
        <v>124</v>
      </c>
      <c r="K341" t="str">
        <f t="shared" si="5"/>
        <v>No Charger</v>
      </c>
    </row>
    <row r="342" spans="1:11" hidden="1" x14ac:dyDescent="0.2">
      <c r="A342">
        <v>324</v>
      </c>
      <c r="B342">
        <v>20250306</v>
      </c>
      <c r="C342">
        <v>39001519583</v>
      </c>
      <c r="D342" t="s">
        <v>70</v>
      </c>
      <c r="E342" t="s">
        <v>71</v>
      </c>
      <c r="F342">
        <v>1</v>
      </c>
      <c r="G342" t="s">
        <v>120</v>
      </c>
      <c r="K342" t="str">
        <f t="shared" si="5"/>
        <v>No Charger</v>
      </c>
    </row>
    <row r="343" spans="1:11" hidden="1" x14ac:dyDescent="0.2">
      <c r="A343">
        <v>325</v>
      </c>
      <c r="B343">
        <v>20250123</v>
      </c>
      <c r="C343">
        <v>39000657267</v>
      </c>
      <c r="D343" t="s">
        <v>68</v>
      </c>
      <c r="E343" t="s">
        <v>68</v>
      </c>
      <c r="F343">
        <v>2</v>
      </c>
      <c r="G343" t="s">
        <v>98</v>
      </c>
      <c r="K343" t="str">
        <f t="shared" si="5"/>
        <v>No Charger</v>
      </c>
    </row>
    <row r="344" spans="1:11" hidden="1" x14ac:dyDescent="0.2">
      <c r="A344">
        <v>326</v>
      </c>
      <c r="B344">
        <v>20250128</v>
      </c>
      <c r="C344">
        <v>39000218257</v>
      </c>
      <c r="D344" t="s">
        <v>69</v>
      </c>
      <c r="E344" t="s">
        <v>61</v>
      </c>
      <c r="F344">
        <v>1</v>
      </c>
      <c r="G344" t="s">
        <v>125</v>
      </c>
      <c r="K344" t="str">
        <f t="shared" si="5"/>
        <v>No Charger</v>
      </c>
    </row>
    <row r="345" spans="1:11" hidden="1" x14ac:dyDescent="0.2">
      <c r="A345">
        <v>327</v>
      </c>
      <c r="B345">
        <v>20250304</v>
      </c>
      <c r="C345">
        <v>39000264381</v>
      </c>
      <c r="D345" t="s">
        <v>62</v>
      </c>
      <c r="E345" t="s">
        <v>63</v>
      </c>
      <c r="F345">
        <v>1</v>
      </c>
      <c r="G345" t="s">
        <v>92</v>
      </c>
      <c r="K345" t="str">
        <f t="shared" si="5"/>
        <v>No Charger</v>
      </c>
    </row>
    <row r="346" spans="1:11" hidden="1" x14ac:dyDescent="0.2">
      <c r="A346">
        <v>328</v>
      </c>
      <c r="B346">
        <v>20250206</v>
      </c>
      <c r="C346">
        <v>39000284765</v>
      </c>
      <c r="D346" t="s">
        <v>74</v>
      </c>
      <c r="E346" t="s">
        <v>63</v>
      </c>
      <c r="F346">
        <v>1</v>
      </c>
      <c r="G346" t="s">
        <v>116</v>
      </c>
      <c r="K346" t="str">
        <f t="shared" si="5"/>
        <v>No Charger</v>
      </c>
    </row>
    <row r="347" spans="1:11" hidden="1" x14ac:dyDescent="0.2">
      <c r="A347">
        <v>329</v>
      </c>
      <c r="B347">
        <v>20250303</v>
      </c>
      <c r="C347">
        <v>39000587405</v>
      </c>
      <c r="D347" t="s">
        <v>54</v>
      </c>
      <c r="E347" t="s">
        <v>55</v>
      </c>
      <c r="F347">
        <v>1</v>
      </c>
      <c r="G347" t="s">
        <v>118</v>
      </c>
      <c r="K347" t="str">
        <f t="shared" si="5"/>
        <v>No Charger</v>
      </c>
    </row>
    <row r="348" spans="1:11" hidden="1" x14ac:dyDescent="0.2">
      <c r="A348">
        <v>330</v>
      </c>
      <c r="B348">
        <v>20250107</v>
      </c>
      <c r="C348">
        <v>39002180204</v>
      </c>
      <c r="D348" t="s">
        <v>64</v>
      </c>
      <c r="E348" t="s">
        <v>65</v>
      </c>
      <c r="F348">
        <v>1</v>
      </c>
      <c r="G348" t="s">
        <v>85</v>
      </c>
      <c r="K348" t="str">
        <f t="shared" si="5"/>
        <v>No Charger</v>
      </c>
    </row>
    <row r="349" spans="1:11" hidden="1" x14ac:dyDescent="0.2">
      <c r="A349">
        <v>331</v>
      </c>
      <c r="B349">
        <v>20250129</v>
      </c>
      <c r="C349">
        <v>39000338676</v>
      </c>
      <c r="D349" t="s">
        <v>66</v>
      </c>
      <c r="E349" t="s">
        <v>67</v>
      </c>
      <c r="F349">
        <v>1</v>
      </c>
      <c r="G349" t="s">
        <v>99</v>
      </c>
      <c r="K349" t="str">
        <f t="shared" si="5"/>
        <v>No Charger</v>
      </c>
    </row>
    <row r="350" spans="1:11" hidden="1" x14ac:dyDescent="0.2">
      <c r="A350">
        <v>332</v>
      </c>
      <c r="B350">
        <v>20250110</v>
      </c>
      <c r="C350">
        <v>39002389387</v>
      </c>
      <c r="D350" t="s">
        <v>66</v>
      </c>
      <c r="E350" t="s">
        <v>67</v>
      </c>
      <c r="F350">
        <v>1</v>
      </c>
      <c r="G350" t="s">
        <v>85</v>
      </c>
      <c r="K350" t="str">
        <f t="shared" si="5"/>
        <v>No Charger</v>
      </c>
    </row>
    <row r="351" spans="1:11" hidden="1" x14ac:dyDescent="0.2">
      <c r="A351">
        <v>333</v>
      </c>
      <c r="B351">
        <v>20250305</v>
      </c>
      <c r="C351">
        <v>39001766349</v>
      </c>
      <c r="D351" t="s">
        <v>66</v>
      </c>
      <c r="E351" t="s">
        <v>67</v>
      </c>
      <c r="F351">
        <v>2</v>
      </c>
      <c r="G351" t="s">
        <v>115</v>
      </c>
      <c r="K351" t="str">
        <f t="shared" si="5"/>
        <v>No Charger</v>
      </c>
    </row>
    <row r="352" spans="1:11" hidden="1" x14ac:dyDescent="0.2">
      <c r="A352">
        <v>334</v>
      </c>
      <c r="B352">
        <v>20250109</v>
      </c>
      <c r="C352">
        <v>39001761019</v>
      </c>
      <c r="D352" t="s">
        <v>62</v>
      </c>
      <c r="E352" t="s">
        <v>63</v>
      </c>
      <c r="F352">
        <v>1</v>
      </c>
      <c r="G352" t="s">
        <v>115</v>
      </c>
      <c r="K352" t="str">
        <f t="shared" si="5"/>
        <v>No Charger</v>
      </c>
    </row>
    <row r="353" spans="1:11" hidden="1" x14ac:dyDescent="0.2">
      <c r="A353">
        <v>335</v>
      </c>
      <c r="B353">
        <v>20250109</v>
      </c>
      <c r="C353">
        <v>39000668213</v>
      </c>
      <c r="D353" t="s">
        <v>68</v>
      </c>
      <c r="E353" t="s">
        <v>68</v>
      </c>
      <c r="F353">
        <v>2</v>
      </c>
      <c r="G353" t="s">
        <v>79</v>
      </c>
      <c r="K353" t="str">
        <f t="shared" si="5"/>
        <v>No Charger</v>
      </c>
    </row>
    <row r="354" spans="1:11" hidden="1" x14ac:dyDescent="0.2">
      <c r="A354">
        <v>336</v>
      </c>
      <c r="B354">
        <v>20250123</v>
      </c>
      <c r="C354">
        <v>39000954824</v>
      </c>
      <c r="D354" t="s">
        <v>58</v>
      </c>
      <c r="E354" t="s">
        <v>59</v>
      </c>
      <c r="F354">
        <v>1</v>
      </c>
      <c r="G354" t="s">
        <v>99</v>
      </c>
      <c r="K354" t="str">
        <f t="shared" si="5"/>
        <v>No Charger</v>
      </c>
    </row>
    <row r="355" spans="1:11" hidden="1" x14ac:dyDescent="0.2">
      <c r="A355">
        <v>337</v>
      </c>
      <c r="B355">
        <v>20250212</v>
      </c>
      <c r="C355">
        <v>39002389283</v>
      </c>
      <c r="D355" t="s">
        <v>66</v>
      </c>
      <c r="E355" t="s">
        <v>67</v>
      </c>
      <c r="F355">
        <v>2</v>
      </c>
      <c r="G355" t="s">
        <v>99</v>
      </c>
      <c r="K355" t="str">
        <f t="shared" si="5"/>
        <v>No Charger</v>
      </c>
    </row>
    <row r="356" spans="1:11" hidden="1" x14ac:dyDescent="0.2">
      <c r="A356">
        <v>338</v>
      </c>
      <c r="B356">
        <v>20250225</v>
      </c>
      <c r="C356">
        <v>39000957294</v>
      </c>
      <c r="D356" t="s">
        <v>58</v>
      </c>
      <c r="E356" t="s">
        <v>59</v>
      </c>
      <c r="F356">
        <v>1</v>
      </c>
      <c r="G356" t="s">
        <v>122</v>
      </c>
      <c r="K356" t="str">
        <f t="shared" si="5"/>
        <v>No Charger</v>
      </c>
    </row>
    <row r="357" spans="1:11" hidden="1" x14ac:dyDescent="0.2">
      <c r="A357">
        <v>339</v>
      </c>
      <c r="B357">
        <v>20250116</v>
      </c>
      <c r="C357">
        <v>39001548274</v>
      </c>
      <c r="D357" t="s">
        <v>70</v>
      </c>
      <c r="E357" t="s">
        <v>71</v>
      </c>
      <c r="F357">
        <v>1</v>
      </c>
      <c r="G357" t="s">
        <v>118</v>
      </c>
      <c r="K357" t="str">
        <f t="shared" si="5"/>
        <v>No Charger</v>
      </c>
    </row>
    <row r="358" spans="1:11" hidden="1" x14ac:dyDescent="0.2">
      <c r="A358">
        <v>340</v>
      </c>
      <c r="B358">
        <v>20250304</v>
      </c>
      <c r="C358">
        <v>39002401633</v>
      </c>
      <c r="D358" t="s">
        <v>66</v>
      </c>
      <c r="E358" t="s">
        <v>67</v>
      </c>
      <c r="F358">
        <v>1</v>
      </c>
      <c r="G358" t="s">
        <v>124</v>
      </c>
      <c r="K358" t="str">
        <f t="shared" si="5"/>
        <v>No Charger</v>
      </c>
    </row>
    <row r="359" spans="1:11" hidden="1" x14ac:dyDescent="0.2">
      <c r="A359">
        <v>341</v>
      </c>
      <c r="B359">
        <v>20250228</v>
      </c>
      <c r="C359">
        <v>39001967849</v>
      </c>
      <c r="D359" t="s">
        <v>62</v>
      </c>
      <c r="E359" t="s">
        <v>63</v>
      </c>
      <c r="F359">
        <v>2</v>
      </c>
      <c r="G359" t="s">
        <v>83</v>
      </c>
      <c r="K359" t="str">
        <f t="shared" si="5"/>
        <v>No Charger</v>
      </c>
    </row>
    <row r="360" spans="1:11" hidden="1" x14ac:dyDescent="0.2">
      <c r="A360">
        <v>342</v>
      </c>
      <c r="B360">
        <v>20250129</v>
      </c>
      <c r="C360">
        <v>39000979550</v>
      </c>
      <c r="D360" t="s">
        <v>58</v>
      </c>
      <c r="E360" t="s">
        <v>59</v>
      </c>
      <c r="F360">
        <v>1</v>
      </c>
      <c r="G360" t="s">
        <v>91</v>
      </c>
      <c r="K360" t="str">
        <f t="shared" si="5"/>
        <v>No Charger</v>
      </c>
    </row>
    <row r="361" spans="1:11" hidden="1" x14ac:dyDescent="0.2">
      <c r="A361">
        <v>441</v>
      </c>
      <c r="B361">
        <v>20250115</v>
      </c>
      <c r="C361">
        <v>39000979550</v>
      </c>
      <c r="D361" t="s">
        <v>58</v>
      </c>
      <c r="E361" t="s">
        <v>59</v>
      </c>
      <c r="F361">
        <v>-0.83299999999999996</v>
      </c>
      <c r="G361" t="s">
        <v>141</v>
      </c>
      <c r="K361" t="str">
        <f t="shared" si="5"/>
        <v>No Charger</v>
      </c>
    </row>
    <row r="362" spans="1:11" hidden="1" x14ac:dyDescent="0.2">
      <c r="A362">
        <v>343</v>
      </c>
      <c r="B362">
        <v>20250113</v>
      </c>
      <c r="C362">
        <v>39000264576</v>
      </c>
      <c r="D362" t="s">
        <v>62</v>
      </c>
      <c r="E362" t="s">
        <v>63</v>
      </c>
      <c r="F362">
        <v>1</v>
      </c>
      <c r="G362" t="s">
        <v>147</v>
      </c>
      <c r="K362" t="str">
        <f t="shared" si="5"/>
        <v>No Charger</v>
      </c>
    </row>
    <row r="363" spans="1:11" hidden="1" x14ac:dyDescent="0.2">
      <c r="A363">
        <v>344</v>
      </c>
      <c r="B363">
        <v>20250211</v>
      </c>
      <c r="C363">
        <v>39001481792</v>
      </c>
      <c r="D363" t="s">
        <v>70</v>
      </c>
      <c r="E363" t="s">
        <v>71</v>
      </c>
      <c r="F363">
        <v>1</v>
      </c>
      <c r="G363" t="s">
        <v>124</v>
      </c>
      <c r="K363" t="str">
        <f t="shared" si="5"/>
        <v>No Charger</v>
      </c>
    </row>
    <row r="364" spans="1:11" hidden="1" x14ac:dyDescent="0.2">
      <c r="A364">
        <v>345</v>
      </c>
      <c r="B364">
        <v>20250117</v>
      </c>
      <c r="C364">
        <v>39000340873</v>
      </c>
      <c r="D364" t="s">
        <v>66</v>
      </c>
      <c r="E364" t="s">
        <v>67</v>
      </c>
      <c r="F364">
        <v>5</v>
      </c>
      <c r="G364" t="s">
        <v>88</v>
      </c>
      <c r="K364" t="str">
        <f t="shared" si="5"/>
        <v>No Charger</v>
      </c>
    </row>
    <row r="365" spans="1:11" hidden="1" x14ac:dyDescent="0.2">
      <c r="A365">
        <v>346</v>
      </c>
      <c r="B365">
        <v>20250123</v>
      </c>
      <c r="C365">
        <v>39001535950</v>
      </c>
      <c r="D365" t="s">
        <v>75</v>
      </c>
      <c r="E365" t="s">
        <v>71</v>
      </c>
      <c r="F365">
        <v>1</v>
      </c>
      <c r="G365" t="s">
        <v>79</v>
      </c>
      <c r="K365" t="str">
        <f t="shared" si="5"/>
        <v>No Charger</v>
      </c>
    </row>
    <row r="366" spans="1:11" hidden="1" x14ac:dyDescent="0.2">
      <c r="A366">
        <v>348</v>
      </c>
      <c r="B366">
        <v>20250228</v>
      </c>
      <c r="C366">
        <v>39000333216</v>
      </c>
      <c r="D366" t="s">
        <v>66</v>
      </c>
      <c r="E366" t="s">
        <v>67</v>
      </c>
      <c r="F366">
        <v>1</v>
      </c>
      <c r="G366" t="s">
        <v>139</v>
      </c>
      <c r="K366" t="str">
        <f t="shared" si="5"/>
        <v>No Charger</v>
      </c>
    </row>
    <row r="367" spans="1:11" hidden="1" x14ac:dyDescent="0.2">
      <c r="A367">
        <v>349</v>
      </c>
      <c r="B367">
        <v>20250211</v>
      </c>
      <c r="C367">
        <v>39000666653</v>
      </c>
      <c r="D367" t="s">
        <v>68</v>
      </c>
      <c r="E367" t="s">
        <v>68</v>
      </c>
      <c r="F367">
        <v>1</v>
      </c>
      <c r="G367" t="s">
        <v>83</v>
      </c>
      <c r="K367" t="str">
        <f t="shared" si="5"/>
        <v>No Charger</v>
      </c>
    </row>
    <row r="368" spans="1:11" hidden="1" x14ac:dyDescent="0.2">
      <c r="A368">
        <v>350</v>
      </c>
      <c r="B368">
        <v>20250219</v>
      </c>
      <c r="C368">
        <v>39000240643</v>
      </c>
      <c r="D368" t="s">
        <v>60</v>
      </c>
      <c r="E368" t="s">
        <v>61</v>
      </c>
      <c r="F368">
        <v>1</v>
      </c>
      <c r="G368" t="s">
        <v>91</v>
      </c>
      <c r="K368" t="str">
        <f t="shared" si="5"/>
        <v>No Charger</v>
      </c>
    </row>
    <row r="369" spans="1:11" hidden="1" x14ac:dyDescent="0.2">
      <c r="A369">
        <v>351</v>
      </c>
      <c r="B369">
        <v>20250219</v>
      </c>
      <c r="C369">
        <v>39000280306</v>
      </c>
      <c r="D369" t="s">
        <v>74</v>
      </c>
      <c r="E369" t="s">
        <v>63</v>
      </c>
      <c r="F369">
        <v>4</v>
      </c>
      <c r="G369" t="s">
        <v>88</v>
      </c>
      <c r="K369" t="str">
        <f t="shared" si="5"/>
        <v>No Charger</v>
      </c>
    </row>
    <row r="370" spans="1:11" hidden="1" x14ac:dyDescent="0.2">
      <c r="A370">
        <v>352</v>
      </c>
      <c r="B370">
        <v>20250115</v>
      </c>
      <c r="C370">
        <v>39000228917</v>
      </c>
      <c r="D370" t="s">
        <v>60</v>
      </c>
      <c r="E370" t="s">
        <v>61</v>
      </c>
      <c r="F370">
        <v>1</v>
      </c>
      <c r="G370" t="s">
        <v>82</v>
      </c>
      <c r="K370" t="str">
        <f t="shared" si="5"/>
        <v>No Charger</v>
      </c>
    </row>
    <row r="371" spans="1:11" hidden="1" x14ac:dyDescent="0.2">
      <c r="A371">
        <v>353</v>
      </c>
      <c r="B371">
        <v>20250227</v>
      </c>
      <c r="C371">
        <v>39001955590</v>
      </c>
      <c r="D371" t="s">
        <v>69</v>
      </c>
      <c r="E371" t="s">
        <v>61</v>
      </c>
      <c r="F371">
        <v>2</v>
      </c>
      <c r="G371" t="s">
        <v>100</v>
      </c>
      <c r="K371" t="str">
        <f t="shared" si="5"/>
        <v>No Charger</v>
      </c>
    </row>
    <row r="372" spans="1:11" hidden="1" x14ac:dyDescent="0.2">
      <c r="A372">
        <v>354</v>
      </c>
      <c r="B372">
        <v>20250130</v>
      </c>
      <c r="C372">
        <v>39000284869</v>
      </c>
      <c r="D372" t="s">
        <v>74</v>
      </c>
      <c r="E372" t="s">
        <v>63</v>
      </c>
      <c r="F372">
        <v>1</v>
      </c>
      <c r="G372" t="s">
        <v>127</v>
      </c>
      <c r="K372" t="str">
        <f t="shared" si="5"/>
        <v>No Charger</v>
      </c>
    </row>
    <row r="373" spans="1:11" hidden="1" x14ac:dyDescent="0.2">
      <c r="A373">
        <v>355</v>
      </c>
      <c r="B373">
        <v>20250225</v>
      </c>
      <c r="C373">
        <v>39000212849</v>
      </c>
      <c r="D373" t="s">
        <v>60</v>
      </c>
      <c r="E373" t="s">
        <v>61</v>
      </c>
      <c r="F373">
        <v>-0.125</v>
      </c>
      <c r="G373" t="s">
        <v>91</v>
      </c>
      <c r="K373" t="str">
        <f t="shared" si="5"/>
        <v>No Charger</v>
      </c>
    </row>
    <row r="374" spans="1:11" hidden="1" x14ac:dyDescent="0.2">
      <c r="A374">
        <v>356</v>
      </c>
      <c r="B374">
        <v>20250228</v>
      </c>
      <c r="C374">
        <v>39000655525</v>
      </c>
      <c r="D374" t="s">
        <v>68</v>
      </c>
      <c r="E374" t="s">
        <v>68</v>
      </c>
      <c r="F374">
        <v>1</v>
      </c>
      <c r="G374" t="s">
        <v>118</v>
      </c>
      <c r="K374" t="str">
        <f t="shared" si="5"/>
        <v>No Charger</v>
      </c>
    </row>
    <row r="375" spans="1:11" hidden="1" x14ac:dyDescent="0.2">
      <c r="A375">
        <v>357</v>
      </c>
      <c r="B375">
        <v>20250307</v>
      </c>
      <c r="C375">
        <v>39001716754</v>
      </c>
      <c r="D375" t="s">
        <v>64</v>
      </c>
      <c r="E375" t="s">
        <v>65</v>
      </c>
      <c r="F375">
        <v>2</v>
      </c>
      <c r="G375" t="s">
        <v>89</v>
      </c>
      <c r="K375" t="str">
        <f t="shared" si="5"/>
        <v>No Charger</v>
      </c>
    </row>
    <row r="376" spans="1:11" x14ac:dyDescent="0.2">
      <c r="A376">
        <v>358</v>
      </c>
      <c r="B376">
        <v>20250206</v>
      </c>
      <c r="C376">
        <v>39000590759</v>
      </c>
      <c r="D376" t="s">
        <v>54</v>
      </c>
      <c r="E376" t="s">
        <v>55</v>
      </c>
      <c r="F376">
        <v>1</v>
      </c>
      <c r="G376" t="s">
        <v>126</v>
      </c>
      <c r="K376" t="str">
        <f t="shared" si="5"/>
        <v>No Charger</v>
      </c>
    </row>
    <row r="377" spans="1:11" hidden="1" x14ac:dyDescent="0.2">
      <c r="A377">
        <v>360</v>
      </c>
      <c r="B377">
        <v>20250113</v>
      </c>
      <c r="C377">
        <v>39000334191</v>
      </c>
      <c r="D377" t="s">
        <v>66</v>
      </c>
      <c r="E377" t="s">
        <v>67</v>
      </c>
      <c r="F377">
        <v>1</v>
      </c>
      <c r="G377" t="s">
        <v>91</v>
      </c>
      <c r="K377" t="str">
        <f t="shared" si="5"/>
        <v>No Charger</v>
      </c>
    </row>
    <row r="378" spans="1:11" hidden="1" x14ac:dyDescent="0.2">
      <c r="A378">
        <v>361</v>
      </c>
      <c r="B378">
        <v>20250307</v>
      </c>
      <c r="C378">
        <v>39000338468</v>
      </c>
      <c r="D378" t="s">
        <v>66</v>
      </c>
      <c r="E378" t="s">
        <v>67</v>
      </c>
      <c r="F378">
        <v>1</v>
      </c>
      <c r="G378" t="s">
        <v>118</v>
      </c>
      <c r="K378" t="str">
        <f t="shared" si="5"/>
        <v>No Charger</v>
      </c>
    </row>
    <row r="379" spans="1:11" hidden="1" x14ac:dyDescent="0.2">
      <c r="A379">
        <v>362</v>
      </c>
      <c r="B379">
        <v>20250305</v>
      </c>
      <c r="C379">
        <v>39000234585</v>
      </c>
      <c r="D379" t="s">
        <v>60</v>
      </c>
      <c r="E379" t="s">
        <v>61</v>
      </c>
      <c r="F379">
        <v>-8.3000000000000004E-2</v>
      </c>
      <c r="G379" t="s">
        <v>89</v>
      </c>
      <c r="K379" t="str">
        <f t="shared" si="5"/>
        <v>No Charger</v>
      </c>
    </row>
    <row r="380" spans="1:11" hidden="1" x14ac:dyDescent="0.2">
      <c r="A380">
        <v>363</v>
      </c>
      <c r="B380">
        <v>20250228</v>
      </c>
      <c r="C380">
        <v>39000592592</v>
      </c>
      <c r="D380" t="s">
        <v>54</v>
      </c>
      <c r="E380" t="s">
        <v>55</v>
      </c>
      <c r="F380">
        <v>1</v>
      </c>
      <c r="G380" t="s">
        <v>136</v>
      </c>
      <c r="K380" t="str">
        <f t="shared" si="5"/>
        <v>No Charger</v>
      </c>
    </row>
    <row r="381" spans="1:11" x14ac:dyDescent="0.2">
      <c r="A381">
        <v>364</v>
      </c>
      <c r="B381">
        <v>20250224</v>
      </c>
      <c r="C381">
        <v>39000282191</v>
      </c>
      <c r="D381" t="s">
        <v>74</v>
      </c>
      <c r="E381" t="s">
        <v>63</v>
      </c>
      <c r="F381">
        <v>1</v>
      </c>
      <c r="G381" t="s">
        <v>78</v>
      </c>
      <c r="K381" t="str">
        <f t="shared" si="5"/>
        <v>No Charger</v>
      </c>
    </row>
    <row r="382" spans="1:11" hidden="1" x14ac:dyDescent="0.2">
      <c r="A382">
        <v>365</v>
      </c>
      <c r="B382">
        <v>20250228</v>
      </c>
      <c r="C382">
        <v>39000415987</v>
      </c>
      <c r="D382" t="s">
        <v>66</v>
      </c>
      <c r="E382" t="s">
        <v>67</v>
      </c>
      <c r="F382">
        <v>1</v>
      </c>
      <c r="G382" t="s">
        <v>121</v>
      </c>
      <c r="K382" t="str">
        <f t="shared" si="5"/>
        <v>No Charger</v>
      </c>
    </row>
    <row r="383" spans="1:11" hidden="1" x14ac:dyDescent="0.2">
      <c r="A383">
        <v>366</v>
      </c>
      <c r="B383">
        <v>20250107</v>
      </c>
      <c r="C383">
        <v>39000659282</v>
      </c>
      <c r="D383" t="s">
        <v>68</v>
      </c>
      <c r="E383" t="s">
        <v>68</v>
      </c>
      <c r="F383">
        <v>1</v>
      </c>
      <c r="G383" t="s">
        <v>85</v>
      </c>
      <c r="K383" t="str">
        <f t="shared" si="5"/>
        <v>No Charger</v>
      </c>
    </row>
    <row r="384" spans="1:11" hidden="1" x14ac:dyDescent="0.2">
      <c r="A384">
        <v>367</v>
      </c>
      <c r="B384">
        <v>20250110</v>
      </c>
      <c r="C384">
        <v>39001393002</v>
      </c>
      <c r="D384" t="s">
        <v>70</v>
      </c>
      <c r="E384" t="s">
        <v>71</v>
      </c>
      <c r="F384">
        <v>2</v>
      </c>
      <c r="G384" t="s">
        <v>113</v>
      </c>
      <c r="K384" t="str">
        <f t="shared" si="5"/>
        <v>No Charger</v>
      </c>
    </row>
    <row r="385" spans="1:11" hidden="1" x14ac:dyDescent="0.2">
      <c r="A385">
        <v>368</v>
      </c>
      <c r="B385">
        <v>20250214</v>
      </c>
      <c r="C385">
        <v>39000661817</v>
      </c>
      <c r="D385" t="s">
        <v>68</v>
      </c>
      <c r="E385" t="s">
        <v>68</v>
      </c>
      <c r="F385">
        <v>-1.167</v>
      </c>
      <c r="G385" t="s">
        <v>100</v>
      </c>
      <c r="K385" t="str">
        <f t="shared" si="5"/>
        <v>No Charger</v>
      </c>
    </row>
    <row r="386" spans="1:11" hidden="1" x14ac:dyDescent="0.2">
      <c r="A386">
        <v>369</v>
      </c>
      <c r="B386">
        <v>20250305</v>
      </c>
      <c r="C386">
        <v>39001782040</v>
      </c>
      <c r="D386" t="s">
        <v>64</v>
      </c>
      <c r="E386" t="s">
        <v>65</v>
      </c>
      <c r="F386">
        <v>-0.91700000000000004</v>
      </c>
      <c r="G386" t="s">
        <v>101</v>
      </c>
      <c r="K386" t="str">
        <f t="shared" ref="K386:K449" si="6">IF(I386="Charger","Has Charger","No Charger")</f>
        <v>No Charger</v>
      </c>
    </row>
    <row r="387" spans="1:11" hidden="1" x14ac:dyDescent="0.2">
      <c r="A387">
        <v>370</v>
      </c>
      <c r="B387">
        <v>20250106</v>
      </c>
      <c r="C387">
        <v>39000271544</v>
      </c>
      <c r="D387" t="s">
        <v>62</v>
      </c>
      <c r="E387" t="s">
        <v>63</v>
      </c>
      <c r="F387">
        <v>1</v>
      </c>
      <c r="G387" t="s">
        <v>79</v>
      </c>
      <c r="K387" t="str">
        <f t="shared" si="6"/>
        <v>No Charger</v>
      </c>
    </row>
    <row r="388" spans="1:11" hidden="1" x14ac:dyDescent="0.2">
      <c r="A388">
        <v>371</v>
      </c>
      <c r="B388">
        <v>20250226</v>
      </c>
      <c r="C388">
        <v>39000661765</v>
      </c>
      <c r="D388" t="s">
        <v>68</v>
      </c>
      <c r="E388" t="s">
        <v>68</v>
      </c>
      <c r="F388">
        <v>1</v>
      </c>
      <c r="G388" t="s">
        <v>136</v>
      </c>
      <c r="K388" t="str">
        <f t="shared" si="6"/>
        <v>No Charger</v>
      </c>
    </row>
    <row r="389" spans="1:11" hidden="1" x14ac:dyDescent="0.2">
      <c r="A389">
        <v>372</v>
      </c>
      <c r="B389">
        <v>20250221</v>
      </c>
      <c r="C389">
        <v>39001488617</v>
      </c>
      <c r="D389" t="s">
        <v>70</v>
      </c>
      <c r="E389" t="s">
        <v>71</v>
      </c>
      <c r="F389">
        <v>1</v>
      </c>
      <c r="G389" t="s">
        <v>103</v>
      </c>
      <c r="K389" t="str">
        <f t="shared" si="6"/>
        <v>No Charger</v>
      </c>
    </row>
    <row r="390" spans="1:11" hidden="1" x14ac:dyDescent="0.2">
      <c r="A390">
        <v>373</v>
      </c>
      <c r="B390">
        <v>20250213</v>
      </c>
      <c r="C390">
        <v>39001520155</v>
      </c>
      <c r="D390" t="s">
        <v>70</v>
      </c>
      <c r="E390" t="s">
        <v>71</v>
      </c>
      <c r="F390">
        <v>1</v>
      </c>
      <c r="G390" t="s">
        <v>135</v>
      </c>
      <c r="K390" t="str">
        <f t="shared" si="6"/>
        <v>No Charger</v>
      </c>
    </row>
    <row r="391" spans="1:11" hidden="1" x14ac:dyDescent="0.2">
      <c r="A391">
        <v>374</v>
      </c>
      <c r="B391">
        <v>20250103</v>
      </c>
      <c r="C391">
        <v>39000238043</v>
      </c>
      <c r="D391" t="s">
        <v>60</v>
      </c>
      <c r="E391" t="s">
        <v>61</v>
      </c>
      <c r="F391">
        <v>1</v>
      </c>
      <c r="G391" t="s">
        <v>132</v>
      </c>
      <c r="K391" t="str">
        <f t="shared" si="6"/>
        <v>No Charger</v>
      </c>
    </row>
    <row r="392" spans="1:11" hidden="1" x14ac:dyDescent="0.2">
      <c r="A392">
        <v>375</v>
      </c>
      <c r="B392">
        <v>20250115</v>
      </c>
      <c r="C392">
        <v>39000203346</v>
      </c>
      <c r="D392" t="s">
        <v>60</v>
      </c>
      <c r="E392" t="s">
        <v>61</v>
      </c>
      <c r="F392">
        <v>1</v>
      </c>
      <c r="G392" t="s">
        <v>140</v>
      </c>
      <c r="K392" t="str">
        <f t="shared" si="6"/>
        <v>No Charger</v>
      </c>
    </row>
    <row r="393" spans="1:11" hidden="1" x14ac:dyDescent="0.2">
      <c r="A393">
        <v>376</v>
      </c>
      <c r="B393">
        <v>20250102</v>
      </c>
      <c r="C393">
        <v>39000412009</v>
      </c>
      <c r="D393" t="s">
        <v>66</v>
      </c>
      <c r="E393" t="s">
        <v>67</v>
      </c>
      <c r="F393">
        <v>1</v>
      </c>
      <c r="G393" t="s">
        <v>100</v>
      </c>
      <c r="K393" t="str">
        <f t="shared" si="6"/>
        <v>No Charger</v>
      </c>
    </row>
    <row r="394" spans="1:11" hidden="1" x14ac:dyDescent="0.2">
      <c r="A394">
        <v>377</v>
      </c>
      <c r="B394">
        <v>20250212</v>
      </c>
      <c r="C394">
        <v>39000341939</v>
      </c>
      <c r="D394" t="s">
        <v>66</v>
      </c>
      <c r="E394" t="s">
        <v>67</v>
      </c>
      <c r="F394">
        <v>1</v>
      </c>
      <c r="G394" t="s">
        <v>103</v>
      </c>
      <c r="K394" t="str">
        <f t="shared" si="6"/>
        <v>No Charger</v>
      </c>
    </row>
    <row r="395" spans="1:11" hidden="1" x14ac:dyDescent="0.2">
      <c r="A395">
        <v>378</v>
      </c>
      <c r="B395">
        <v>20250306</v>
      </c>
      <c r="C395">
        <v>39001690559</v>
      </c>
      <c r="D395" t="s">
        <v>64</v>
      </c>
      <c r="E395" t="s">
        <v>65</v>
      </c>
      <c r="F395">
        <v>2</v>
      </c>
      <c r="G395" t="s">
        <v>111</v>
      </c>
      <c r="K395" t="str">
        <f t="shared" si="6"/>
        <v>No Charger</v>
      </c>
    </row>
    <row r="396" spans="1:11" hidden="1" x14ac:dyDescent="0.2">
      <c r="A396">
        <v>379</v>
      </c>
      <c r="B396">
        <v>20250213</v>
      </c>
      <c r="C396">
        <v>39000206414</v>
      </c>
      <c r="D396" t="s">
        <v>60</v>
      </c>
      <c r="E396" t="s">
        <v>61</v>
      </c>
      <c r="F396">
        <v>3</v>
      </c>
      <c r="G396" t="s">
        <v>83</v>
      </c>
      <c r="K396" t="str">
        <f t="shared" si="6"/>
        <v>No Charger</v>
      </c>
    </row>
    <row r="397" spans="1:11" hidden="1" x14ac:dyDescent="0.2">
      <c r="A397">
        <v>380</v>
      </c>
      <c r="B397">
        <v>20250225</v>
      </c>
      <c r="C397">
        <v>39000667043</v>
      </c>
      <c r="D397" t="s">
        <v>68</v>
      </c>
      <c r="E397" t="s">
        <v>68</v>
      </c>
      <c r="F397">
        <v>2</v>
      </c>
      <c r="G397" t="s">
        <v>85</v>
      </c>
      <c r="K397" t="str">
        <f t="shared" si="6"/>
        <v>No Charger</v>
      </c>
    </row>
    <row r="398" spans="1:11" hidden="1" x14ac:dyDescent="0.2">
      <c r="A398">
        <v>381</v>
      </c>
      <c r="B398">
        <v>20250226</v>
      </c>
      <c r="C398">
        <v>39001674543</v>
      </c>
      <c r="D398" t="s">
        <v>68</v>
      </c>
      <c r="E398" t="s">
        <v>68</v>
      </c>
      <c r="F398">
        <v>2</v>
      </c>
      <c r="G398" t="s">
        <v>131</v>
      </c>
      <c r="K398" t="str">
        <f t="shared" si="6"/>
        <v>No Charger</v>
      </c>
    </row>
    <row r="399" spans="1:11" hidden="1" x14ac:dyDescent="0.2">
      <c r="A399">
        <v>382</v>
      </c>
      <c r="B399">
        <v>20250123</v>
      </c>
      <c r="C399">
        <v>39000957047</v>
      </c>
      <c r="D399" t="s">
        <v>58</v>
      </c>
      <c r="E399" t="s">
        <v>59</v>
      </c>
      <c r="F399">
        <v>1</v>
      </c>
      <c r="G399" t="s">
        <v>100</v>
      </c>
      <c r="K399" t="str">
        <f t="shared" si="6"/>
        <v>No Charger</v>
      </c>
    </row>
    <row r="400" spans="1:11" hidden="1" x14ac:dyDescent="0.2">
      <c r="A400">
        <v>383</v>
      </c>
      <c r="B400">
        <v>20250310</v>
      </c>
      <c r="C400">
        <v>39000657813</v>
      </c>
      <c r="D400" t="s">
        <v>68</v>
      </c>
      <c r="E400" t="s">
        <v>68</v>
      </c>
      <c r="F400">
        <v>1</v>
      </c>
      <c r="G400" t="s">
        <v>121</v>
      </c>
      <c r="K400" t="str">
        <f t="shared" si="6"/>
        <v>No Charger</v>
      </c>
    </row>
    <row r="401" spans="1:11" hidden="1" x14ac:dyDescent="0.2">
      <c r="A401">
        <v>384</v>
      </c>
      <c r="B401">
        <v>20250305</v>
      </c>
      <c r="C401">
        <v>39000197158</v>
      </c>
      <c r="D401" t="s">
        <v>60</v>
      </c>
      <c r="E401" t="s">
        <v>61</v>
      </c>
      <c r="F401">
        <v>2</v>
      </c>
      <c r="G401" t="s">
        <v>139</v>
      </c>
      <c r="K401" t="str">
        <f t="shared" si="6"/>
        <v>No Charger</v>
      </c>
    </row>
    <row r="402" spans="1:11" hidden="1" x14ac:dyDescent="0.2">
      <c r="A402">
        <v>385</v>
      </c>
      <c r="B402">
        <v>20250217</v>
      </c>
      <c r="C402">
        <v>39000662168</v>
      </c>
      <c r="D402" t="s">
        <v>68</v>
      </c>
      <c r="E402" t="s">
        <v>68</v>
      </c>
      <c r="F402">
        <v>1</v>
      </c>
      <c r="G402" t="s">
        <v>115</v>
      </c>
      <c r="K402" t="str">
        <f t="shared" si="6"/>
        <v>No Charger</v>
      </c>
    </row>
    <row r="403" spans="1:11" hidden="1" x14ac:dyDescent="0.2">
      <c r="A403">
        <v>386</v>
      </c>
      <c r="B403">
        <v>20250305</v>
      </c>
      <c r="C403">
        <v>39000951353</v>
      </c>
      <c r="D403" t="s">
        <v>58</v>
      </c>
      <c r="E403" t="s">
        <v>59</v>
      </c>
      <c r="F403">
        <v>1</v>
      </c>
      <c r="G403" t="s">
        <v>105</v>
      </c>
      <c r="K403" t="str">
        <f t="shared" si="6"/>
        <v>No Charger</v>
      </c>
    </row>
    <row r="404" spans="1:11" hidden="1" x14ac:dyDescent="0.2">
      <c r="A404">
        <v>387</v>
      </c>
      <c r="B404">
        <v>20250210</v>
      </c>
      <c r="C404">
        <v>39001520233</v>
      </c>
      <c r="D404" t="s">
        <v>70</v>
      </c>
      <c r="E404" t="s">
        <v>71</v>
      </c>
      <c r="F404">
        <v>1</v>
      </c>
      <c r="G404" t="s">
        <v>116</v>
      </c>
      <c r="K404" t="str">
        <f t="shared" si="6"/>
        <v>No Charger</v>
      </c>
    </row>
    <row r="405" spans="1:11" hidden="1" x14ac:dyDescent="0.2">
      <c r="A405">
        <v>388</v>
      </c>
      <c r="B405">
        <v>20250219</v>
      </c>
      <c r="C405">
        <v>39000658554</v>
      </c>
      <c r="D405" t="s">
        <v>68</v>
      </c>
      <c r="E405" t="s">
        <v>68</v>
      </c>
      <c r="F405">
        <v>1</v>
      </c>
      <c r="G405" t="s">
        <v>111</v>
      </c>
      <c r="K405" t="str">
        <f t="shared" si="6"/>
        <v>No Charger</v>
      </c>
    </row>
    <row r="406" spans="1:11" hidden="1" x14ac:dyDescent="0.2">
      <c r="A406">
        <v>389</v>
      </c>
      <c r="B406">
        <v>20250307</v>
      </c>
      <c r="C406">
        <v>39000968721</v>
      </c>
      <c r="D406" t="s">
        <v>58</v>
      </c>
      <c r="E406" t="s">
        <v>59</v>
      </c>
      <c r="F406">
        <v>1</v>
      </c>
      <c r="G406" t="s">
        <v>131</v>
      </c>
      <c r="K406" t="str">
        <f t="shared" si="6"/>
        <v>No Charger</v>
      </c>
    </row>
    <row r="407" spans="1:11" hidden="1" x14ac:dyDescent="0.2">
      <c r="A407">
        <v>390</v>
      </c>
      <c r="B407">
        <v>20250212</v>
      </c>
      <c r="C407">
        <v>39000229970</v>
      </c>
      <c r="D407" t="s">
        <v>60</v>
      </c>
      <c r="E407" t="s">
        <v>61</v>
      </c>
      <c r="F407">
        <v>2</v>
      </c>
      <c r="G407" t="s">
        <v>92</v>
      </c>
      <c r="K407" t="str">
        <f t="shared" si="6"/>
        <v>No Charger</v>
      </c>
    </row>
    <row r="408" spans="1:11" hidden="1" x14ac:dyDescent="0.2">
      <c r="A408">
        <v>391</v>
      </c>
      <c r="B408">
        <v>20250121</v>
      </c>
      <c r="C408">
        <v>39001537796</v>
      </c>
      <c r="D408" t="s">
        <v>75</v>
      </c>
      <c r="E408" t="s">
        <v>71</v>
      </c>
      <c r="F408">
        <v>1</v>
      </c>
      <c r="G408" t="s">
        <v>100</v>
      </c>
      <c r="K408" t="str">
        <f t="shared" si="6"/>
        <v>No Charger</v>
      </c>
    </row>
    <row r="409" spans="1:11" hidden="1" x14ac:dyDescent="0.2">
      <c r="A409">
        <v>392</v>
      </c>
      <c r="B409">
        <v>20250213</v>
      </c>
      <c r="C409">
        <v>39000732069</v>
      </c>
      <c r="D409" t="s">
        <v>76</v>
      </c>
      <c r="E409" t="s">
        <v>77</v>
      </c>
      <c r="F409">
        <v>1</v>
      </c>
      <c r="G409" t="s">
        <v>85</v>
      </c>
      <c r="K409" t="str">
        <f t="shared" si="6"/>
        <v>No Charger</v>
      </c>
    </row>
    <row r="410" spans="1:11" hidden="1" x14ac:dyDescent="0.2">
      <c r="A410">
        <v>393</v>
      </c>
      <c r="B410">
        <v>20250205</v>
      </c>
      <c r="C410">
        <v>39000219817</v>
      </c>
      <c r="D410" t="s">
        <v>60</v>
      </c>
      <c r="E410" t="s">
        <v>61</v>
      </c>
      <c r="F410">
        <v>-4.2000000000000003E-2</v>
      </c>
      <c r="G410" t="s">
        <v>101</v>
      </c>
      <c r="K410" t="str">
        <f t="shared" si="6"/>
        <v>No Charger</v>
      </c>
    </row>
    <row r="411" spans="1:11" hidden="1" x14ac:dyDescent="0.2">
      <c r="A411">
        <v>394</v>
      </c>
      <c r="B411">
        <v>20250102</v>
      </c>
      <c r="C411">
        <v>39000232570</v>
      </c>
      <c r="D411" t="s">
        <v>60</v>
      </c>
      <c r="E411" t="s">
        <v>61</v>
      </c>
      <c r="F411">
        <v>1</v>
      </c>
      <c r="G411" t="s">
        <v>83</v>
      </c>
      <c r="K411" t="str">
        <f t="shared" si="6"/>
        <v>No Charger</v>
      </c>
    </row>
    <row r="412" spans="1:11" hidden="1" x14ac:dyDescent="0.2">
      <c r="A412">
        <v>395</v>
      </c>
      <c r="B412">
        <v>20250102</v>
      </c>
      <c r="C412">
        <v>39002314208</v>
      </c>
      <c r="D412" t="s">
        <v>56</v>
      </c>
      <c r="E412" t="s">
        <v>57</v>
      </c>
      <c r="F412">
        <v>-0.5</v>
      </c>
      <c r="G412" t="s">
        <v>147</v>
      </c>
      <c r="K412" t="str">
        <f t="shared" si="6"/>
        <v>No Charger</v>
      </c>
    </row>
    <row r="413" spans="1:11" hidden="1" x14ac:dyDescent="0.2">
      <c r="A413">
        <v>396</v>
      </c>
      <c r="B413">
        <v>20250106</v>
      </c>
      <c r="C413">
        <v>39000657020</v>
      </c>
      <c r="D413" t="s">
        <v>68</v>
      </c>
      <c r="E413" t="s">
        <v>68</v>
      </c>
      <c r="F413">
        <v>1</v>
      </c>
      <c r="G413" t="s">
        <v>148</v>
      </c>
      <c r="K413" t="str">
        <f t="shared" si="6"/>
        <v>No Charger</v>
      </c>
    </row>
    <row r="414" spans="1:11" hidden="1" x14ac:dyDescent="0.2">
      <c r="A414">
        <v>397</v>
      </c>
      <c r="B414">
        <v>20250206</v>
      </c>
      <c r="C414">
        <v>39002398123</v>
      </c>
      <c r="D414" t="s">
        <v>54</v>
      </c>
      <c r="E414" t="s">
        <v>55</v>
      </c>
      <c r="F414">
        <v>2</v>
      </c>
      <c r="G414" t="s">
        <v>100</v>
      </c>
      <c r="K414" t="str">
        <f t="shared" si="6"/>
        <v>No Charger</v>
      </c>
    </row>
    <row r="415" spans="1:11" hidden="1" x14ac:dyDescent="0.2">
      <c r="A415">
        <v>398</v>
      </c>
      <c r="B415">
        <v>20250218</v>
      </c>
      <c r="C415">
        <v>39000342589</v>
      </c>
      <c r="D415" t="s">
        <v>66</v>
      </c>
      <c r="E415" t="s">
        <v>67</v>
      </c>
      <c r="F415">
        <v>1</v>
      </c>
      <c r="G415" t="s">
        <v>87</v>
      </c>
      <c r="K415" t="str">
        <f t="shared" si="6"/>
        <v>No Charger</v>
      </c>
    </row>
    <row r="416" spans="1:11" hidden="1" x14ac:dyDescent="0.2">
      <c r="A416">
        <v>399</v>
      </c>
      <c r="B416">
        <v>20250106</v>
      </c>
      <c r="C416">
        <v>39000958997</v>
      </c>
      <c r="D416" t="s">
        <v>58</v>
      </c>
      <c r="E416" t="s">
        <v>59</v>
      </c>
      <c r="F416">
        <v>1</v>
      </c>
      <c r="G416" t="s">
        <v>115</v>
      </c>
      <c r="K416" t="str">
        <f t="shared" si="6"/>
        <v>No Charger</v>
      </c>
    </row>
    <row r="417" spans="1:11" hidden="1" x14ac:dyDescent="0.2">
      <c r="A417">
        <v>400</v>
      </c>
      <c r="B417">
        <v>20250221</v>
      </c>
      <c r="C417">
        <v>39001519609</v>
      </c>
      <c r="D417" t="s">
        <v>70</v>
      </c>
      <c r="E417" t="s">
        <v>71</v>
      </c>
      <c r="F417">
        <v>2</v>
      </c>
      <c r="G417" t="s">
        <v>83</v>
      </c>
      <c r="K417" t="str">
        <f t="shared" si="6"/>
        <v>No Charger</v>
      </c>
    </row>
    <row r="418" spans="1:11" hidden="1" x14ac:dyDescent="0.2">
      <c r="A418">
        <v>401</v>
      </c>
      <c r="B418">
        <v>20250213</v>
      </c>
      <c r="C418">
        <v>39001120119</v>
      </c>
      <c r="D418" t="s">
        <v>76</v>
      </c>
      <c r="E418" t="s">
        <v>77</v>
      </c>
      <c r="F418">
        <v>1</v>
      </c>
      <c r="G418" t="s">
        <v>149</v>
      </c>
      <c r="K418" t="str">
        <f t="shared" si="6"/>
        <v>No Charger</v>
      </c>
    </row>
    <row r="419" spans="1:11" hidden="1" x14ac:dyDescent="0.2">
      <c r="A419">
        <v>402</v>
      </c>
      <c r="B419">
        <v>20250225</v>
      </c>
      <c r="C419">
        <v>39000221416</v>
      </c>
      <c r="D419" t="s">
        <v>60</v>
      </c>
      <c r="E419" t="s">
        <v>61</v>
      </c>
      <c r="F419">
        <v>2</v>
      </c>
      <c r="G419" t="s">
        <v>88</v>
      </c>
      <c r="K419" t="str">
        <f t="shared" si="6"/>
        <v>No Charger</v>
      </c>
    </row>
    <row r="420" spans="1:11" hidden="1" x14ac:dyDescent="0.2">
      <c r="A420">
        <v>404</v>
      </c>
      <c r="B420">
        <v>20250307</v>
      </c>
      <c r="C420">
        <v>39001726114</v>
      </c>
      <c r="D420" t="s">
        <v>70</v>
      </c>
      <c r="E420" t="s">
        <v>71</v>
      </c>
      <c r="F420">
        <v>1</v>
      </c>
      <c r="G420" t="s">
        <v>103</v>
      </c>
      <c r="K420" t="str">
        <f t="shared" si="6"/>
        <v>No Charger</v>
      </c>
    </row>
    <row r="421" spans="1:11" hidden="1" x14ac:dyDescent="0.2">
      <c r="A421">
        <v>405</v>
      </c>
      <c r="B421">
        <v>20250122</v>
      </c>
      <c r="C421">
        <v>39000221533</v>
      </c>
      <c r="D421" t="s">
        <v>60</v>
      </c>
      <c r="E421" t="s">
        <v>61</v>
      </c>
      <c r="F421">
        <v>1</v>
      </c>
      <c r="G421" t="s">
        <v>123</v>
      </c>
      <c r="K421" t="str">
        <f t="shared" si="6"/>
        <v>No Charger</v>
      </c>
    </row>
    <row r="422" spans="1:11" hidden="1" x14ac:dyDescent="0.2">
      <c r="A422">
        <v>406</v>
      </c>
      <c r="B422">
        <v>20250210</v>
      </c>
      <c r="C422">
        <v>39000666848</v>
      </c>
      <c r="D422" t="s">
        <v>68</v>
      </c>
      <c r="E422" t="s">
        <v>68</v>
      </c>
      <c r="F422">
        <v>1</v>
      </c>
      <c r="G422" t="s">
        <v>116</v>
      </c>
      <c r="K422" t="str">
        <f t="shared" si="6"/>
        <v>No Charger</v>
      </c>
    </row>
    <row r="423" spans="1:11" hidden="1" x14ac:dyDescent="0.2">
      <c r="A423">
        <v>407</v>
      </c>
      <c r="B423">
        <v>20250210</v>
      </c>
      <c r="C423">
        <v>39001689285</v>
      </c>
      <c r="D423" t="s">
        <v>64</v>
      </c>
      <c r="E423" t="s">
        <v>65</v>
      </c>
      <c r="F423">
        <v>2</v>
      </c>
      <c r="G423" t="s">
        <v>90</v>
      </c>
      <c r="K423" t="str">
        <f t="shared" si="6"/>
        <v>No Charger</v>
      </c>
    </row>
    <row r="424" spans="1:11" hidden="1" x14ac:dyDescent="0.2">
      <c r="A424">
        <v>408</v>
      </c>
      <c r="B424">
        <v>20250102</v>
      </c>
      <c r="C424">
        <v>39000955435</v>
      </c>
      <c r="D424" t="s">
        <v>58</v>
      </c>
      <c r="E424" t="s">
        <v>59</v>
      </c>
      <c r="F424">
        <v>1</v>
      </c>
      <c r="G424" t="s">
        <v>83</v>
      </c>
      <c r="K424" t="str">
        <f t="shared" si="6"/>
        <v>No Charger</v>
      </c>
    </row>
    <row r="425" spans="1:11" hidden="1" x14ac:dyDescent="0.2">
      <c r="A425">
        <v>409</v>
      </c>
      <c r="B425">
        <v>20250306</v>
      </c>
      <c r="C425">
        <v>39000592774</v>
      </c>
      <c r="D425" t="s">
        <v>54</v>
      </c>
      <c r="E425" t="s">
        <v>55</v>
      </c>
      <c r="F425">
        <v>1</v>
      </c>
      <c r="G425" t="s">
        <v>100</v>
      </c>
      <c r="K425" t="str">
        <f t="shared" si="6"/>
        <v>No Charger</v>
      </c>
    </row>
    <row r="426" spans="1:11" hidden="1" x14ac:dyDescent="0.2">
      <c r="A426">
        <v>410</v>
      </c>
      <c r="B426">
        <v>20250206</v>
      </c>
      <c r="C426">
        <v>39000206089</v>
      </c>
      <c r="D426" t="s">
        <v>60</v>
      </c>
      <c r="E426" t="s">
        <v>61</v>
      </c>
      <c r="F426">
        <v>1</v>
      </c>
      <c r="G426" t="s">
        <v>89</v>
      </c>
      <c r="K426" t="str">
        <f t="shared" si="6"/>
        <v>No Charger</v>
      </c>
    </row>
    <row r="427" spans="1:11" hidden="1" x14ac:dyDescent="0.2">
      <c r="A427">
        <v>411</v>
      </c>
      <c r="B427">
        <v>20250213</v>
      </c>
      <c r="C427">
        <v>39000587756</v>
      </c>
      <c r="D427" t="s">
        <v>54</v>
      </c>
      <c r="E427" t="s">
        <v>55</v>
      </c>
      <c r="F427">
        <v>2</v>
      </c>
      <c r="G427" t="s">
        <v>83</v>
      </c>
      <c r="K427" t="str">
        <f t="shared" si="6"/>
        <v>No Charger</v>
      </c>
    </row>
    <row r="428" spans="1:11" hidden="1" x14ac:dyDescent="0.2">
      <c r="A428">
        <v>412</v>
      </c>
      <c r="B428">
        <v>20250128</v>
      </c>
      <c r="C428">
        <v>39000338598</v>
      </c>
      <c r="D428" t="s">
        <v>66</v>
      </c>
      <c r="E428" t="s">
        <v>67</v>
      </c>
      <c r="F428">
        <v>2</v>
      </c>
      <c r="G428" t="s">
        <v>115</v>
      </c>
      <c r="K428" t="str">
        <f t="shared" si="6"/>
        <v>No Charger</v>
      </c>
    </row>
    <row r="429" spans="1:11" hidden="1" x14ac:dyDescent="0.2">
      <c r="A429">
        <v>413</v>
      </c>
      <c r="B429">
        <v>20250220</v>
      </c>
      <c r="C429">
        <v>39001712828</v>
      </c>
      <c r="D429" t="s">
        <v>64</v>
      </c>
      <c r="E429" t="s">
        <v>65</v>
      </c>
      <c r="F429">
        <v>1</v>
      </c>
      <c r="G429" t="s">
        <v>116</v>
      </c>
      <c r="K429" t="str">
        <f t="shared" si="6"/>
        <v>No Charger</v>
      </c>
    </row>
    <row r="430" spans="1:11" hidden="1" x14ac:dyDescent="0.2">
      <c r="A430">
        <v>414</v>
      </c>
      <c r="B430">
        <v>20250109</v>
      </c>
      <c r="C430">
        <v>39000284934</v>
      </c>
      <c r="D430" t="s">
        <v>74</v>
      </c>
      <c r="E430" t="s">
        <v>63</v>
      </c>
      <c r="F430">
        <v>1</v>
      </c>
      <c r="G430" t="s">
        <v>104</v>
      </c>
      <c r="K430" t="str">
        <f t="shared" si="6"/>
        <v>No Charger</v>
      </c>
    </row>
    <row r="431" spans="1:11" hidden="1" x14ac:dyDescent="0.2">
      <c r="A431">
        <v>415</v>
      </c>
      <c r="B431">
        <v>20250211</v>
      </c>
      <c r="C431">
        <v>39002660879</v>
      </c>
      <c r="D431" t="s">
        <v>64</v>
      </c>
      <c r="E431" t="s">
        <v>65</v>
      </c>
      <c r="F431">
        <v>1</v>
      </c>
      <c r="G431" t="s">
        <v>111</v>
      </c>
      <c r="K431" t="str">
        <f t="shared" si="6"/>
        <v>No Charger</v>
      </c>
    </row>
    <row r="432" spans="1:11" hidden="1" x14ac:dyDescent="0.2">
      <c r="A432">
        <v>416</v>
      </c>
      <c r="B432">
        <v>20250221</v>
      </c>
      <c r="C432">
        <v>39000340678</v>
      </c>
      <c r="D432" t="s">
        <v>66</v>
      </c>
      <c r="E432" t="s">
        <v>67</v>
      </c>
      <c r="F432">
        <v>1</v>
      </c>
      <c r="G432" t="s">
        <v>88</v>
      </c>
      <c r="K432" t="str">
        <f t="shared" si="6"/>
        <v>No Charger</v>
      </c>
    </row>
    <row r="433" spans="1:11" hidden="1" x14ac:dyDescent="0.2">
      <c r="A433">
        <v>417</v>
      </c>
      <c r="B433">
        <v>20250205</v>
      </c>
      <c r="C433">
        <v>39000659789</v>
      </c>
      <c r="D433" t="s">
        <v>68</v>
      </c>
      <c r="E433" t="s">
        <v>68</v>
      </c>
      <c r="F433">
        <v>2</v>
      </c>
      <c r="G433" t="s">
        <v>86</v>
      </c>
      <c r="K433" t="str">
        <f t="shared" si="6"/>
        <v>No Charger</v>
      </c>
    </row>
    <row r="434" spans="1:11" hidden="1" x14ac:dyDescent="0.2">
      <c r="A434">
        <v>418</v>
      </c>
      <c r="B434">
        <v>20250127</v>
      </c>
      <c r="C434">
        <v>39001700959</v>
      </c>
      <c r="D434" t="s">
        <v>64</v>
      </c>
      <c r="E434" t="s">
        <v>65</v>
      </c>
      <c r="F434">
        <v>1</v>
      </c>
      <c r="G434" t="s">
        <v>108</v>
      </c>
      <c r="K434" t="str">
        <f t="shared" si="6"/>
        <v>No Charger</v>
      </c>
    </row>
    <row r="435" spans="1:11" hidden="1" x14ac:dyDescent="0.2">
      <c r="A435">
        <v>419</v>
      </c>
      <c r="B435">
        <v>20250130</v>
      </c>
      <c r="C435">
        <v>39000222352</v>
      </c>
      <c r="D435" t="s">
        <v>60</v>
      </c>
      <c r="E435" t="s">
        <v>61</v>
      </c>
      <c r="F435">
        <v>1</v>
      </c>
      <c r="G435" t="s">
        <v>87</v>
      </c>
      <c r="K435" t="str">
        <f t="shared" si="6"/>
        <v>No Charger</v>
      </c>
    </row>
    <row r="436" spans="1:11" hidden="1" x14ac:dyDescent="0.2">
      <c r="A436">
        <v>420</v>
      </c>
      <c r="B436">
        <v>20250117</v>
      </c>
      <c r="C436">
        <v>39000344942</v>
      </c>
      <c r="D436" t="s">
        <v>66</v>
      </c>
      <c r="E436" t="s">
        <v>67</v>
      </c>
      <c r="F436">
        <v>1</v>
      </c>
      <c r="G436" t="s">
        <v>111</v>
      </c>
      <c r="K436" t="str">
        <f t="shared" si="6"/>
        <v>No Charger</v>
      </c>
    </row>
    <row r="437" spans="1:11" hidden="1" x14ac:dyDescent="0.2">
      <c r="A437">
        <v>421</v>
      </c>
      <c r="B437">
        <v>20250124</v>
      </c>
      <c r="C437">
        <v>39001467791</v>
      </c>
      <c r="D437" t="s">
        <v>70</v>
      </c>
      <c r="E437" t="s">
        <v>71</v>
      </c>
      <c r="F437">
        <v>4</v>
      </c>
      <c r="G437" t="s">
        <v>88</v>
      </c>
      <c r="K437" t="str">
        <f t="shared" si="6"/>
        <v>No Charger</v>
      </c>
    </row>
    <row r="438" spans="1:11" hidden="1" x14ac:dyDescent="0.2">
      <c r="A438">
        <v>424</v>
      </c>
      <c r="B438">
        <v>20250123</v>
      </c>
      <c r="C438">
        <v>39001519661</v>
      </c>
      <c r="D438" t="s">
        <v>70</v>
      </c>
      <c r="E438" t="s">
        <v>71</v>
      </c>
      <c r="F438">
        <v>1</v>
      </c>
      <c r="G438" t="s">
        <v>115</v>
      </c>
      <c r="K438" t="str">
        <f t="shared" si="6"/>
        <v>No Charger</v>
      </c>
    </row>
    <row r="439" spans="1:11" hidden="1" x14ac:dyDescent="0.2">
      <c r="A439">
        <v>425</v>
      </c>
      <c r="B439">
        <v>20250129</v>
      </c>
      <c r="C439">
        <v>39000956072</v>
      </c>
      <c r="D439" t="s">
        <v>58</v>
      </c>
      <c r="E439" t="s">
        <v>59</v>
      </c>
      <c r="F439">
        <v>1</v>
      </c>
      <c r="G439" t="s">
        <v>86</v>
      </c>
      <c r="K439" t="str">
        <f t="shared" si="6"/>
        <v>No Charger</v>
      </c>
    </row>
    <row r="440" spans="1:11" hidden="1" x14ac:dyDescent="0.2">
      <c r="A440">
        <v>427</v>
      </c>
      <c r="B440">
        <v>20250226</v>
      </c>
      <c r="C440">
        <v>39000586001</v>
      </c>
      <c r="D440" t="s">
        <v>54</v>
      </c>
      <c r="E440" t="s">
        <v>55</v>
      </c>
      <c r="F440">
        <v>1</v>
      </c>
      <c r="G440" t="s">
        <v>92</v>
      </c>
      <c r="K440" t="str">
        <f t="shared" si="6"/>
        <v>No Charger</v>
      </c>
    </row>
    <row r="441" spans="1:11" hidden="1" x14ac:dyDescent="0.2">
      <c r="A441">
        <v>428</v>
      </c>
      <c r="B441">
        <v>20250305</v>
      </c>
      <c r="C441">
        <v>39001772030</v>
      </c>
      <c r="D441" t="s">
        <v>69</v>
      </c>
      <c r="E441" t="s">
        <v>61</v>
      </c>
      <c r="F441">
        <v>2</v>
      </c>
      <c r="G441" t="s">
        <v>139</v>
      </c>
      <c r="K441" t="str">
        <f t="shared" si="6"/>
        <v>No Charger</v>
      </c>
    </row>
    <row r="442" spans="1:11" hidden="1" x14ac:dyDescent="0.2">
      <c r="A442">
        <v>429</v>
      </c>
      <c r="B442">
        <v>20250218</v>
      </c>
      <c r="C442">
        <v>39000963742</v>
      </c>
      <c r="D442" t="s">
        <v>58</v>
      </c>
      <c r="E442" t="s">
        <v>59</v>
      </c>
      <c r="F442">
        <v>1</v>
      </c>
      <c r="G442" t="s">
        <v>79</v>
      </c>
      <c r="K442" t="str">
        <f t="shared" si="6"/>
        <v>No Charger</v>
      </c>
    </row>
    <row r="443" spans="1:11" hidden="1" x14ac:dyDescent="0.2">
      <c r="A443">
        <v>430</v>
      </c>
      <c r="B443">
        <v>20250212</v>
      </c>
      <c r="C443">
        <v>39002261480</v>
      </c>
      <c r="D443" t="s">
        <v>56</v>
      </c>
      <c r="E443" t="s">
        <v>57</v>
      </c>
      <c r="F443">
        <v>1</v>
      </c>
      <c r="G443" t="s">
        <v>116</v>
      </c>
      <c r="K443" t="str">
        <f t="shared" si="6"/>
        <v>No Charger</v>
      </c>
    </row>
    <row r="444" spans="1:11" hidden="1" x14ac:dyDescent="0.2">
      <c r="A444">
        <v>431</v>
      </c>
      <c r="B444">
        <v>20250210</v>
      </c>
      <c r="C444">
        <v>39000334698</v>
      </c>
      <c r="D444" t="s">
        <v>66</v>
      </c>
      <c r="E444" t="s">
        <v>67</v>
      </c>
      <c r="F444">
        <v>2</v>
      </c>
      <c r="G444" t="s">
        <v>83</v>
      </c>
      <c r="K444" t="str">
        <f t="shared" si="6"/>
        <v>No Charger</v>
      </c>
    </row>
    <row r="445" spans="1:11" hidden="1" x14ac:dyDescent="0.2">
      <c r="A445">
        <v>432</v>
      </c>
      <c r="B445">
        <v>20250211</v>
      </c>
      <c r="C445">
        <v>39000264589</v>
      </c>
      <c r="D445" t="s">
        <v>62</v>
      </c>
      <c r="E445" t="s">
        <v>63</v>
      </c>
      <c r="F445">
        <v>1</v>
      </c>
      <c r="G445" t="s">
        <v>51</v>
      </c>
      <c r="K445" t="str">
        <f t="shared" si="6"/>
        <v>No Charger</v>
      </c>
    </row>
    <row r="446" spans="1:11" hidden="1" x14ac:dyDescent="0.2">
      <c r="A446">
        <v>433</v>
      </c>
      <c r="B446">
        <v>20250102</v>
      </c>
      <c r="C446">
        <v>39001520064</v>
      </c>
      <c r="D446" t="s">
        <v>70</v>
      </c>
      <c r="E446" t="s">
        <v>71</v>
      </c>
      <c r="F446">
        <v>1</v>
      </c>
      <c r="G446" t="s">
        <v>148</v>
      </c>
      <c r="K446" t="str">
        <f t="shared" si="6"/>
        <v>No Charger</v>
      </c>
    </row>
    <row r="447" spans="1:11" hidden="1" x14ac:dyDescent="0.2">
      <c r="A447">
        <v>434</v>
      </c>
      <c r="B447">
        <v>20250211</v>
      </c>
      <c r="C447">
        <v>39000599690</v>
      </c>
      <c r="D447" t="s">
        <v>54</v>
      </c>
      <c r="E447" t="s">
        <v>55</v>
      </c>
      <c r="F447">
        <v>-8.3000000000000004E-2</v>
      </c>
      <c r="G447" t="s">
        <v>122</v>
      </c>
      <c r="K447" t="str">
        <f t="shared" si="6"/>
        <v>No Charger</v>
      </c>
    </row>
    <row r="448" spans="1:11" hidden="1" x14ac:dyDescent="0.2">
      <c r="A448">
        <v>435</v>
      </c>
      <c r="B448">
        <v>20250107</v>
      </c>
      <c r="C448">
        <v>39001488448</v>
      </c>
      <c r="D448" t="s">
        <v>72</v>
      </c>
      <c r="E448" t="s">
        <v>73</v>
      </c>
      <c r="F448">
        <v>2</v>
      </c>
      <c r="G448" t="s">
        <v>100</v>
      </c>
      <c r="K448" t="str">
        <f t="shared" si="6"/>
        <v>No Charger</v>
      </c>
    </row>
    <row r="449" spans="1:11" hidden="1" x14ac:dyDescent="0.2">
      <c r="A449">
        <v>436</v>
      </c>
      <c r="B449">
        <v>20250113</v>
      </c>
      <c r="C449">
        <v>39000341484</v>
      </c>
      <c r="D449" t="s">
        <v>66</v>
      </c>
      <c r="E449" t="s">
        <v>67</v>
      </c>
      <c r="F449">
        <v>1</v>
      </c>
      <c r="G449" t="s">
        <v>90</v>
      </c>
      <c r="K449" t="str">
        <f t="shared" si="6"/>
        <v>No Charger</v>
      </c>
    </row>
    <row r="450" spans="1:11" hidden="1" x14ac:dyDescent="0.2">
      <c r="A450">
        <v>437</v>
      </c>
      <c r="B450">
        <v>20250207</v>
      </c>
      <c r="C450">
        <v>39000269854</v>
      </c>
      <c r="D450" t="s">
        <v>62</v>
      </c>
      <c r="E450" t="s">
        <v>63</v>
      </c>
      <c r="F450">
        <v>1</v>
      </c>
      <c r="G450" t="s">
        <v>116</v>
      </c>
      <c r="K450" t="str">
        <f t="shared" ref="K450:K502" si="7">IF(I450="Charger","Has Charger","No Charger")</f>
        <v>No Charger</v>
      </c>
    </row>
    <row r="451" spans="1:11" hidden="1" x14ac:dyDescent="0.2">
      <c r="A451">
        <v>438</v>
      </c>
      <c r="B451">
        <v>20250124</v>
      </c>
      <c r="C451">
        <v>39000201292</v>
      </c>
      <c r="D451" t="s">
        <v>60</v>
      </c>
      <c r="E451" t="s">
        <v>61</v>
      </c>
      <c r="F451">
        <v>1</v>
      </c>
      <c r="G451" t="s">
        <v>99</v>
      </c>
      <c r="K451" t="str">
        <f t="shared" si="7"/>
        <v>No Charger</v>
      </c>
    </row>
    <row r="452" spans="1:11" hidden="1" x14ac:dyDescent="0.2">
      <c r="A452">
        <v>439</v>
      </c>
      <c r="B452">
        <v>20250304</v>
      </c>
      <c r="C452">
        <v>39000340769</v>
      </c>
      <c r="D452" t="s">
        <v>66</v>
      </c>
      <c r="E452" t="s">
        <v>67</v>
      </c>
      <c r="F452">
        <v>1</v>
      </c>
      <c r="G452" t="s">
        <v>83</v>
      </c>
      <c r="K452" t="str">
        <f t="shared" si="7"/>
        <v>No Charger</v>
      </c>
    </row>
    <row r="453" spans="1:11" x14ac:dyDescent="0.2">
      <c r="A453">
        <v>440</v>
      </c>
      <c r="B453">
        <v>20250122</v>
      </c>
      <c r="C453">
        <v>39000241059</v>
      </c>
      <c r="D453" t="s">
        <v>60</v>
      </c>
      <c r="E453" t="s">
        <v>61</v>
      </c>
      <c r="F453">
        <v>1</v>
      </c>
      <c r="G453" t="s">
        <v>78</v>
      </c>
      <c r="K453" t="str">
        <f t="shared" si="7"/>
        <v>No Charger</v>
      </c>
    </row>
    <row r="454" spans="1:11" hidden="1" x14ac:dyDescent="0.2">
      <c r="A454">
        <v>442</v>
      </c>
      <c r="B454">
        <v>20250203</v>
      </c>
      <c r="C454">
        <v>39002768155</v>
      </c>
      <c r="D454" t="s">
        <v>56</v>
      </c>
      <c r="E454" t="s">
        <v>57</v>
      </c>
      <c r="F454">
        <v>2</v>
      </c>
      <c r="G454" t="s">
        <v>108</v>
      </c>
      <c r="K454" t="str">
        <f t="shared" si="7"/>
        <v>No Charger</v>
      </c>
    </row>
    <row r="455" spans="1:11" hidden="1" x14ac:dyDescent="0.2">
      <c r="A455">
        <v>443</v>
      </c>
      <c r="B455">
        <v>20250131</v>
      </c>
      <c r="C455">
        <v>39001431612</v>
      </c>
      <c r="D455" t="s">
        <v>75</v>
      </c>
      <c r="E455" t="s">
        <v>71</v>
      </c>
      <c r="F455">
        <v>2</v>
      </c>
      <c r="G455" t="s">
        <v>116</v>
      </c>
      <c r="K455" t="str">
        <f t="shared" si="7"/>
        <v>No Charger</v>
      </c>
    </row>
    <row r="456" spans="1:11" hidden="1" x14ac:dyDescent="0.2">
      <c r="A456">
        <v>444</v>
      </c>
      <c r="B456">
        <v>20250304</v>
      </c>
      <c r="C456">
        <v>39001520116</v>
      </c>
      <c r="D456" t="s">
        <v>70</v>
      </c>
      <c r="E456" t="s">
        <v>71</v>
      </c>
      <c r="F456">
        <v>2</v>
      </c>
      <c r="G456" t="s">
        <v>117</v>
      </c>
      <c r="K456" t="str">
        <f t="shared" si="7"/>
        <v>No Charger</v>
      </c>
    </row>
    <row r="457" spans="1:11" hidden="1" x14ac:dyDescent="0.2">
      <c r="A457">
        <v>445</v>
      </c>
      <c r="B457">
        <v>20250115</v>
      </c>
      <c r="C457">
        <v>39000948818</v>
      </c>
      <c r="D457" t="s">
        <v>58</v>
      </c>
      <c r="E457" t="s">
        <v>59</v>
      </c>
      <c r="F457">
        <v>2</v>
      </c>
      <c r="G457" t="s">
        <v>115</v>
      </c>
      <c r="K457" t="str">
        <f t="shared" si="7"/>
        <v>No Charger</v>
      </c>
    </row>
    <row r="458" spans="1:11" x14ac:dyDescent="0.2">
      <c r="A458">
        <v>446</v>
      </c>
      <c r="B458">
        <v>20250114</v>
      </c>
      <c r="C458">
        <v>39001379001</v>
      </c>
      <c r="D458" t="s">
        <v>68</v>
      </c>
      <c r="E458" t="s">
        <v>68</v>
      </c>
      <c r="F458">
        <v>1</v>
      </c>
      <c r="G458" t="s">
        <v>78</v>
      </c>
      <c r="K458" t="str">
        <f t="shared" si="7"/>
        <v>No Charger</v>
      </c>
    </row>
    <row r="459" spans="1:11" hidden="1" x14ac:dyDescent="0.2">
      <c r="A459">
        <v>447</v>
      </c>
      <c r="B459">
        <v>20250219</v>
      </c>
      <c r="C459">
        <v>39000197249</v>
      </c>
      <c r="D459" t="s">
        <v>60</v>
      </c>
      <c r="E459" t="s">
        <v>61</v>
      </c>
      <c r="F459">
        <v>1</v>
      </c>
      <c r="G459" t="s">
        <v>91</v>
      </c>
      <c r="K459" t="str">
        <f t="shared" si="7"/>
        <v>No Charger</v>
      </c>
    </row>
    <row r="460" spans="1:11" hidden="1" x14ac:dyDescent="0.2">
      <c r="A460">
        <v>448</v>
      </c>
      <c r="B460">
        <v>20250203</v>
      </c>
      <c r="C460">
        <v>39000198094</v>
      </c>
      <c r="D460" t="s">
        <v>60</v>
      </c>
      <c r="E460" t="s">
        <v>61</v>
      </c>
      <c r="F460">
        <v>4</v>
      </c>
      <c r="G460" t="s">
        <v>83</v>
      </c>
      <c r="K460" t="str">
        <f t="shared" si="7"/>
        <v>No Charger</v>
      </c>
    </row>
    <row r="461" spans="1:11" hidden="1" x14ac:dyDescent="0.2">
      <c r="A461">
        <v>449</v>
      </c>
      <c r="B461">
        <v>20250226</v>
      </c>
      <c r="C461">
        <v>39000586183</v>
      </c>
      <c r="D461" t="s">
        <v>54</v>
      </c>
      <c r="E461" t="s">
        <v>55</v>
      </c>
      <c r="F461">
        <v>1</v>
      </c>
      <c r="G461" t="s">
        <v>94</v>
      </c>
      <c r="K461" t="str">
        <f t="shared" si="7"/>
        <v>No Charger</v>
      </c>
    </row>
    <row r="462" spans="1:11" hidden="1" x14ac:dyDescent="0.2">
      <c r="A462">
        <v>450</v>
      </c>
      <c r="B462">
        <v>20250224</v>
      </c>
      <c r="C462">
        <v>39000665067</v>
      </c>
      <c r="D462" t="s">
        <v>68</v>
      </c>
      <c r="E462" t="s">
        <v>68</v>
      </c>
      <c r="F462">
        <v>6</v>
      </c>
      <c r="G462" t="s">
        <v>118</v>
      </c>
      <c r="K462" t="str">
        <f t="shared" si="7"/>
        <v>No Charger</v>
      </c>
    </row>
    <row r="463" spans="1:11" hidden="1" x14ac:dyDescent="0.2">
      <c r="A463">
        <v>452</v>
      </c>
      <c r="B463">
        <v>20250210</v>
      </c>
      <c r="C463">
        <v>39000590629</v>
      </c>
      <c r="D463" t="s">
        <v>54</v>
      </c>
      <c r="E463" t="s">
        <v>55</v>
      </c>
      <c r="F463">
        <v>1</v>
      </c>
      <c r="G463" t="s">
        <v>115</v>
      </c>
      <c r="K463" t="str">
        <f t="shared" si="7"/>
        <v>No Charger</v>
      </c>
    </row>
    <row r="464" spans="1:11" hidden="1" x14ac:dyDescent="0.2">
      <c r="A464">
        <v>455</v>
      </c>
      <c r="B464">
        <v>20250305</v>
      </c>
      <c r="C464">
        <v>39000348413</v>
      </c>
      <c r="D464" t="s">
        <v>66</v>
      </c>
      <c r="E464" t="s">
        <v>67</v>
      </c>
      <c r="F464">
        <v>2</v>
      </c>
      <c r="G464" t="s">
        <v>131</v>
      </c>
      <c r="K464" t="str">
        <f t="shared" si="7"/>
        <v>No Charger</v>
      </c>
    </row>
    <row r="465" spans="1:11" hidden="1" x14ac:dyDescent="0.2">
      <c r="A465">
        <v>456</v>
      </c>
      <c r="B465">
        <v>20250117</v>
      </c>
      <c r="C465">
        <v>39000592085</v>
      </c>
      <c r="D465" t="s">
        <v>54</v>
      </c>
      <c r="E465" t="s">
        <v>55</v>
      </c>
      <c r="F465">
        <v>1</v>
      </c>
      <c r="G465" t="s">
        <v>103</v>
      </c>
      <c r="K465" t="str">
        <f t="shared" si="7"/>
        <v>No Charger</v>
      </c>
    </row>
    <row r="466" spans="1:11" hidden="1" x14ac:dyDescent="0.2">
      <c r="A466">
        <v>457</v>
      </c>
      <c r="B466">
        <v>20250303</v>
      </c>
      <c r="C466">
        <v>39002257359</v>
      </c>
      <c r="D466" t="s">
        <v>56</v>
      </c>
      <c r="E466" t="s">
        <v>57</v>
      </c>
      <c r="F466">
        <v>1</v>
      </c>
      <c r="G466" t="s">
        <v>88</v>
      </c>
      <c r="K466" t="str">
        <f t="shared" si="7"/>
        <v>No Charger</v>
      </c>
    </row>
    <row r="467" spans="1:11" hidden="1" x14ac:dyDescent="0.2">
      <c r="A467">
        <v>458</v>
      </c>
      <c r="B467">
        <v>20250217</v>
      </c>
      <c r="C467">
        <v>39000661219</v>
      </c>
      <c r="D467" t="s">
        <v>68</v>
      </c>
      <c r="E467" t="s">
        <v>68</v>
      </c>
      <c r="F467">
        <v>3</v>
      </c>
      <c r="G467" t="s">
        <v>100</v>
      </c>
      <c r="K467" t="str">
        <f t="shared" si="7"/>
        <v>No Charger</v>
      </c>
    </row>
    <row r="468" spans="1:11" hidden="1" x14ac:dyDescent="0.2">
      <c r="A468">
        <v>460</v>
      </c>
      <c r="B468">
        <v>20250213</v>
      </c>
      <c r="C468">
        <v>39000586898</v>
      </c>
      <c r="D468" t="s">
        <v>54</v>
      </c>
      <c r="E468" t="s">
        <v>55</v>
      </c>
      <c r="F468">
        <v>1</v>
      </c>
      <c r="G468" t="s">
        <v>83</v>
      </c>
      <c r="K468" t="str">
        <f t="shared" si="7"/>
        <v>No Charger</v>
      </c>
    </row>
    <row r="469" spans="1:11" hidden="1" x14ac:dyDescent="0.2">
      <c r="A469">
        <v>461</v>
      </c>
      <c r="B469">
        <v>20250205</v>
      </c>
      <c r="C469">
        <v>39000423449</v>
      </c>
      <c r="D469" t="s">
        <v>66</v>
      </c>
      <c r="E469" t="s">
        <v>67</v>
      </c>
      <c r="F469">
        <v>2</v>
      </c>
      <c r="G469" t="s">
        <v>124</v>
      </c>
      <c r="K469" t="str">
        <f t="shared" si="7"/>
        <v>No Charger</v>
      </c>
    </row>
    <row r="470" spans="1:11" hidden="1" x14ac:dyDescent="0.2">
      <c r="A470">
        <v>463</v>
      </c>
      <c r="B470">
        <v>20250221</v>
      </c>
      <c r="C470">
        <v>39000280280</v>
      </c>
      <c r="D470" t="s">
        <v>74</v>
      </c>
      <c r="E470" t="s">
        <v>63</v>
      </c>
      <c r="F470">
        <v>1</v>
      </c>
      <c r="G470" t="s">
        <v>91</v>
      </c>
      <c r="K470" t="str">
        <f t="shared" si="7"/>
        <v>No Charger</v>
      </c>
    </row>
    <row r="471" spans="1:11" x14ac:dyDescent="0.2">
      <c r="A471">
        <v>464</v>
      </c>
      <c r="B471">
        <v>20250124</v>
      </c>
      <c r="C471">
        <v>39001431313</v>
      </c>
      <c r="D471" t="s">
        <v>70</v>
      </c>
      <c r="E471" t="s">
        <v>71</v>
      </c>
      <c r="F471">
        <v>1</v>
      </c>
      <c r="G471" t="s">
        <v>78</v>
      </c>
      <c r="K471" t="str">
        <f t="shared" si="7"/>
        <v>No Charger</v>
      </c>
    </row>
    <row r="472" spans="1:11" hidden="1" x14ac:dyDescent="0.2">
      <c r="A472">
        <v>465</v>
      </c>
      <c r="B472">
        <v>20250227</v>
      </c>
      <c r="C472">
        <v>39000212979</v>
      </c>
      <c r="D472" t="s">
        <v>60</v>
      </c>
      <c r="E472" t="s">
        <v>61</v>
      </c>
      <c r="F472">
        <v>1</v>
      </c>
      <c r="G472" t="s">
        <v>79</v>
      </c>
      <c r="K472" t="str">
        <f t="shared" si="7"/>
        <v>No Charger</v>
      </c>
    </row>
    <row r="473" spans="1:11" hidden="1" x14ac:dyDescent="0.2">
      <c r="A473">
        <v>466</v>
      </c>
      <c r="B473">
        <v>20250103</v>
      </c>
      <c r="C473">
        <v>39000338663</v>
      </c>
      <c r="D473" t="s">
        <v>66</v>
      </c>
      <c r="E473" t="s">
        <v>67</v>
      </c>
      <c r="F473">
        <v>1</v>
      </c>
      <c r="G473" t="s">
        <v>140</v>
      </c>
      <c r="K473" t="str">
        <f t="shared" si="7"/>
        <v>No Charger</v>
      </c>
    </row>
    <row r="474" spans="1:11" hidden="1" x14ac:dyDescent="0.2">
      <c r="A474">
        <v>467</v>
      </c>
      <c r="B474">
        <v>20250121</v>
      </c>
      <c r="C474">
        <v>39002175732</v>
      </c>
      <c r="D474" t="s">
        <v>60</v>
      </c>
      <c r="E474" t="s">
        <v>61</v>
      </c>
      <c r="F474">
        <v>1</v>
      </c>
      <c r="G474" t="s">
        <v>133</v>
      </c>
      <c r="K474" t="str">
        <f t="shared" si="7"/>
        <v>No Charger</v>
      </c>
    </row>
    <row r="475" spans="1:11" hidden="1" x14ac:dyDescent="0.2">
      <c r="A475">
        <v>468</v>
      </c>
      <c r="B475">
        <v>20250228</v>
      </c>
      <c r="C475">
        <v>39000964912</v>
      </c>
      <c r="D475" t="s">
        <v>58</v>
      </c>
      <c r="E475" t="s">
        <v>59</v>
      </c>
      <c r="F475">
        <v>1</v>
      </c>
      <c r="G475" t="s">
        <v>131</v>
      </c>
      <c r="K475" t="str">
        <f t="shared" si="7"/>
        <v>No Charger</v>
      </c>
    </row>
    <row r="476" spans="1:11" hidden="1" x14ac:dyDescent="0.2">
      <c r="A476">
        <v>469</v>
      </c>
      <c r="B476">
        <v>20250206</v>
      </c>
      <c r="C476">
        <v>39000657098</v>
      </c>
      <c r="D476" t="s">
        <v>68</v>
      </c>
      <c r="E476" t="s">
        <v>68</v>
      </c>
      <c r="F476">
        <v>1</v>
      </c>
      <c r="G476" t="s">
        <v>96</v>
      </c>
      <c r="K476" t="str">
        <f t="shared" si="7"/>
        <v>No Charger</v>
      </c>
    </row>
    <row r="477" spans="1:11" hidden="1" x14ac:dyDescent="0.2">
      <c r="A477">
        <v>470</v>
      </c>
      <c r="B477">
        <v>20250220</v>
      </c>
      <c r="C477">
        <v>39000658710</v>
      </c>
      <c r="D477" t="s">
        <v>68</v>
      </c>
      <c r="E477" t="s">
        <v>68</v>
      </c>
      <c r="F477">
        <v>1</v>
      </c>
      <c r="G477" t="s">
        <v>143</v>
      </c>
      <c r="K477" t="str">
        <f t="shared" si="7"/>
        <v>No Charger</v>
      </c>
    </row>
    <row r="478" spans="1:11" hidden="1" x14ac:dyDescent="0.2">
      <c r="A478">
        <v>472</v>
      </c>
      <c r="B478">
        <v>20250227</v>
      </c>
      <c r="C478">
        <v>39000218114</v>
      </c>
      <c r="D478" t="s">
        <v>69</v>
      </c>
      <c r="E478" t="s">
        <v>61</v>
      </c>
      <c r="F478">
        <v>1</v>
      </c>
      <c r="G478" t="s">
        <v>100</v>
      </c>
      <c r="K478" t="str">
        <f t="shared" si="7"/>
        <v>No Charger</v>
      </c>
    </row>
    <row r="479" spans="1:11" hidden="1" x14ac:dyDescent="0.2">
      <c r="A479">
        <v>473</v>
      </c>
      <c r="B479">
        <v>20250103</v>
      </c>
      <c r="C479">
        <v>39000212407</v>
      </c>
      <c r="D479" t="s">
        <v>60</v>
      </c>
      <c r="E479" t="s">
        <v>61</v>
      </c>
      <c r="F479">
        <v>1</v>
      </c>
      <c r="G479" t="s">
        <v>111</v>
      </c>
      <c r="K479" t="str">
        <f t="shared" si="7"/>
        <v>No Charger</v>
      </c>
    </row>
    <row r="480" spans="1:11" hidden="1" x14ac:dyDescent="0.2">
      <c r="A480">
        <v>475</v>
      </c>
      <c r="B480">
        <v>20250218</v>
      </c>
      <c r="C480">
        <v>39000955760</v>
      </c>
      <c r="D480" t="s">
        <v>58</v>
      </c>
      <c r="E480" t="s">
        <v>59</v>
      </c>
      <c r="F480">
        <v>1</v>
      </c>
      <c r="G480" t="s">
        <v>115</v>
      </c>
      <c r="K480" t="str">
        <f t="shared" si="7"/>
        <v>No Charger</v>
      </c>
    </row>
    <row r="481" spans="1:11" hidden="1" x14ac:dyDescent="0.2">
      <c r="A481">
        <v>476</v>
      </c>
      <c r="B481">
        <v>20250224</v>
      </c>
      <c r="C481">
        <v>39000220337</v>
      </c>
      <c r="D481" t="s">
        <v>60</v>
      </c>
      <c r="E481" t="s">
        <v>61</v>
      </c>
      <c r="F481">
        <v>1</v>
      </c>
      <c r="G481" t="s">
        <v>100</v>
      </c>
      <c r="K481" t="str">
        <f t="shared" si="7"/>
        <v>No Charger</v>
      </c>
    </row>
    <row r="482" spans="1:11" hidden="1" x14ac:dyDescent="0.2">
      <c r="A482">
        <v>477</v>
      </c>
      <c r="B482">
        <v>20250221</v>
      </c>
      <c r="C482">
        <v>39000198003</v>
      </c>
      <c r="D482" t="s">
        <v>60</v>
      </c>
      <c r="E482" t="s">
        <v>61</v>
      </c>
      <c r="F482">
        <v>6</v>
      </c>
      <c r="G482" t="s">
        <v>88</v>
      </c>
      <c r="K482" t="str">
        <f t="shared" si="7"/>
        <v>No Charger</v>
      </c>
    </row>
    <row r="483" spans="1:11" hidden="1" x14ac:dyDescent="0.2">
      <c r="A483">
        <v>478</v>
      </c>
      <c r="B483">
        <v>20250228</v>
      </c>
      <c r="C483">
        <v>39000330031</v>
      </c>
      <c r="D483" t="s">
        <v>66</v>
      </c>
      <c r="E483" t="s">
        <v>67</v>
      </c>
      <c r="F483">
        <v>1</v>
      </c>
      <c r="G483" t="s">
        <v>121</v>
      </c>
      <c r="K483" t="str">
        <f t="shared" si="7"/>
        <v>No Charger</v>
      </c>
    </row>
    <row r="484" spans="1:11" hidden="1" x14ac:dyDescent="0.2">
      <c r="A484">
        <v>479</v>
      </c>
      <c r="B484">
        <v>20250127</v>
      </c>
      <c r="C484">
        <v>39000590057</v>
      </c>
      <c r="D484" t="s">
        <v>54</v>
      </c>
      <c r="E484" t="s">
        <v>55</v>
      </c>
      <c r="F484">
        <v>1</v>
      </c>
      <c r="G484" t="s">
        <v>79</v>
      </c>
      <c r="K484" t="str">
        <f t="shared" si="7"/>
        <v>No Charger</v>
      </c>
    </row>
    <row r="485" spans="1:11" hidden="1" x14ac:dyDescent="0.2">
      <c r="A485">
        <v>480</v>
      </c>
      <c r="B485">
        <v>20250211</v>
      </c>
      <c r="C485">
        <v>39001434628</v>
      </c>
      <c r="D485" t="s">
        <v>70</v>
      </c>
      <c r="E485" t="s">
        <v>71</v>
      </c>
      <c r="F485">
        <v>-1</v>
      </c>
      <c r="G485" t="s">
        <v>91</v>
      </c>
      <c r="K485" t="str">
        <f t="shared" si="7"/>
        <v>No Charger</v>
      </c>
    </row>
    <row r="486" spans="1:11" hidden="1" x14ac:dyDescent="0.2">
      <c r="A486">
        <v>481</v>
      </c>
      <c r="B486">
        <v>20250306</v>
      </c>
      <c r="C486">
        <v>39000217061</v>
      </c>
      <c r="D486" t="s">
        <v>60</v>
      </c>
      <c r="E486" t="s">
        <v>61</v>
      </c>
      <c r="F486">
        <v>1</v>
      </c>
      <c r="G486" t="s">
        <v>103</v>
      </c>
      <c r="K486" t="str">
        <f t="shared" si="7"/>
        <v>No Charger</v>
      </c>
    </row>
    <row r="487" spans="1:11" x14ac:dyDescent="0.2">
      <c r="A487">
        <v>482</v>
      </c>
      <c r="B487">
        <v>20250117</v>
      </c>
      <c r="C487">
        <v>39001392196</v>
      </c>
      <c r="D487" t="s">
        <v>70</v>
      </c>
      <c r="E487" t="s">
        <v>71</v>
      </c>
      <c r="F487">
        <v>1</v>
      </c>
      <c r="G487" t="s">
        <v>126</v>
      </c>
      <c r="K487" t="str">
        <f t="shared" si="7"/>
        <v>No Charger</v>
      </c>
    </row>
    <row r="488" spans="1:11" hidden="1" x14ac:dyDescent="0.2">
      <c r="A488">
        <v>483</v>
      </c>
      <c r="B488">
        <v>20250203</v>
      </c>
      <c r="C488">
        <v>39001718886</v>
      </c>
      <c r="D488" t="s">
        <v>64</v>
      </c>
      <c r="E488" t="s">
        <v>65</v>
      </c>
      <c r="F488">
        <v>1</v>
      </c>
      <c r="G488" t="s">
        <v>116</v>
      </c>
      <c r="K488" t="str">
        <f t="shared" si="7"/>
        <v>No Charger</v>
      </c>
    </row>
    <row r="489" spans="1:11" hidden="1" x14ac:dyDescent="0.2">
      <c r="A489">
        <v>484</v>
      </c>
      <c r="B489">
        <v>20250121</v>
      </c>
      <c r="C489">
        <v>39000263770</v>
      </c>
      <c r="D489" t="s">
        <v>62</v>
      </c>
      <c r="E489" t="s">
        <v>63</v>
      </c>
      <c r="F489">
        <v>1</v>
      </c>
      <c r="G489" t="s">
        <v>94</v>
      </c>
      <c r="K489" t="str">
        <f t="shared" si="7"/>
        <v>No Charger</v>
      </c>
    </row>
    <row r="490" spans="1:11" hidden="1" x14ac:dyDescent="0.2">
      <c r="A490">
        <v>485</v>
      </c>
      <c r="B490">
        <v>20250131</v>
      </c>
      <c r="C490">
        <v>39001516281</v>
      </c>
      <c r="D490" t="s">
        <v>70</v>
      </c>
      <c r="E490" t="s">
        <v>71</v>
      </c>
      <c r="F490">
        <v>4</v>
      </c>
      <c r="G490" t="s">
        <v>100</v>
      </c>
      <c r="K490" t="str">
        <f t="shared" si="7"/>
        <v>No Charger</v>
      </c>
    </row>
    <row r="491" spans="1:11" hidden="1" x14ac:dyDescent="0.2">
      <c r="A491">
        <v>486</v>
      </c>
      <c r="B491">
        <v>20250108</v>
      </c>
      <c r="C491">
        <v>39000964652</v>
      </c>
      <c r="D491" t="s">
        <v>58</v>
      </c>
      <c r="E491" t="s">
        <v>59</v>
      </c>
      <c r="F491">
        <v>1</v>
      </c>
      <c r="G491" t="s">
        <v>79</v>
      </c>
      <c r="K491" t="str">
        <f t="shared" si="7"/>
        <v>No Charger</v>
      </c>
    </row>
    <row r="492" spans="1:11" hidden="1" x14ac:dyDescent="0.2">
      <c r="A492">
        <v>487</v>
      </c>
      <c r="B492">
        <v>20250102</v>
      </c>
      <c r="C492">
        <v>39001457560</v>
      </c>
      <c r="D492" t="s">
        <v>70</v>
      </c>
      <c r="E492" t="s">
        <v>71</v>
      </c>
      <c r="F492">
        <v>1</v>
      </c>
      <c r="G492" t="s">
        <v>111</v>
      </c>
      <c r="K492" t="str">
        <f t="shared" si="7"/>
        <v>No Charger</v>
      </c>
    </row>
    <row r="493" spans="1:11" hidden="1" x14ac:dyDescent="0.2">
      <c r="A493">
        <v>489</v>
      </c>
      <c r="B493">
        <v>20250122</v>
      </c>
      <c r="C493">
        <v>39001417949</v>
      </c>
      <c r="D493" t="s">
        <v>70</v>
      </c>
      <c r="E493" t="s">
        <v>71</v>
      </c>
      <c r="F493">
        <v>1</v>
      </c>
      <c r="G493" t="s">
        <v>90</v>
      </c>
      <c r="K493" t="str">
        <f t="shared" si="7"/>
        <v>No Charger</v>
      </c>
    </row>
    <row r="494" spans="1:11" hidden="1" x14ac:dyDescent="0.2">
      <c r="A494">
        <v>490</v>
      </c>
      <c r="B494">
        <v>20250304</v>
      </c>
      <c r="C494">
        <v>39000952458</v>
      </c>
      <c r="D494" t="s">
        <v>58</v>
      </c>
      <c r="E494" t="s">
        <v>59</v>
      </c>
      <c r="F494">
        <v>1</v>
      </c>
      <c r="G494" t="s">
        <v>131</v>
      </c>
      <c r="K494" t="str">
        <f t="shared" si="7"/>
        <v>No Charger</v>
      </c>
    </row>
    <row r="495" spans="1:11" hidden="1" x14ac:dyDescent="0.2">
      <c r="A495">
        <v>491</v>
      </c>
      <c r="B495">
        <v>20250221</v>
      </c>
      <c r="C495">
        <v>39000199563</v>
      </c>
      <c r="D495" t="s">
        <v>69</v>
      </c>
      <c r="E495" t="s">
        <v>61</v>
      </c>
      <c r="F495">
        <v>-0.16700000000000001</v>
      </c>
      <c r="G495" t="s">
        <v>100</v>
      </c>
      <c r="K495" t="str">
        <f t="shared" si="7"/>
        <v>No Charger</v>
      </c>
    </row>
    <row r="496" spans="1:11" hidden="1" x14ac:dyDescent="0.2">
      <c r="A496">
        <v>493</v>
      </c>
      <c r="B496">
        <v>20250124</v>
      </c>
      <c r="C496">
        <v>39001435096</v>
      </c>
      <c r="D496" t="s">
        <v>70</v>
      </c>
      <c r="E496" t="s">
        <v>71</v>
      </c>
      <c r="F496">
        <v>1</v>
      </c>
      <c r="G496" t="s">
        <v>111</v>
      </c>
      <c r="K496" t="str">
        <f t="shared" si="7"/>
        <v>No Charger</v>
      </c>
    </row>
    <row r="497" spans="1:11" hidden="1" x14ac:dyDescent="0.2">
      <c r="A497">
        <v>494</v>
      </c>
      <c r="B497">
        <v>20250206</v>
      </c>
      <c r="C497">
        <v>39000280761</v>
      </c>
      <c r="D497" t="s">
        <v>74</v>
      </c>
      <c r="E497" t="s">
        <v>63</v>
      </c>
      <c r="F497">
        <v>-0.125</v>
      </c>
      <c r="G497" t="s">
        <v>100</v>
      </c>
      <c r="K497" t="str">
        <f t="shared" si="7"/>
        <v>No Charger</v>
      </c>
    </row>
    <row r="498" spans="1:11" hidden="1" x14ac:dyDescent="0.2">
      <c r="A498">
        <v>495</v>
      </c>
      <c r="B498">
        <v>20250129</v>
      </c>
      <c r="C498">
        <v>39002666001</v>
      </c>
      <c r="D498" t="s">
        <v>68</v>
      </c>
      <c r="E498" t="s">
        <v>68</v>
      </c>
      <c r="F498">
        <v>1</v>
      </c>
      <c r="G498" t="s">
        <v>99</v>
      </c>
      <c r="K498" t="str">
        <f t="shared" si="7"/>
        <v>No Charger</v>
      </c>
    </row>
    <row r="499" spans="1:11" hidden="1" x14ac:dyDescent="0.2">
      <c r="A499">
        <v>496</v>
      </c>
      <c r="B499">
        <v>20250225</v>
      </c>
      <c r="C499">
        <v>39000213005</v>
      </c>
      <c r="D499" t="s">
        <v>60</v>
      </c>
      <c r="E499" t="s">
        <v>61</v>
      </c>
      <c r="F499">
        <v>1</v>
      </c>
      <c r="G499" t="s">
        <v>87</v>
      </c>
      <c r="K499" t="str">
        <f t="shared" si="7"/>
        <v>No Charger</v>
      </c>
    </row>
    <row r="500" spans="1:11" hidden="1" x14ac:dyDescent="0.2">
      <c r="A500">
        <v>497</v>
      </c>
      <c r="B500">
        <v>20250115</v>
      </c>
      <c r="C500">
        <v>39000201708</v>
      </c>
      <c r="D500" t="s">
        <v>60</v>
      </c>
      <c r="E500" t="s">
        <v>61</v>
      </c>
      <c r="F500">
        <v>2</v>
      </c>
      <c r="G500" t="s">
        <v>100</v>
      </c>
      <c r="K500" t="str">
        <f t="shared" si="7"/>
        <v>No Charger</v>
      </c>
    </row>
    <row r="501" spans="1:11" x14ac:dyDescent="0.2">
      <c r="A501">
        <v>498</v>
      </c>
      <c r="B501">
        <v>20250110</v>
      </c>
      <c r="C501">
        <v>39000336531</v>
      </c>
      <c r="D501" t="s">
        <v>66</v>
      </c>
      <c r="E501" t="s">
        <v>67</v>
      </c>
      <c r="F501">
        <v>1</v>
      </c>
      <c r="G501" t="s">
        <v>78</v>
      </c>
      <c r="K501" t="str">
        <f t="shared" si="7"/>
        <v>No Charger</v>
      </c>
    </row>
    <row r="502" spans="1:11" x14ac:dyDescent="0.2">
      <c r="A502">
        <v>499</v>
      </c>
      <c r="B502">
        <v>20250124</v>
      </c>
      <c r="C502">
        <v>39000237523</v>
      </c>
      <c r="D502" t="s">
        <v>60</v>
      </c>
      <c r="E502" t="s">
        <v>61</v>
      </c>
      <c r="F502">
        <v>1</v>
      </c>
      <c r="G502" t="s">
        <v>126</v>
      </c>
      <c r="K502" t="str">
        <f t="shared" si="7"/>
        <v>No Charger</v>
      </c>
    </row>
    <row r="503" spans="1:11" hidden="1" x14ac:dyDescent="0.2">
      <c r="E503" t="s">
        <v>438</v>
      </c>
      <c r="F503">
        <v>0</v>
      </c>
      <c r="I503" t="s">
        <v>169</v>
      </c>
      <c r="K503" t="str">
        <f>IF(I503="Charger","Has Charger","No Charger")</f>
        <v>Has Charger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6E9D7-8203-EF41-95C3-338925454CFC}">
  <dimension ref="A1:C9"/>
  <sheetViews>
    <sheetView workbookViewId="0">
      <selection activeCell="B15" sqref="B15"/>
    </sheetView>
  </sheetViews>
  <sheetFormatPr baseColWidth="10" defaultRowHeight="15" x14ac:dyDescent="0.2"/>
  <cols>
    <col min="1" max="1" width="12.6640625" bestFit="1" customWidth="1"/>
    <col min="2" max="2" width="15.5" bestFit="1" customWidth="1"/>
  </cols>
  <sheetData>
    <row r="1" spans="1:3" x14ac:dyDescent="0.2">
      <c r="A1" s="5" t="s">
        <v>153</v>
      </c>
      <c r="B1" t="s">
        <v>157</v>
      </c>
      <c r="C1" s="7" t="s">
        <v>401</v>
      </c>
    </row>
    <row r="2" spans="1:3" x14ac:dyDescent="0.2">
      <c r="C2" s="7" t="s">
        <v>427</v>
      </c>
    </row>
    <row r="3" spans="1:3" x14ac:dyDescent="0.2">
      <c r="A3" s="5" t="s">
        <v>402</v>
      </c>
      <c r="B3" t="s">
        <v>399</v>
      </c>
    </row>
    <row r="4" spans="1:3" x14ac:dyDescent="0.2">
      <c r="A4" s="6" t="s">
        <v>55</v>
      </c>
      <c r="B4" s="10">
        <v>3</v>
      </c>
    </row>
    <row r="5" spans="1:3" x14ac:dyDescent="0.2">
      <c r="A5" s="6" t="s">
        <v>67</v>
      </c>
      <c r="B5" s="10">
        <v>1</v>
      </c>
    </row>
    <row r="6" spans="1:3" x14ac:dyDescent="0.2">
      <c r="A6" s="6" t="s">
        <v>63</v>
      </c>
      <c r="B6" s="10">
        <v>1</v>
      </c>
    </row>
    <row r="7" spans="1:3" x14ac:dyDescent="0.2">
      <c r="A7" s="6" t="s">
        <v>73</v>
      </c>
      <c r="B7" s="10">
        <v>1</v>
      </c>
    </row>
    <row r="8" spans="1:3" x14ac:dyDescent="0.2">
      <c r="A8" s="6" t="s">
        <v>59</v>
      </c>
      <c r="B8" s="10">
        <v>1</v>
      </c>
    </row>
    <row r="9" spans="1:3" x14ac:dyDescent="0.2">
      <c r="A9" s="6" t="s">
        <v>398</v>
      </c>
      <c r="B9" s="10">
        <v>7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C5170-F65E-624D-8A47-6EAAC0FB6C85}">
  <dimension ref="A1:C4"/>
  <sheetViews>
    <sheetView workbookViewId="0">
      <selection activeCell="C3" sqref="C3"/>
    </sheetView>
  </sheetViews>
  <sheetFormatPr baseColWidth="10" defaultRowHeight="15" x14ac:dyDescent="0.2"/>
  <cols>
    <col min="1" max="1" width="12.6640625" bestFit="1" customWidth="1"/>
    <col min="2" max="2" width="15.6640625" bestFit="1" customWidth="1"/>
  </cols>
  <sheetData>
    <row r="1" spans="1:3" x14ac:dyDescent="0.2">
      <c r="A1" s="5" t="s">
        <v>153</v>
      </c>
      <c r="B1" t="s">
        <v>400</v>
      </c>
      <c r="C1" s="7" t="s">
        <v>426</v>
      </c>
    </row>
    <row r="2" spans="1:3" x14ac:dyDescent="0.2">
      <c r="C2" s="7" t="s">
        <v>428</v>
      </c>
    </row>
    <row r="3" spans="1:3" x14ac:dyDescent="0.2">
      <c r="A3" s="5" t="s">
        <v>402</v>
      </c>
      <c r="B3" t="s">
        <v>403</v>
      </c>
    </row>
    <row r="4" spans="1:3" x14ac:dyDescent="0.2">
      <c r="A4" s="6" t="s">
        <v>398</v>
      </c>
      <c r="B4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4DA4A-9842-634E-8C21-595CB6695929}">
  <dimension ref="A1:C24"/>
  <sheetViews>
    <sheetView workbookViewId="0">
      <selection activeCell="D14" sqref="D14"/>
    </sheetView>
  </sheetViews>
  <sheetFormatPr baseColWidth="10" defaultRowHeight="15" x14ac:dyDescent="0.2"/>
  <cols>
    <col min="1" max="1" width="24.33203125" bestFit="1" customWidth="1"/>
    <col min="2" max="2" width="8" bestFit="1" customWidth="1"/>
  </cols>
  <sheetData>
    <row r="1" spans="1:3" x14ac:dyDescent="0.2">
      <c r="A1" s="5" t="s">
        <v>1</v>
      </c>
      <c r="B1" t="s">
        <v>55</v>
      </c>
      <c r="C1" s="7" t="s">
        <v>429</v>
      </c>
    </row>
    <row r="2" spans="1:3" x14ac:dyDescent="0.2">
      <c r="C2" s="7" t="s">
        <v>430</v>
      </c>
    </row>
    <row r="3" spans="1:3" x14ac:dyDescent="0.2">
      <c r="A3" s="5" t="s">
        <v>425</v>
      </c>
      <c r="B3" t="s">
        <v>403</v>
      </c>
    </row>
    <row r="4" spans="1:3" x14ac:dyDescent="0.2">
      <c r="A4" s="6" t="s">
        <v>421</v>
      </c>
      <c r="B4">
        <v>16.917000000000002</v>
      </c>
    </row>
    <row r="5" spans="1:3" x14ac:dyDescent="0.2">
      <c r="A5" s="6" t="s">
        <v>409</v>
      </c>
      <c r="B5">
        <v>8</v>
      </c>
    </row>
    <row r="6" spans="1:3" x14ac:dyDescent="0.2">
      <c r="A6" s="6" t="s">
        <v>423</v>
      </c>
      <c r="B6">
        <v>6</v>
      </c>
    </row>
    <row r="7" spans="1:3" x14ac:dyDescent="0.2">
      <c r="A7" s="6" t="s">
        <v>414</v>
      </c>
      <c r="B7">
        <v>6</v>
      </c>
    </row>
    <row r="8" spans="1:3" x14ac:dyDescent="0.2">
      <c r="A8" s="6" t="s">
        <v>417</v>
      </c>
      <c r="B8">
        <v>5</v>
      </c>
    </row>
    <row r="9" spans="1:3" x14ac:dyDescent="0.2">
      <c r="A9" s="6" t="s">
        <v>410</v>
      </c>
      <c r="B9">
        <v>3</v>
      </c>
    </row>
    <row r="10" spans="1:3" x14ac:dyDescent="0.2">
      <c r="A10" s="6" t="s">
        <v>407</v>
      </c>
      <c r="B10">
        <v>2</v>
      </c>
    </row>
    <row r="11" spans="1:3" x14ac:dyDescent="0.2">
      <c r="A11" s="6" t="s">
        <v>408</v>
      </c>
      <c r="B11">
        <v>2</v>
      </c>
    </row>
    <row r="12" spans="1:3" x14ac:dyDescent="0.2">
      <c r="A12" s="6" t="s">
        <v>406</v>
      </c>
      <c r="B12">
        <v>2</v>
      </c>
    </row>
    <row r="13" spans="1:3" x14ac:dyDescent="0.2">
      <c r="A13" s="6" t="s">
        <v>411</v>
      </c>
      <c r="B13">
        <v>2</v>
      </c>
    </row>
    <row r="14" spans="1:3" x14ac:dyDescent="0.2">
      <c r="A14" s="6" t="s">
        <v>413</v>
      </c>
      <c r="B14">
        <v>2</v>
      </c>
    </row>
    <row r="15" spans="1:3" x14ac:dyDescent="0.2">
      <c r="A15" s="6" t="s">
        <v>422</v>
      </c>
      <c r="B15">
        <v>2</v>
      </c>
    </row>
    <row r="16" spans="1:3" x14ac:dyDescent="0.2">
      <c r="A16" s="6" t="s">
        <v>412</v>
      </c>
      <c r="B16">
        <v>1</v>
      </c>
    </row>
    <row r="17" spans="1:2" x14ac:dyDescent="0.2">
      <c r="A17" s="6" t="s">
        <v>420</v>
      </c>
      <c r="B17">
        <v>1</v>
      </c>
    </row>
    <row r="18" spans="1:2" x14ac:dyDescent="0.2">
      <c r="A18" s="6" t="s">
        <v>419</v>
      </c>
      <c r="B18">
        <v>1</v>
      </c>
    </row>
    <row r="19" spans="1:2" x14ac:dyDescent="0.2">
      <c r="A19" s="6" t="s">
        <v>405</v>
      </c>
      <c r="B19">
        <v>1</v>
      </c>
    </row>
    <row r="20" spans="1:2" x14ac:dyDescent="0.2">
      <c r="A20" s="6" t="s">
        <v>424</v>
      </c>
      <c r="B20">
        <v>1</v>
      </c>
    </row>
    <row r="21" spans="1:2" x14ac:dyDescent="0.2">
      <c r="A21" s="6" t="s">
        <v>415</v>
      </c>
      <c r="B21">
        <v>1</v>
      </c>
    </row>
    <row r="22" spans="1:2" x14ac:dyDescent="0.2">
      <c r="A22" s="6" t="s">
        <v>416</v>
      </c>
      <c r="B22">
        <v>-8.3000000000000004E-2</v>
      </c>
    </row>
    <row r="23" spans="1:2" x14ac:dyDescent="0.2">
      <c r="A23" s="6" t="s">
        <v>418</v>
      </c>
      <c r="B23">
        <v>-0.83299999999999996</v>
      </c>
    </row>
    <row r="24" spans="1:2" x14ac:dyDescent="0.2">
      <c r="A24" s="6" t="s">
        <v>398</v>
      </c>
      <c r="B24">
        <v>62.001000000000005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1C1E9-F5C7-2C45-B0E5-95BA4F858BBC}">
  <dimension ref="A1:B7"/>
  <sheetViews>
    <sheetView workbookViewId="0">
      <selection activeCell="F11" sqref="F11"/>
    </sheetView>
  </sheetViews>
  <sheetFormatPr baseColWidth="10" defaultRowHeight="15" x14ac:dyDescent="0.2"/>
  <cols>
    <col min="1" max="1" width="12.1640625" bestFit="1" customWidth="1"/>
    <col min="2" max="2" width="8.1640625" bestFit="1" customWidth="1"/>
  </cols>
  <sheetData>
    <row r="1" spans="1:2" x14ac:dyDescent="0.2">
      <c r="A1" s="7" t="s">
        <v>436</v>
      </c>
    </row>
    <row r="2" spans="1:2" x14ac:dyDescent="0.2">
      <c r="A2" s="7" t="s">
        <v>437</v>
      </c>
    </row>
    <row r="3" spans="1:2" x14ac:dyDescent="0.2">
      <c r="A3" s="5" t="s">
        <v>397</v>
      </c>
      <c r="B3" t="s">
        <v>403</v>
      </c>
    </row>
    <row r="4" spans="1:2" x14ac:dyDescent="0.2">
      <c r="A4" s="6" t="s">
        <v>434</v>
      </c>
      <c r="B4">
        <v>298.166</v>
      </c>
    </row>
    <row r="5" spans="1:2" x14ac:dyDescent="0.2">
      <c r="A5" s="6" t="s">
        <v>433</v>
      </c>
      <c r="B5">
        <v>271.209</v>
      </c>
    </row>
    <row r="6" spans="1:2" x14ac:dyDescent="0.2">
      <c r="A6" s="6" t="s">
        <v>435</v>
      </c>
      <c r="B6">
        <v>94.707999999999998</v>
      </c>
    </row>
    <row r="7" spans="1:2" x14ac:dyDescent="0.2">
      <c r="A7" s="6" t="s">
        <v>398</v>
      </c>
      <c r="B7">
        <v>664.08299999999997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926C6-56F3-1547-A0E8-A3FA2AEA91F2}">
  <dimension ref="A1:E13"/>
  <sheetViews>
    <sheetView workbookViewId="0">
      <selection activeCell="E2" sqref="E2"/>
    </sheetView>
  </sheetViews>
  <sheetFormatPr baseColWidth="10" defaultRowHeight="15" x14ac:dyDescent="0.2"/>
  <cols>
    <col min="1" max="1" width="16.33203125" bestFit="1" customWidth="1"/>
    <col min="2" max="2" width="15.6640625" bestFit="1" customWidth="1"/>
  </cols>
  <sheetData>
    <row r="1" spans="1:5" x14ac:dyDescent="0.2">
      <c r="A1" s="7" t="s">
        <v>443</v>
      </c>
      <c r="E1" s="7" t="s">
        <v>444</v>
      </c>
    </row>
    <row r="2" spans="1:5" x14ac:dyDescent="0.2">
      <c r="A2" s="5" t="s">
        <v>3</v>
      </c>
      <c r="B2" t="s">
        <v>400</v>
      </c>
    </row>
    <row r="4" spans="1:5" x14ac:dyDescent="0.2">
      <c r="A4" s="5" t="s">
        <v>441</v>
      </c>
      <c r="B4" t="s">
        <v>442</v>
      </c>
    </row>
    <row r="5" spans="1:5" x14ac:dyDescent="0.2">
      <c r="A5" s="6" t="s">
        <v>61</v>
      </c>
      <c r="B5">
        <v>7</v>
      </c>
    </row>
    <row r="6" spans="1:5" x14ac:dyDescent="0.2">
      <c r="A6" s="6" t="s">
        <v>59</v>
      </c>
      <c r="B6">
        <v>6</v>
      </c>
    </row>
    <row r="7" spans="1:5" x14ac:dyDescent="0.2">
      <c r="A7" s="6" t="s">
        <v>55</v>
      </c>
      <c r="B7">
        <v>6</v>
      </c>
    </row>
    <row r="8" spans="1:5" x14ac:dyDescent="0.2">
      <c r="A8" s="6" t="s">
        <v>63</v>
      </c>
      <c r="B8">
        <v>4</v>
      </c>
    </row>
    <row r="9" spans="1:5" x14ac:dyDescent="0.2">
      <c r="A9" s="6" t="s">
        <v>71</v>
      </c>
      <c r="B9">
        <v>4</v>
      </c>
    </row>
    <row r="10" spans="1:5" x14ac:dyDescent="0.2">
      <c r="A10" s="6" t="s">
        <v>67</v>
      </c>
      <c r="B10">
        <v>2</v>
      </c>
    </row>
    <row r="11" spans="1:5" x14ac:dyDescent="0.2">
      <c r="A11" s="6" t="s">
        <v>68</v>
      </c>
      <c r="B11">
        <v>2</v>
      </c>
    </row>
    <row r="12" spans="1:5" x14ac:dyDescent="0.2">
      <c r="A12" s="6" t="s">
        <v>65</v>
      </c>
      <c r="B12">
        <v>1</v>
      </c>
    </row>
    <row r="13" spans="1:5" x14ac:dyDescent="0.2">
      <c r="A13" s="6" t="s">
        <v>398</v>
      </c>
      <c r="B13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6F829-2F30-CC40-BD2D-21A16060BF0D}">
  <dimension ref="A1:I19"/>
  <sheetViews>
    <sheetView tabSelected="1" workbookViewId="0">
      <selection activeCell="J7" sqref="J7"/>
    </sheetView>
  </sheetViews>
  <sheetFormatPr baseColWidth="10" defaultRowHeight="15" x14ac:dyDescent="0.2"/>
  <cols>
    <col min="1" max="1" width="15.5" bestFit="1" customWidth="1"/>
    <col min="2" max="2" width="14.83203125" bestFit="1" customWidth="1"/>
    <col min="3" max="3" width="5.6640625" bestFit="1" customWidth="1"/>
    <col min="4" max="4" width="6.1640625" bestFit="1" customWidth="1"/>
    <col min="5" max="5" width="4.33203125" bestFit="1" customWidth="1"/>
    <col min="6" max="6" width="7.83203125" bestFit="1" customWidth="1"/>
    <col min="7" max="7" width="8.1640625" bestFit="1" customWidth="1"/>
    <col min="8" max="8" width="7.5" bestFit="1" customWidth="1"/>
    <col min="9" max="9" width="10" bestFit="1" customWidth="1"/>
  </cols>
  <sheetData>
    <row r="1" spans="1:9" x14ac:dyDescent="0.2">
      <c r="A1" s="7" t="s">
        <v>448</v>
      </c>
    </row>
    <row r="2" spans="1:9" x14ac:dyDescent="0.2">
      <c r="A2" s="7" t="s">
        <v>449</v>
      </c>
    </row>
    <row r="3" spans="1:9" x14ac:dyDescent="0.2">
      <c r="A3" s="5" t="s">
        <v>447</v>
      </c>
      <c r="B3" s="5" t="s">
        <v>445</v>
      </c>
    </row>
    <row r="4" spans="1:9" x14ac:dyDescent="0.2">
      <c r="A4" s="5" t="s">
        <v>446</v>
      </c>
      <c r="B4" t="s">
        <v>169</v>
      </c>
      <c r="C4" t="s">
        <v>157</v>
      </c>
      <c r="D4" t="s">
        <v>155</v>
      </c>
      <c r="E4" t="s">
        <v>187</v>
      </c>
      <c r="F4" t="s">
        <v>159</v>
      </c>
      <c r="G4" t="s">
        <v>252</v>
      </c>
      <c r="H4" t="s">
        <v>212</v>
      </c>
      <c r="I4" t="s">
        <v>398</v>
      </c>
    </row>
    <row r="5" spans="1:9" x14ac:dyDescent="0.2">
      <c r="A5" s="6" t="s">
        <v>64</v>
      </c>
      <c r="C5">
        <v>2</v>
      </c>
      <c r="D5">
        <v>11</v>
      </c>
      <c r="F5">
        <v>9</v>
      </c>
      <c r="H5">
        <v>1</v>
      </c>
      <c r="I5">
        <v>23</v>
      </c>
    </row>
    <row r="6" spans="1:9" x14ac:dyDescent="0.2">
      <c r="A6" s="6" t="s">
        <v>60</v>
      </c>
      <c r="C6">
        <v>10</v>
      </c>
      <c r="D6">
        <v>2</v>
      </c>
      <c r="E6">
        <v>1</v>
      </c>
      <c r="F6">
        <v>55</v>
      </c>
      <c r="G6">
        <v>2</v>
      </c>
      <c r="H6">
        <v>1</v>
      </c>
      <c r="I6">
        <v>71</v>
      </c>
    </row>
    <row r="7" spans="1:9" x14ac:dyDescent="0.2">
      <c r="A7" s="6" t="s">
        <v>68</v>
      </c>
      <c r="C7">
        <v>12</v>
      </c>
      <c r="D7">
        <v>4</v>
      </c>
      <c r="E7">
        <v>4</v>
      </c>
      <c r="F7">
        <v>24</v>
      </c>
      <c r="G7">
        <v>1</v>
      </c>
      <c r="I7">
        <v>45</v>
      </c>
    </row>
    <row r="8" spans="1:9" x14ac:dyDescent="0.2">
      <c r="A8" s="6" t="s">
        <v>74</v>
      </c>
      <c r="C8">
        <v>5</v>
      </c>
      <c r="D8">
        <v>2</v>
      </c>
      <c r="F8">
        <v>20</v>
      </c>
      <c r="I8">
        <v>27</v>
      </c>
    </row>
    <row r="9" spans="1:9" x14ac:dyDescent="0.2">
      <c r="A9" s="6" t="s">
        <v>69</v>
      </c>
      <c r="C9">
        <v>6</v>
      </c>
      <c r="D9">
        <v>11</v>
      </c>
      <c r="E9">
        <v>1</v>
      </c>
      <c r="F9">
        <v>24</v>
      </c>
      <c r="H9">
        <v>1</v>
      </c>
      <c r="I9">
        <v>43</v>
      </c>
    </row>
    <row r="10" spans="1:9" x14ac:dyDescent="0.2">
      <c r="A10" s="6" t="s">
        <v>58</v>
      </c>
      <c r="C10">
        <v>7</v>
      </c>
      <c r="D10">
        <v>8</v>
      </c>
      <c r="F10">
        <v>35</v>
      </c>
      <c r="I10">
        <v>50</v>
      </c>
    </row>
    <row r="11" spans="1:9" x14ac:dyDescent="0.2">
      <c r="A11" s="6" t="s">
        <v>75</v>
      </c>
      <c r="C11">
        <v>3</v>
      </c>
      <c r="E11">
        <v>1</v>
      </c>
      <c r="F11">
        <v>9</v>
      </c>
      <c r="I11">
        <v>13</v>
      </c>
    </row>
    <row r="12" spans="1:9" x14ac:dyDescent="0.2">
      <c r="A12" s="6" t="s">
        <v>66</v>
      </c>
      <c r="B12">
        <v>7</v>
      </c>
      <c r="C12">
        <v>9</v>
      </c>
      <c r="D12">
        <v>5</v>
      </c>
      <c r="F12">
        <v>47</v>
      </c>
      <c r="I12">
        <v>68</v>
      </c>
    </row>
    <row r="13" spans="1:9" x14ac:dyDescent="0.2">
      <c r="A13" s="6" t="s">
        <v>54</v>
      </c>
      <c r="C13">
        <v>5</v>
      </c>
      <c r="F13">
        <v>29</v>
      </c>
      <c r="I13">
        <v>34</v>
      </c>
    </row>
    <row r="14" spans="1:9" x14ac:dyDescent="0.2">
      <c r="A14" s="6" t="s">
        <v>76</v>
      </c>
      <c r="C14">
        <v>7</v>
      </c>
      <c r="D14">
        <v>9</v>
      </c>
      <c r="E14">
        <v>1</v>
      </c>
      <c r="F14">
        <v>5</v>
      </c>
      <c r="I14">
        <v>22</v>
      </c>
    </row>
    <row r="15" spans="1:9" x14ac:dyDescent="0.2">
      <c r="A15" s="6" t="s">
        <v>56</v>
      </c>
      <c r="C15">
        <v>1</v>
      </c>
      <c r="D15">
        <v>3</v>
      </c>
      <c r="E15">
        <v>1</v>
      </c>
      <c r="F15">
        <v>13</v>
      </c>
      <c r="H15">
        <v>1</v>
      </c>
      <c r="I15">
        <v>19</v>
      </c>
    </row>
    <row r="16" spans="1:9" x14ac:dyDescent="0.2">
      <c r="A16" s="6" t="s">
        <v>70</v>
      </c>
      <c r="C16">
        <v>6</v>
      </c>
      <c r="E16">
        <v>6</v>
      </c>
      <c r="F16">
        <v>45</v>
      </c>
      <c r="I16">
        <v>57</v>
      </c>
    </row>
    <row r="17" spans="1:9" x14ac:dyDescent="0.2">
      <c r="A17" s="6" t="s">
        <v>72</v>
      </c>
      <c r="C17">
        <v>2</v>
      </c>
      <c r="F17">
        <v>9</v>
      </c>
      <c r="I17">
        <v>11</v>
      </c>
    </row>
    <row r="18" spans="1:9" x14ac:dyDescent="0.2">
      <c r="A18" s="6" t="s">
        <v>62</v>
      </c>
      <c r="D18">
        <v>3</v>
      </c>
      <c r="F18">
        <v>14</v>
      </c>
      <c r="I18">
        <v>17</v>
      </c>
    </row>
    <row r="19" spans="1:9" x14ac:dyDescent="0.2">
      <c r="A19" s="6" t="s">
        <v>398</v>
      </c>
      <c r="B19">
        <v>7</v>
      </c>
      <c r="C19">
        <v>75</v>
      </c>
      <c r="D19">
        <v>58</v>
      </c>
      <c r="E19">
        <v>15</v>
      </c>
      <c r="F19">
        <v>338</v>
      </c>
      <c r="G19">
        <v>3</v>
      </c>
      <c r="H19">
        <v>4</v>
      </c>
      <c r="I19">
        <v>500</v>
      </c>
    </row>
  </sheetData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880245-44D5-C14D-809F-CEB14EFE0E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Case Study Route Data</vt:lpstr>
      <vt:lpstr>Liberty</vt:lpstr>
      <vt:lpstr>Data_Merged</vt:lpstr>
      <vt:lpstr>S2Q1</vt:lpstr>
      <vt:lpstr>S2Q2</vt:lpstr>
      <vt:lpstr>S2Q3</vt:lpstr>
      <vt:lpstr>S2Q4</vt:lpstr>
      <vt:lpstr>S2Q6</vt:lpstr>
      <vt:lpstr>S2Q7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Ezeanioma</cp:lastModifiedBy>
  <dcterms:created xsi:type="dcterms:W3CDTF">2025-09-16T01:22:04Z</dcterms:created>
  <dcterms:modified xsi:type="dcterms:W3CDTF">2025-09-26T06:28:52Z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